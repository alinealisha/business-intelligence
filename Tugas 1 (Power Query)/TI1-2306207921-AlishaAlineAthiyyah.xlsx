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lish\Documents\"/>
    </mc:Choice>
  </mc:AlternateContent>
  <xr:revisionPtr revIDLastSave="0" documentId="8_{BFD054E7-ECB1-484C-831E-460F969E218F}" xr6:coauthVersionLast="47" xr6:coauthVersionMax="47" xr10:uidLastSave="{00000000-0000-0000-0000-000000000000}"/>
  <bookViews>
    <workbookView xWindow="-110" yWindow="-110" windowWidth="19420" windowHeight="11500" firstSheet="10" xr2:uid="{E256FA64-492B-425D-A9E5-F0EB2CE5574B}"/>
  </bookViews>
  <sheets>
    <sheet name="Summary COO" sheetId="7" r:id="rId1"/>
    <sheet name="Pivot Table A" sheetId="12" r:id="rId2"/>
    <sheet name="Pivot Table b.2" sheetId="13" r:id="rId3"/>
    <sheet name="Pivot Table b.1" sheetId="14" r:id="rId4"/>
    <sheet name="Pivot Table" sheetId="9" r:id="rId5"/>
    <sheet name="Pivot Table D" sheetId="18" r:id="rId6"/>
    <sheet name="Insight BOD" sheetId="19" r:id="rId7"/>
    <sheet name="Summary Laporan Penjualan 2024" sheetId="6" r:id="rId8"/>
    <sheet name="Summary Penjualan - VL" sheetId="8" r:id="rId9"/>
    <sheet name="Data_Penjualan_Cleaned" sheetId="4" r:id="rId10"/>
    <sheet name="Pivot Table C" sheetId="17" r:id="rId11"/>
    <sheet name="Data_Produk_Cleaned" sheetId="5" r:id="rId12"/>
    <sheet name="Data_Penjualan" sheetId="3" r:id="rId13"/>
    <sheet name="Data_Pelanggan_Cleaned" sheetId="2" r:id="rId14"/>
  </sheets>
  <definedNames>
    <definedName name="_xlcn.WorksheetConnection_TI12306207921AlishaAlineAthiyyah1.xlsxSummary_Laporan_Penjualan_202461" hidden="1">Summary_Laporan_Penjualan_20246[]</definedName>
    <definedName name="ExternalData_1" localSheetId="13" hidden="1">Data_Pelanggan_Cleaned!$A$1:$H$16</definedName>
    <definedName name="ExternalData_1" localSheetId="11" hidden="1">Data_Produk_Cleaned!$A$1:$L$25</definedName>
    <definedName name="ExternalData_3" localSheetId="9" hidden="1">Data_Penjualan_Cleaned!$A$1:$F$632</definedName>
    <definedName name="ExternalData_3" localSheetId="0" hidden="1">'Summary COO'!$A$1:$H$632</definedName>
    <definedName name="ExternalData_3" localSheetId="7" hidden="1">'Summary Laporan Penjualan 2024'!$A$1:$Q$632</definedName>
    <definedName name="ExternalData_3" localSheetId="8" hidden="1">'Summary Penjualan - VL'!$A$1:$F$633</definedName>
    <definedName name="Slicer_Kategori">#N/A</definedName>
  </definedNames>
  <calcPr calcId="191029"/>
  <pivotCaches>
    <pivotCache cacheId="2" r:id="rId15"/>
    <pivotCache cacheId="95" r:id="rId16"/>
    <pivotCache cacheId="107" r:id="rId17"/>
    <pivotCache cacheId="101" r:id="rId18"/>
    <pivotCache cacheId="102" r:id="rId19"/>
    <pivotCache cacheId="103"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mmary_Laporan_Penjualan_20246" name="Summary_Laporan_Penjualan_20246" connection="WorksheetConnection_TI1-2306207921-AlishaAlineAthiyyah (1).xlsx!Summary_Laporan_Penjualan_20246"/>
        </x15:modelTables>
        <x15:extLst>
          <ext xmlns:x16="http://schemas.microsoft.com/office/spreadsheetml/2014/11/main" uri="{9835A34E-60A6-4A7C-AAB8-D5F71C897F49}">
            <x16:modelTimeGroupings>
              <x16:modelTimeGrouping tableName="Summary_Laporan_Penjualan_20246" columnName="Tanggal_Clean" columnId="Tanggal_Clean">
                <x16:calculatedTimeColumn columnName="Tanggal_Clean (Month Index)" columnId="Tanggal_Clean (Month Index)" contentType="monthsindex" isSelected="1"/>
                <x16:calculatedTimeColumn columnName="Tanggal_Clean (Month)" columnId="Tanggal_Clean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8" l="1"/>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J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2"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9D7256-9DDE-4CF3-BAFA-9A989FDF0865}" keepAlive="1" name="Query - Data Produk" description="Connection to the 'Data Produk' query in the workbook." type="5" refreshedVersion="8" background="1" saveData="1">
    <dbPr connection="Provider=Microsoft.Mashup.OleDb.1;Data Source=$Workbook$;Location=&quot;Data Produk&quot;;Extended Properties=&quot;&quot;" command="SELECT * FROM [Data Produk]"/>
  </connection>
  <connection id="2" xr16:uid="{F35462B8-D090-4438-B9AA-4C0ED7BA625E}" keepAlive="1" name="Query - Data_Pelanggan" description="Connection to the 'Data_Pelanggan' query in the workbook." type="5" refreshedVersion="8" background="1" saveData="1">
    <dbPr connection="Provider=Microsoft.Mashup.OleDb.1;Data Source=$Workbook$;Location=Data_Pelanggan;Extended Properties=&quot;&quot;" command="SELECT * FROM [Data_Pelanggan]"/>
  </connection>
  <connection id="3" xr16:uid="{62F3E509-7577-4CAE-AA0A-8AB9B10D4D33}" keepAlive="1" name="Query - Summary COO" description="Connection to the 'Summary COO' query in the workbook." type="5" refreshedVersion="8" background="1" saveData="1">
    <dbPr connection="Provider=Microsoft.Mashup.OleDb.1;Data Source=$Workbook$;Location=&quot;Summary COO&quot;;Extended Properties=&quot;&quot;" command="SELECT * FROM [Summary COO]"/>
  </connection>
  <connection id="4" xr16:uid="{B9CE61CB-E9F1-452B-9F3E-59ADD1473198}" keepAlive="1" name="Query - Summary Laporan Penjualan 2024" description="Connection to the 'Summary Laporan Penjualan 2024' query in the workbook." type="5" refreshedVersion="8" background="1" saveData="1">
    <dbPr connection="Provider=Microsoft.Mashup.OleDb.1;Data Source=$Workbook$;Location=&quot;Summary Laporan Penjualan 2024&quot;;Extended Properties=&quot;&quot;" command="SELECT * FROM [Summary Laporan Penjualan 2024]"/>
  </connection>
  <connection id="5" xr16:uid="{0DBE3CD5-94C0-4333-9FAC-E90847B9C821}" keepAlive="1" name="Query - Summary Laporan Penjualan 2024 (2)" description="Connection to the 'Summary Laporan Penjualan 2024 (2)' query in the workbook." type="5" refreshedVersion="8" background="1" saveData="1">
    <dbPr connection="Provider=Microsoft.Mashup.OleDb.1;Data Source=$Workbook$;Location=&quot;Summary Laporan Penjualan 2024 (2)&quot;;Extended Properties=&quot;&quot;" command="SELECT * FROM [Summary Laporan Penjualan 2024 (2)]"/>
  </connection>
  <connection id="6" xr16:uid="{7F4049A0-26BD-4313-9B92-D71FA9861BBB}" keepAlive="1" name="Query - Summary Laporan Penjualan 2024 (3)" description="Connection to the 'Summary Laporan Penjualan 2024 (3)' query in the workbook." type="5" refreshedVersion="8" background="1" saveData="1">
    <dbPr connection="Provider=Microsoft.Mashup.OleDb.1;Data Source=$Workbook$;Location=&quot;Summary Laporan Penjualan 2024 (3)&quot;;Extended Properties=&quot;&quot;" command="SELECT * FROM [Summary Laporan Penjualan 2024 (3)]"/>
  </connection>
  <connection id="7" xr16:uid="{B925FA53-E9ED-48CA-8D08-01D3EED7662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4A196ACB-2BAE-43FF-B1F2-C69828288E4B}" name="WorksheetConnection_TI1-2306207921-AlishaAlineAthiyyah (1).xlsx!Summary_Laporan_Penjualan_20246" type="102" refreshedVersion="8" minRefreshableVersion="5">
    <extLst>
      <ext xmlns:x15="http://schemas.microsoft.com/office/spreadsheetml/2010/11/main" uri="{DE250136-89BD-433C-8126-D09CA5730AF9}">
        <x15:connection id="Summary_Laporan_Penjualan_20246">
          <x15:rangePr sourceName="_xlcn.WorksheetConnection_TI12306207921AlishaAlineAthiyyah1.xlsxSummary_Laporan_Penjualan_202461"/>
        </x15:connection>
      </ext>
    </extLst>
  </connection>
</connections>
</file>

<file path=xl/sharedStrings.xml><?xml version="1.0" encoding="utf-8"?>
<sst xmlns="http://schemas.openxmlformats.org/spreadsheetml/2006/main" count="18887" uniqueCount="1410">
  <si>
    <t>ID_Pelanggan</t>
  </si>
  <si>
    <t>Nama_Pelanggan</t>
  </si>
  <si>
    <t>Tipe</t>
  </si>
  <si>
    <t>Kota</t>
  </si>
  <si>
    <t>Provinsi</t>
  </si>
  <si>
    <t>Telepon</t>
  </si>
  <si>
    <t>Email</t>
  </si>
  <si>
    <t>Tanggal_Daftar</t>
  </si>
  <si>
    <t>C001</t>
  </si>
  <si>
    <t>PT Maju Jaya</t>
  </si>
  <si>
    <t>Corporate</t>
  </si>
  <si>
    <t>Jakarta</t>
  </si>
  <si>
    <t>DKI Jakarta</t>
  </si>
  <si>
    <t>020-1749024</t>
  </si>
  <si>
    <t>majujaya@email.com</t>
  </si>
  <si>
    <t>C002</t>
  </si>
  <si>
    <t>CV Berkah</t>
  </si>
  <si>
    <t>Bandung</t>
  </si>
  <si>
    <t>Jawa Barat</t>
  </si>
  <si>
    <t>021-3884347</t>
  </si>
  <si>
    <t>berkah@email.com</t>
  </si>
  <si>
    <t>C003</t>
  </si>
  <si>
    <t>Toko Komputer Sejahtera</t>
  </si>
  <si>
    <t>Retail</t>
  </si>
  <si>
    <t>Surabaya</t>
  </si>
  <si>
    <t>Jawa Timur</t>
  </si>
  <si>
    <t>022-4277367</t>
  </si>
  <si>
    <t>komputersejahtera@email.com</t>
  </si>
  <si>
    <t/>
  </si>
  <si>
    <t>C004</t>
  </si>
  <si>
    <t>UD Sentosa</t>
  </si>
  <si>
    <t>Medan</t>
  </si>
  <si>
    <t>Sumatera Utara</t>
  </si>
  <si>
    <t>023-7915535</t>
  </si>
  <si>
    <t>sentosa@email.com</t>
  </si>
  <si>
    <t>C005</t>
  </si>
  <si>
    <t>PT Digital Nusantara</t>
  </si>
  <si>
    <t>024-9081021</t>
  </si>
  <si>
    <t>digitalnusantara@email.com</t>
  </si>
  <si>
    <t>C006</t>
  </si>
  <si>
    <t>Toko Elektronik Jaya</t>
  </si>
  <si>
    <t>Semarang</t>
  </si>
  <si>
    <t>Jawa Tengah</t>
  </si>
  <si>
    <t>025-7985038</t>
  </si>
  <si>
    <t>elektronikjaya@email.com</t>
  </si>
  <si>
    <t>C007</t>
  </si>
  <si>
    <t>CV Techno</t>
  </si>
  <si>
    <t>Yogyakarta</t>
  </si>
  <si>
    <t>DI Yogyakarta</t>
  </si>
  <si>
    <t>026-4745102</t>
  </si>
  <si>
    <t>techno@email.com</t>
  </si>
  <si>
    <t>C008</t>
  </si>
  <si>
    <t>Toko Musik Digital</t>
  </si>
  <si>
    <t>Denpasar</t>
  </si>
  <si>
    <t>Bali</t>
  </si>
  <si>
    <t>027-7159435</t>
  </si>
  <si>
    <t>musikdigital@email.com</t>
  </si>
  <si>
    <t>C009</t>
  </si>
  <si>
    <t>PT Karya Mandiri</t>
  </si>
  <si>
    <t>Makassar</t>
  </si>
  <si>
    <t>Sulawesi Selatan</t>
  </si>
  <si>
    <t>028-7067150</t>
  </si>
  <si>
    <t>karyamandiri@email.com</t>
  </si>
  <si>
    <t>C010</t>
  </si>
  <si>
    <t>UD Makmur</t>
  </si>
  <si>
    <t>Palembang</t>
  </si>
  <si>
    <t>Sumatera Selatan</t>
  </si>
  <si>
    <t>029-8035346</t>
  </si>
  <si>
    <t>makmur@email.com</t>
  </si>
  <si>
    <t>C011</t>
  </si>
  <si>
    <t>PT Teknologi Prima</t>
  </si>
  <si>
    <t>030-8253433</t>
  </si>
  <si>
    <t>teknologiprima@email.com</t>
  </si>
  <si>
    <t>C012</t>
  </si>
  <si>
    <t>Toko Gadget Center</t>
  </si>
  <si>
    <t>Malang</t>
  </si>
  <si>
    <t>031-1669204</t>
  </si>
  <si>
    <t>gadgetcenter@email.com</t>
  </si>
  <si>
    <t>C013</t>
  </si>
  <si>
    <t>CV Sinar Terang</t>
  </si>
  <si>
    <t>032-6459582</t>
  </si>
  <si>
    <t>sinarterang@email.com</t>
  </si>
  <si>
    <t>C014</t>
  </si>
  <si>
    <t>Toko Komputer Maju</t>
  </si>
  <si>
    <t>Solo</t>
  </si>
  <si>
    <t>033-1142048</t>
  </si>
  <si>
    <t>komputermaju@email.com</t>
  </si>
  <si>
    <t>C015</t>
  </si>
  <si>
    <t>PT Indo Digital</t>
  </si>
  <si>
    <t>Tangerang</t>
  </si>
  <si>
    <t>Banten</t>
  </si>
  <si>
    <t>034-9552361</t>
  </si>
  <si>
    <t>indodigital@email.com</t>
  </si>
  <si>
    <t>Column1</t>
  </si>
  <si>
    <t>Column2</t>
  </si>
  <si>
    <t>Column3</t>
  </si>
  <si>
    <t>Column4</t>
  </si>
  <si>
    <t>Column5</t>
  </si>
  <si>
    <t>Column6</t>
  </si>
  <si>
    <t>ID_Transaksi</t>
  </si>
  <si>
    <t>Tanggal</t>
  </si>
  <si>
    <t>ID_Produk</t>
  </si>
  <si>
    <t>Jumlah</t>
  </si>
  <si>
    <t>Sales_Rep</t>
  </si>
  <si>
    <t>TRX0001</t>
  </si>
  <si>
    <t>21-Nov-2024</t>
  </si>
  <si>
    <t>P015</t>
  </si>
  <si>
    <t>4</t>
  </si>
  <si>
    <t>EKO PRASETYO</t>
  </si>
  <si>
    <t>P020</t>
  </si>
  <si>
    <t>2</t>
  </si>
  <si>
    <t>P013</t>
  </si>
  <si>
    <t>3</t>
  </si>
  <si>
    <t>P014</t>
  </si>
  <si>
    <t>TRX0002</t>
  </si>
  <si>
    <t>05/30/24</t>
  </si>
  <si>
    <t>P017</t>
  </si>
  <si>
    <t>14</t>
  </si>
  <si>
    <t>BUDI SANTOSO</t>
  </si>
  <si>
    <t>TRX0003</t>
  </si>
  <si>
    <t>February 13, 2024</t>
  </si>
  <si>
    <t>Dewi Lestari</t>
  </si>
  <si>
    <t>TRX0004</t>
  </si>
  <si>
    <t>2024-04-05</t>
  </si>
  <si>
    <t>Budi Santoso</t>
  </si>
  <si>
    <t>TRX0005</t>
  </si>
  <si>
    <t>2024/04/14</t>
  </si>
  <si>
    <t>7</t>
  </si>
  <si>
    <t>Fitri Handayani</t>
  </si>
  <si>
    <t>TRX0006</t>
  </si>
  <si>
    <t>08/17/2024</t>
  </si>
  <si>
    <t>TRX0007</t>
  </si>
  <si>
    <t>2024-03-21</t>
  </si>
  <si>
    <t>P018</t>
  </si>
  <si>
    <t>FITRI HANDAYANI</t>
  </si>
  <si>
    <t>TRX0008</t>
  </si>
  <si>
    <t>45653</t>
  </si>
  <si>
    <t>P004</t>
  </si>
  <si>
    <t>9</t>
  </si>
  <si>
    <t>TRX0009</t>
  </si>
  <si>
    <t>2024-07-29</t>
  </si>
  <si>
    <t>P019</t>
  </si>
  <si>
    <t>6</t>
  </si>
  <si>
    <t>Eko Prasetyo</t>
  </si>
  <si>
    <t>TRX0010</t>
  </si>
  <si>
    <t>01/19/24</t>
  </si>
  <si>
    <t>DEWI LESTARI</t>
  </si>
  <si>
    <t>TRX0011</t>
  </si>
  <si>
    <t>08/11/24</t>
  </si>
  <si>
    <t>P002</t>
  </si>
  <si>
    <t>charles lim</t>
  </si>
  <si>
    <t>TRX0012</t>
  </si>
  <si>
    <t>22/12/2024</t>
  </si>
  <si>
    <t>1</t>
  </si>
  <si>
    <t>TRX0013</t>
  </si>
  <si>
    <t>11/03/24</t>
  </si>
  <si>
    <t>8</t>
  </si>
  <si>
    <t>Charles Lim</t>
  </si>
  <si>
    <t>TRX0014</t>
  </si>
  <si>
    <t>6/12/2024</t>
  </si>
  <si>
    <t>TRX0015</t>
  </si>
  <si>
    <t>2024-08-23</t>
  </si>
  <si>
    <t>TRX0016</t>
  </si>
  <si>
    <t>2024/07/04</t>
  </si>
  <si>
    <t>P008</t>
  </si>
  <si>
    <t>15</t>
  </si>
  <si>
    <t>TRX0017</t>
  </si>
  <si>
    <t>4/7/2024</t>
  </si>
  <si>
    <t>P010</t>
  </si>
  <si>
    <t>TRX0018</t>
  </si>
  <si>
    <t>02/11/2024</t>
  </si>
  <si>
    <t>Ani Wijaya</t>
  </si>
  <si>
    <t>P011</t>
  </si>
  <si>
    <t>P012</t>
  </si>
  <si>
    <t>TRX0019</t>
  </si>
  <si>
    <t>45477</t>
  </si>
  <si>
    <t>P007</t>
  </si>
  <si>
    <t>TRX0020</t>
  </si>
  <si>
    <t>12/11/2024</t>
  </si>
  <si>
    <t>TRX0021</t>
  </si>
  <si>
    <t>13-Nov-2024</t>
  </si>
  <si>
    <t>TRX0022</t>
  </si>
  <si>
    <t>10/09/24</t>
  </si>
  <si>
    <t>5</t>
  </si>
  <si>
    <t>TRX0023</t>
  </si>
  <si>
    <t>2024/12/19</t>
  </si>
  <si>
    <t>TRX0024</t>
  </si>
  <si>
    <t>4/5/2024</t>
  </si>
  <si>
    <t>P006</t>
  </si>
  <si>
    <t>TRX0025</t>
  </si>
  <si>
    <t>01/15/24</t>
  </si>
  <si>
    <t>P001</t>
  </si>
  <si>
    <t>10</t>
  </si>
  <si>
    <t>TRX0026</t>
  </si>
  <si>
    <t>02/26/2024</t>
  </si>
  <si>
    <t>TRX0027</t>
  </si>
  <si>
    <t>11/18/24</t>
  </si>
  <si>
    <t>P016</t>
  </si>
  <si>
    <t>TRX0028</t>
  </si>
  <si>
    <t>2024/10/31</t>
  </si>
  <si>
    <t>TRX0029</t>
  </si>
  <si>
    <t>2024-09-21</t>
  </si>
  <si>
    <t>TRX0030</t>
  </si>
  <si>
    <t>2024-08-01</t>
  </si>
  <si>
    <t>13</t>
  </si>
  <si>
    <t>TRX0031</t>
  </si>
  <si>
    <t>2024/09/29</t>
  </si>
  <si>
    <t>TRX0032</t>
  </si>
  <si>
    <t>29/01/2024</t>
  </si>
  <si>
    <t>TRX0033</t>
  </si>
  <si>
    <t>25/12/2024</t>
  </si>
  <si>
    <t>dewi lestari</t>
  </si>
  <si>
    <t>TRX0034</t>
  </si>
  <si>
    <t>28-May-2024</t>
  </si>
  <si>
    <t>11</t>
  </si>
  <si>
    <t>TRX0035</t>
  </si>
  <si>
    <t>02/26/24</t>
  </si>
  <si>
    <t>TRX0036</t>
  </si>
  <si>
    <t>08-Jan-2024</t>
  </si>
  <si>
    <t>TRX0037</t>
  </si>
  <si>
    <t>45434</t>
  </si>
  <si>
    <t>TRX0038</t>
  </si>
  <si>
    <t>27/07/2024</t>
  </si>
  <si>
    <t>TRX0039</t>
  </si>
  <si>
    <t>18/12/2024</t>
  </si>
  <si>
    <t>TRX0040</t>
  </si>
  <si>
    <t>45414</t>
  </si>
  <si>
    <t>eko prasetyo</t>
  </si>
  <si>
    <t>TRX0041</t>
  </si>
  <si>
    <t>16/07/2024</t>
  </si>
  <si>
    <t>TRX0042</t>
  </si>
  <si>
    <t>03/17/2024</t>
  </si>
  <si>
    <t>TRX0043</t>
  </si>
  <si>
    <t>2024/09/16</t>
  </si>
  <si>
    <t>TRX0044</t>
  </si>
  <si>
    <t>2024/06/08</t>
  </si>
  <si>
    <t>TRX0045</t>
  </si>
  <si>
    <t>45447</t>
  </si>
  <si>
    <t>TRX0046</t>
  </si>
  <si>
    <t>14/08/2024</t>
  </si>
  <si>
    <t>P005</t>
  </si>
  <si>
    <t>TRX0047</t>
  </si>
  <si>
    <t>2024-07-23</t>
  </si>
  <si>
    <t>12</t>
  </si>
  <si>
    <t>TRX0048</t>
  </si>
  <si>
    <t>10/21/24</t>
  </si>
  <si>
    <t>TRX0049</t>
  </si>
  <si>
    <t>June 04, 2024</t>
  </si>
  <si>
    <t>P009</t>
  </si>
  <si>
    <t>TRX0050</t>
  </si>
  <si>
    <t>12-Jun-2024</t>
  </si>
  <si>
    <t>TRX0051</t>
  </si>
  <si>
    <t>CHARLES LIM</t>
  </si>
  <si>
    <t>TRX0052</t>
  </si>
  <si>
    <t>2024/01/28</t>
  </si>
  <si>
    <t>TRX0053</t>
  </si>
  <si>
    <t>45456</t>
  </si>
  <si>
    <t>TRX0054</t>
  </si>
  <si>
    <t>2024/04/11</t>
  </si>
  <si>
    <t>TRX0055</t>
  </si>
  <si>
    <t>45480</t>
  </si>
  <si>
    <t>ani wijaya</t>
  </si>
  <si>
    <t>TRX0056</t>
  </si>
  <si>
    <t>12/15/24</t>
  </si>
  <si>
    <t>TRX0057</t>
  </si>
  <si>
    <t>2024-09-29</t>
  </si>
  <si>
    <t>TRX0058</t>
  </si>
  <si>
    <t>19/7/2024</t>
  </si>
  <si>
    <t>TRX0059</t>
  </si>
  <si>
    <t>03/09/24</t>
  </si>
  <si>
    <t>TRX0060</t>
  </si>
  <si>
    <t>45609</t>
  </si>
  <si>
    <t>P003</t>
  </si>
  <si>
    <t>TRX0061</t>
  </si>
  <si>
    <t>04/03/2024</t>
  </si>
  <si>
    <t>budi santoso</t>
  </si>
  <si>
    <t>TRX0062</t>
  </si>
  <si>
    <t>10/11/24</t>
  </si>
  <si>
    <t>TRX0063</t>
  </si>
  <si>
    <t>45543</t>
  </si>
  <si>
    <t>TRX0064</t>
  </si>
  <si>
    <t>2024-10-17</t>
  </si>
  <si>
    <t>TRX0065</t>
  </si>
  <si>
    <t>2024/03/12</t>
  </si>
  <si>
    <t>TRX0066</t>
  </si>
  <si>
    <t>3/3/2024</t>
  </si>
  <si>
    <t>TRX0067</t>
  </si>
  <si>
    <t>10/16/2024</t>
  </si>
  <si>
    <t>TRX0068</t>
  </si>
  <si>
    <t>04-May-2024</t>
  </si>
  <si>
    <t>TRX0069</t>
  </si>
  <si>
    <t>03/03/2024</t>
  </si>
  <si>
    <t>TRX0070</t>
  </si>
  <si>
    <t>April 14, 2024</t>
  </si>
  <si>
    <t>TRX0071</t>
  </si>
  <si>
    <t>2024-01-05</t>
  </si>
  <si>
    <t>TRX0072</t>
  </si>
  <si>
    <t>05/07/24</t>
  </si>
  <si>
    <t>TRX0073</t>
  </si>
  <si>
    <t>2024/06/07</t>
  </si>
  <si>
    <t>TRX0074</t>
  </si>
  <si>
    <t>45501</t>
  </si>
  <si>
    <t>TRX0075</t>
  </si>
  <si>
    <t>17-Apr-2024</t>
  </si>
  <si>
    <t>TRX0076</t>
  </si>
  <si>
    <t>2024-11-04</t>
  </si>
  <si>
    <t>TRX0077</t>
  </si>
  <si>
    <t>2024/12/11</t>
  </si>
  <si>
    <t>TRX0078</t>
  </si>
  <si>
    <t>07-May-2024</t>
  </si>
  <si>
    <t>TRX0079</t>
  </si>
  <si>
    <t>2024-10-21</t>
  </si>
  <si>
    <t>TRX0080</t>
  </si>
  <si>
    <t>17-Mar-2024</t>
  </si>
  <si>
    <t>fitri handayani</t>
  </si>
  <si>
    <t>TRX0081</t>
  </si>
  <si>
    <t>45305</t>
  </si>
  <si>
    <t>TRX0082</t>
  </si>
  <si>
    <t>28/11/2024</t>
  </si>
  <si>
    <t>TRX0083</t>
  </si>
  <si>
    <t>February 25, 2024</t>
  </si>
  <si>
    <t>TRX0084</t>
  </si>
  <si>
    <t>45445</t>
  </si>
  <si>
    <t>TRX0085</t>
  </si>
  <si>
    <t>11/05/2024</t>
  </si>
  <si>
    <t>TRX0086</t>
  </si>
  <si>
    <t>14/04/2024</t>
  </si>
  <si>
    <t>TRX0087</t>
  </si>
  <si>
    <t>45386</t>
  </si>
  <si>
    <t>TRX0088</t>
  </si>
  <si>
    <t>May 10, 2024</t>
  </si>
  <si>
    <t>TRX0089</t>
  </si>
  <si>
    <t>26-Mar-2024</t>
  </si>
  <si>
    <t>TRX0090</t>
  </si>
  <si>
    <t>04-Jun-2024</t>
  </si>
  <si>
    <t>TRX0091</t>
  </si>
  <si>
    <t>45353</t>
  </si>
  <si>
    <t>TRX0092</t>
  </si>
  <si>
    <t>01/04/24</t>
  </si>
  <si>
    <t>TRX0093</t>
  </si>
  <si>
    <t>45511</t>
  </si>
  <si>
    <t>TRX0094</t>
  </si>
  <si>
    <t>08/29/2024</t>
  </si>
  <si>
    <t>TRX0095</t>
  </si>
  <si>
    <t>January 18, 2024</t>
  </si>
  <si>
    <t>TRX0096</t>
  </si>
  <si>
    <t>2024/08/05</t>
  </si>
  <si>
    <t>TRX0097</t>
  </si>
  <si>
    <t>January 02, 2024</t>
  </si>
  <si>
    <t>TRX0098</t>
  </si>
  <si>
    <t>2024/03/29</t>
  </si>
  <si>
    <t>TRX0099</t>
  </si>
  <si>
    <t>2024-12-01</t>
  </si>
  <si>
    <t>TRX0100</t>
  </si>
  <si>
    <t>September 28, 2024</t>
  </si>
  <si>
    <t>TRX0101</t>
  </si>
  <si>
    <t>2024/08/11</t>
  </si>
  <si>
    <t>TRX0102</t>
  </si>
  <si>
    <t>11/4/2024</t>
  </si>
  <si>
    <t>TRX0103</t>
  </si>
  <si>
    <t>05/20/24</t>
  </si>
  <si>
    <t>TRX0104</t>
  </si>
  <si>
    <t>06/02/2024</t>
  </si>
  <si>
    <t>TRX0105</t>
  </si>
  <si>
    <t>08/31/2024</t>
  </si>
  <si>
    <t>TRX0106</t>
  </si>
  <si>
    <t>31-Jul-2024</t>
  </si>
  <si>
    <t>TRX0107</t>
  </si>
  <si>
    <t>16/2/2024</t>
  </si>
  <si>
    <t>TRX0108</t>
  </si>
  <si>
    <t>01/10/2024</t>
  </si>
  <si>
    <t>TRX0109</t>
  </si>
  <si>
    <t>12/20/24</t>
  </si>
  <si>
    <t>TRX0110</t>
  </si>
  <si>
    <t>12/2/2024</t>
  </si>
  <si>
    <t>TRX0111</t>
  </si>
  <si>
    <t>11/12/2024</t>
  </si>
  <si>
    <t>TRX0112</t>
  </si>
  <si>
    <t>45520</t>
  </si>
  <si>
    <t>TRX0113</t>
  </si>
  <si>
    <t>5/12/2024</t>
  </si>
  <si>
    <t>TRX0114</t>
  </si>
  <si>
    <t>2024/05/17</t>
  </si>
  <si>
    <t>TRX0115</t>
  </si>
  <si>
    <t>26-Jan-2024</t>
  </si>
  <si>
    <t>TRX0116</t>
  </si>
  <si>
    <t>06/01/24</t>
  </si>
  <si>
    <t>TRX0117</t>
  </si>
  <si>
    <t>2024-02-07</t>
  </si>
  <si>
    <t>TRX0118</t>
  </si>
  <si>
    <t>04-Sep-2024</t>
  </si>
  <si>
    <t>TRX0119</t>
  </si>
  <si>
    <t>2024/02/18</t>
  </si>
  <si>
    <t>TRX0120</t>
  </si>
  <si>
    <t>17/6/2024</t>
  </si>
  <si>
    <t>TRX0121</t>
  </si>
  <si>
    <t>07/07/2024</t>
  </si>
  <si>
    <t>TRX0122</t>
  </si>
  <si>
    <t>November 30, 2024</t>
  </si>
  <si>
    <t>TRX0123</t>
  </si>
  <si>
    <t>05/07/2024</t>
  </si>
  <si>
    <t>TRX0124</t>
  </si>
  <si>
    <t>11/01/2024</t>
  </si>
  <si>
    <t>TRX0125</t>
  </si>
  <si>
    <t>2024/04/19</t>
  </si>
  <si>
    <t>TRX0126</t>
  </si>
  <si>
    <t>2024/10/29</t>
  </si>
  <si>
    <t>TRX0127</t>
  </si>
  <si>
    <t>November 21, 2024</t>
  </si>
  <si>
    <t>TRX0128</t>
  </si>
  <si>
    <t>2024-01-26</t>
  </si>
  <si>
    <t>TRX0129</t>
  </si>
  <si>
    <t>2024/04/30</t>
  </si>
  <si>
    <t>TRX0130</t>
  </si>
  <si>
    <t>06/20/24</t>
  </si>
  <si>
    <t>TRX0131</t>
  </si>
  <si>
    <t>22-Nov-2024</t>
  </si>
  <si>
    <t>TRX0132</t>
  </si>
  <si>
    <t>04/27/24</t>
  </si>
  <si>
    <t>ANI WIJAYA</t>
  </si>
  <si>
    <t>TRX0133</t>
  </si>
  <si>
    <t>02/10/2024</t>
  </si>
  <si>
    <t>TRX0134</t>
  </si>
  <si>
    <t>2024/02/01</t>
  </si>
  <si>
    <t>TRX0135</t>
  </si>
  <si>
    <t>2024-02-19</t>
  </si>
  <si>
    <t>TRX0136</t>
  </si>
  <si>
    <t>2024-12-26</t>
  </si>
  <si>
    <t>TRX0137</t>
  </si>
  <si>
    <t>April 12, 2024</t>
  </si>
  <si>
    <t>TRX0138</t>
  </si>
  <si>
    <t>10/3/2024</t>
  </si>
  <si>
    <t>TRX0139</t>
  </si>
  <si>
    <t>22-May-2024</t>
  </si>
  <si>
    <t>TRX0140</t>
  </si>
  <si>
    <t>2024-01-21</t>
  </si>
  <si>
    <t>TRX0141</t>
  </si>
  <si>
    <t>09/04/24</t>
  </si>
  <si>
    <t>TRX0142</t>
  </si>
  <si>
    <t>2024-12-09</t>
  </si>
  <si>
    <t>TRX0143</t>
  </si>
  <si>
    <t>45413</t>
  </si>
  <si>
    <t>TRX0144</t>
  </si>
  <si>
    <t>2024/02/05</t>
  </si>
  <si>
    <t>TRX0145</t>
  </si>
  <si>
    <t>11/09/2024</t>
  </si>
  <si>
    <t>TRX0146</t>
  </si>
  <si>
    <t>2024-01-30</t>
  </si>
  <si>
    <t>TRX0147</t>
  </si>
  <si>
    <t>45354</t>
  </si>
  <si>
    <t>TRX0148</t>
  </si>
  <si>
    <t>11-Sep-2024</t>
  </si>
  <si>
    <t>TRX0149</t>
  </si>
  <si>
    <t>12/26/2024</t>
  </si>
  <si>
    <t>TRX0150</t>
  </si>
  <si>
    <t>05/12/2024</t>
  </si>
  <si>
    <t>TRX0151</t>
  </si>
  <si>
    <t>07/05/2024</t>
  </si>
  <si>
    <t>TRX0152</t>
  </si>
  <si>
    <t>26-Aug-2024</t>
  </si>
  <si>
    <t>TRX0153</t>
  </si>
  <si>
    <t>12/05/2024</t>
  </si>
  <si>
    <t>TRX0154</t>
  </si>
  <si>
    <t>TRX0155</t>
  </si>
  <si>
    <t>TRX0156</t>
  </si>
  <si>
    <t>TRX0157</t>
  </si>
  <si>
    <t>45345</t>
  </si>
  <si>
    <t>TRX0158</t>
  </si>
  <si>
    <t>30/06/2024</t>
  </si>
  <si>
    <t>TRX0159</t>
  </si>
  <si>
    <t>29/08/2024</t>
  </si>
  <si>
    <t>TRX0160</t>
  </si>
  <si>
    <t>July 28, 2024</t>
  </si>
  <si>
    <t>TRX0161</t>
  </si>
  <si>
    <t>December 31, 2024</t>
  </si>
  <si>
    <t>TRX0162</t>
  </si>
  <si>
    <t>2024/08/25</t>
  </si>
  <si>
    <t>TRX0163</t>
  </si>
  <si>
    <t>15/11/2024</t>
  </si>
  <si>
    <t>TRX0164</t>
  </si>
  <si>
    <t>March 30, 2024</t>
  </si>
  <si>
    <t>TRX0165</t>
  </si>
  <si>
    <t>20/05/2024</t>
  </si>
  <si>
    <t>TRX0166</t>
  </si>
  <si>
    <t>December 14, 2024</t>
  </si>
  <si>
    <t>TRX0167</t>
  </si>
  <si>
    <t>10/02/2024</t>
  </si>
  <si>
    <t>TRX0168</t>
  </si>
  <si>
    <t>2024-02-03</t>
  </si>
  <si>
    <t>TRX0169</t>
  </si>
  <si>
    <t>26/04/2024</t>
  </si>
  <si>
    <t>TRX0170</t>
  </si>
  <si>
    <t>45526</t>
  </si>
  <si>
    <t>TRX0171</t>
  </si>
  <si>
    <t>2024/12/22</t>
  </si>
  <si>
    <t>TRX0172</t>
  </si>
  <si>
    <t>04/05/2024</t>
  </si>
  <si>
    <t>TRX0173</t>
  </si>
  <si>
    <t>45545</t>
  </si>
  <si>
    <t>TRX0174</t>
  </si>
  <si>
    <t>08/26/24</t>
  </si>
  <si>
    <t>TRX0175</t>
  </si>
  <si>
    <t>June 12, 2024</t>
  </si>
  <si>
    <t>TRX0176</t>
  </si>
  <si>
    <t>12/17/24</t>
  </si>
  <si>
    <t>TRX0177</t>
  </si>
  <si>
    <t>TRX0178</t>
  </si>
  <si>
    <t>2024-11-01</t>
  </si>
  <si>
    <t>TRX0179</t>
  </si>
  <si>
    <t>45655</t>
  </si>
  <si>
    <t>TRX0180</t>
  </si>
  <si>
    <t>22-Apr-2024</t>
  </si>
  <si>
    <t>TRX0181</t>
  </si>
  <si>
    <t>03/11/2024</t>
  </si>
  <si>
    <t>TRX0182</t>
  </si>
  <si>
    <t>08/18/24</t>
  </si>
  <si>
    <t>TRX0183</t>
  </si>
  <si>
    <t>22/7/2024</t>
  </si>
  <si>
    <t>TRX0184</t>
  </si>
  <si>
    <t>16/05/2024</t>
  </si>
  <si>
    <t>TRX0185</t>
  </si>
  <si>
    <t>06/07/2024</t>
  </si>
  <si>
    <t>TRX0186</t>
  </si>
  <si>
    <t>12/06/24</t>
  </si>
  <si>
    <t>TRX0187</t>
  </si>
  <si>
    <t>45373</t>
  </si>
  <si>
    <t>TRX0188</t>
  </si>
  <si>
    <t>2024-04-18</t>
  </si>
  <si>
    <t>TRX0189</t>
  </si>
  <si>
    <t>November 20, 2024</t>
  </si>
  <si>
    <t>TRX0190</t>
  </si>
  <si>
    <t>27/06/2024</t>
  </si>
  <si>
    <t>TRX0191</t>
  </si>
  <si>
    <t>45400</t>
  </si>
  <si>
    <t>TRX0192</t>
  </si>
  <si>
    <t>45396</t>
  </si>
  <si>
    <t>TRX0193</t>
  </si>
  <si>
    <t>2024-04-27</t>
  </si>
  <si>
    <t>TRX0194</t>
  </si>
  <si>
    <t>March 09, 2024</t>
  </si>
  <si>
    <t>TRX0195</t>
  </si>
  <si>
    <t>45607</t>
  </si>
  <si>
    <t>TRX0196</t>
  </si>
  <si>
    <t>45532</t>
  </si>
  <si>
    <t>TRX0197</t>
  </si>
  <si>
    <t>08-May-2024</t>
  </si>
  <si>
    <t>TRX0198</t>
  </si>
  <si>
    <t>2024/06/05</t>
  </si>
  <si>
    <t>TRX0199</t>
  </si>
  <si>
    <t>45493</t>
  </si>
  <si>
    <t>TRX0200</t>
  </si>
  <si>
    <t>45380</t>
  </si>
  <si>
    <t>TRX0201</t>
  </si>
  <si>
    <t>08/06/24</t>
  </si>
  <si>
    <t>TRX0202</t>
  </si>
  <si>
    <t>28-Jul-2024</t>
  </si>
  <si>
    <t>TRX0203</t>
  </si>
  <si>
    <t>2024/09/07</t>
  </si>
  <si>
    <t>TRX0204</t>
  </si>
  <si>
    <t>09/09/24</t>
  </si>
  <si>
    <t>TRX0205</t>
  </si>
  <si>
    <t>2024/03/02</t>
  </si>
  <si>
    <t>TRX0206</t>
  </si>
  <si>
    <t>December 08, 2024</t>
  </si>
  <si>
    <t>TRX0207</t>
  </si>
  <si>
    <t>2024/09/23</t>
  </si>
  <si>
    <t>TRX0208</t>
  </si>
  <si>
    <t>2024/09/22</t>
  </si>
  <si>
    <t>TRX0209</t>
  </si>
  <si>
    <t>22-Mar-2024</t>
  </si>
  <si>
    <t>TRX0210</t>
  </si>
  <si>
    <t>12/09/24</t>
  </si>
  <si>
    <t>TRX0211</t>
  </si>
  <si>
    <t>December 13, 2024</t>
  </si>
  <si>
    <t>TRX0212</t>
  </si>
  <si>
    <t>04/11/2024</t>
  </si>
  <si>
    <t>TRX0213</t>
  </si>
  <si>
    <t>45559</t>
  </si>
  <si>
    <t>TRX0214</t>
  </si>
  <si>
    <t>2024/07/23</t>
  </si>
  <si>
    <t>TRX0215</t>
  </si>
  <si>
    <t>11/15/2024</t>
  </si>
  <si>
    <t>TRX0216</t>
  </si>
  <si>
    <t>14/10/2024</t>
  </si>
  <si>
    <t>TRX0217</t>
  </si>
  <si>
    <t>45568</t>
  </si>
  <si>
    <t>TRX0218</t>
  </si>
  <si>
    <t>February 22, 2024</t>
  </si>
  <si>
    <t>TRX0219</t>
  </si>
  <si>
    <t>2024/09/02</t>
  </si>
  <si>
    <t>TRX0220</t>
  </si>
  <si>
    <t>2024-12-11</t>
  </si>
  <si>
    <t>TRX0221</t>
  </si>
  <si>
    <t>February 21, 2024</t>
  </si>
  <si>
    <t>TRX0222</t>
  </si>
  <si>
    <t>10/03/2024</t>
  </si>
  <si>
    <t>TRX0223</t>
  </si>
  <si>
    <t>2024-10-10</t>
  </si>
  <si>
    <t>TRX0224</t>
  </si>
  <si>
    <t>18/09/2024</t>
  </si>
  <si>
    <t>TRX0225</t>
  </si>
  <si>
    <t>45383</t>
  </si>
  <si>
    <t>TRX0226</t>
  </si>
  <si>
    <t>25/11/2024</t>
  </si>
  <si>
    <t>TRX0227</t>
  </si>
  <si>
    <t>07/15/24</t>
  </si>
  <si>
    <t>TRX0228</t>
  </si>
  <si>
    <t>45297</t>
  </si>
  <si>
    <t>TRX0229</t>
  </si>
  <si>
    <t>08-Jul-2024</t>
  </si>
  <si>
    <t>TRX0230</t>
  </si>
  <si>
    <t>18-Apr-2024</t>
  </si>
  <si>
    <t>TRX0231</t>
  </si>
  <si>
    <t>TRX0232</t>
  </si>
  <si>
    <t>01/18/24</t>
  </si>
  <si>
    <t>TRX0233</t>
  </si>
  <si>
    <t>TRX0234</t>
  </si>
  <si>
    <t>December 21, 2024</t>
  </si>
  <si>
    <t>TRX0235</t>
  </si>
  <si>
    <t>2024-06-20</t>
  </si>
  <si>
    <t>TRX0236</t>
  </si>
  <si>
    <t>11/02/2024</t>
  </si>
  <si>
    <t>TRX0237</t>
  </si>
  <si>
    <t>06-Jul-2024</t>
  </si>
  <si>
    <t>TRX0238</t>
  </si>
  <si>
    <t>02/12/2024</t>
  </si>
  <si>
    <t>TRX0239</t>
  </si>
  <si>
    <t>01/05/24</t>
  </si>
  <si>
    <t>TRX0240</t>
  </si>
  <si>
    <t>2024-08-24</t>
  </si>
  <si>
    <t>TRX0241</t>
  </si>
  <si>
    <t>30-Nov-2024</t>
  </si>
  <si>
    <t>TRX0242</t>
  </si>
  <si>
    <t>13/09/2024</t>
  </si>
  <si>
    <t>TRX0243</t>
  </si>
  <si>
    <t>08/09/24</t>
  </si>
  <si>
    <t>TRX0244</t>
  </si>
  <si>
    <t>TRX0245</t>
  </si>
  <si>
    <t>13-Aug-2024</t>
  </si>
  <si>
    <t>P021</t>
  </si>
  <si>
    <t>TRX0246</t>
  </si>
  <si>
    <t>07-Jul-2024</t>
  </si>
  <si>
    <t>TRX0247</t>
  </si>
  <si>
    <t>TRX0248</t>
  </si>
  <si>
    <t>04/06/2024</t>
  </si>
  <si>
    <t>TRX0249</t>
  </si>
  <si>
    <t>45374</t>
  </si>
  <si>
    <t>TRX0250</t>
  </si>
  <si>
    <t>TRX0251</t>
  </si>
  <si>
    <t>01-Jan-2024</t>
  </si>
  <si>
    <t>TRX0252</t>
  </si>
  <si>
    <t>August 12, 2024</t>
  </si>
  <si>
    <t>TRX0253</t>
  </si>
  <si>
    <t>10/27/2024</t>
  </si>
  <si>
    <t>TRX0254</t>
  </si>
  <si>
    <t>2024-05-13</t>
  </si>
  <si>
    <t>TRX0255</t>
  </si>
  <si>
    <t>02/25/24</t>
  </si>
  <si>
    <t>TRX0256</t>
  </si>
  <si>
    <t>2024-10-16</t>
  </si>
  <si>
    <t>TRX0257</t>
  </si>
  <si>
    <t>30/12/2024</t>
  </si>
  <si>
    <t>TRX0258</t>
  </si>
  <si>
    <t>02/01/24</t>
  </si>
  <si>
    <t>TRX0259</t>
  </si>
  <si>
    <t>February 27, 2024</t>
  </si>
  <si>
    <t>TRX0260</t>
  </si>
  <si>
    <t>2024/03/05</t>
  </si>
  <si>
    <t>TRX0261</t>
  </si>
  <si>
    <t>15/09/2024</t>
  </si>
  <si>
    <t>TRX0262</t>
  </si>
  <si>
    <t>20-Jan-2024</t>
  </si>
  <si>
    <t>TRX0263</t>
  </si>
  <si>
    <t>04/01/2024</t>
  </si>
  <si>
    <t>TRX0264</t>
  </si>
  <si>
    <t>TRX0265</t>
  </si>
  <si>
    <t>2024/01/21</t>
  </si>
  <si>
    <t>TRX0266</t>
  </si>
  <si>
    <t>11/28/2024</t>
  </si>
  <si>
    <t>TRX0267</t>
  </si>
  <si>
    <t>TRX0268</t>
  </si>
  <si>
    <t>05-Sep-2024</t>
  </si>
  <si>
    <t>TRX0269</t>
  </si>
  <si>
    <t>March 20, 2024</t>
  </si>
  <si>
    <t>TRX0270</t>
  </si>
  <si>
    <t>2024-09-17</t>
  </si>
  <si>
    <t>TRX0271</t>
  </si>
  <si>
    <t>10/01/2024</t>
  </si>
  <si>
    <t>TRX0272</t>
  </si>
  <si>
    <t>07/31/2024</t>
  </si>
  <si>
    <t>TRX0273</t>
  </si>
  <si>
    <t>3/7/2024</t>
  </si>
  <si>
    <t>TRX0274</t>
  </si>
  <si>
    <t>August 20, 2024</t>
  </si>
  <si>
    <t>TRX0275</t>
  </si>
  <si>
    <t>01/02/24</t>
  </si>
  <si>
    <t>TRX0276</t>
  </si>
  <si>
    <t>TRX0277</t>
  </si>
  <si>
    <t>19/11/2024</t>
  </si>
  <si>
    <t>TRX0278</t>
  </si>
  <si>
    <t>9/11/2024</t>
  </si>
  <si>
    <t>TRX0279</t>
  </si>
  <si>
    <t>03/15/2024</t>
  </si>
  <si>
    <t>TRX0280</t>
  </si>
  <si>
    <t>TRX0281</t>
  </si>
  <si>
    <t>2024-08-28</t>
  </si>
  <si>
    <t>TRX0282</t>
  </si>
  <si>
    <t>45531</t>
  </si>
  <si>
    <t>TRX0283</t>
  </si>
  <si>
    <t>2024-07-30</t>
  </si>
  <si>
    <t>TRX0284</t>
  </si>
  <si>
    <t>17/11/2024</t>
  </si>
  <si>
    <t>TRX0285</t>
  </si>
  <si>
    <t>11/05/24</t>
  </si>
  <si>
    <t>TRX0286</t>
  </si>
  <si>
    <t>29/7/2024</t>
  </si>
  <si>
    <t>TRX0287</t>
  </si>
  <si>
    <t>04/21/2024</t>
  </si>
  <si>
    <t>TRX0288</t>
  </si>
  <si>
    <t>02/09/2024</t>
  </si>
  <si>
    <t>TRX0289</t>
  </si>
  <si>
    <t>01/16/24</t>
  </si>
  <si>
    <t>TRX0290</t>
  </si>
  <si>
    <t>TRX0291</t>
  </si>
  <si>
    <t>1/6/2024</t>
  </si>
  <si>
    <t>TRX0292</t>
  </si>
  <si>
    <t>07/25/2024</t>
  </si>
  <si>
    <t>TRX0293</t>
  </si>
  <si>
    <t>TRX0294</t>
  </si>
  <si>
    <t>15/8/2024</t>
  </si>
  <si>
    <t>TRX0295</t>
  </si>
  <si>
    <t>December 04, 2024</t>
  </si>
  <si>
    <t>TRX0296</t>
  </si>
  <si>
    <t>12/12/2024</t>
  </si>
  <si>
    <t>TRX0297</t>
  </si>
  <si>
    <t>TRX0298</t>
  </si>
  <si>
    <t>TRX0299</t>
  </si>
  <si>
    <t>14-Nov-2024</t>
  </si>
  <si>
    <t>TRX0300</t>
  </si>
  <si>
    <t>September 16, 2024</t>
  </si>
  <si>
    <t>TRX0301</t>
  </si>
  <si>
    <t>October 04, 2024</t>
  </si>
  <si>
    <t>TRX0302</t>
  </si>
  <si>
    <t>2024/05/09</t>
  </si>
  <si>
    <t>TRX0303</t>
  </si>
  <si>
    <t>45535</t>
  </si>
  <si>
    <t>TRX0304</t>
  </si>
  <si>
    <t>February 07, 2024</t>
  </si>
  <si>
    <t>TRX0305</t>
  </si>
  <si>
    <t>45499</t>
  </si>
  <si>
    <t>TRX0306</t>
  </si>
  <si>
    <t>01/07/2024</t>
  </si>
  <si>
    <t>TRX0307</t>
  </si>
  <si>
    <t>01/28/24</t>
  </si>
  <si>
    <t>TRX0308</t>
  </si>
  <si>
    <t>2024-07-07</t>
  </si>
  <si>
    <t>TRX0309</t>
  </si>
  <si>
    <t>03/02/24</t>
  </si>
  <si>
    <t>TRX0310</t>
  </si>
  <si>
    <t>2024/12/24</t>
  </si>
  <si>
    <t>TRX0311</t>
  </si>
  <si>
    <t>31/7/2024</t>
  </si>
  <si>
    <t>TRX0312</t>
  </si>
  <si>
    <t>7/5/2024</t>
  </si>
  <si>
    <t>TRX0313</t>
  </si>
  <si>
    <t>09/13/24</t>
  </si>
  <si>
    <t>TRX0314</t>
  </si>
  <si>
    <t>November 10, 2024</t>
  </si>
  <si>
    <t>TRX0315</t>
  </si>
  <si>
    <t>September 27, 2024</t>
  </si>
  <si>
    <t>TRX0316</t>
  </si>
  <si>
    <t>2024/02/16</t>
  </si>
  <si>
    <t>TRX0317</t>
  </si>
  <si>
    <t>2024/11/18</t>
  </si>
  <si>
    <t>TRX0318</t>
  </si>
  <si>
    <t>45523</t>
  </si>
  <si>
    <t>TRX0319</t>
  </si>
  <si>
    <t>TRX0320</t>
  </si>
  <si>
    <t>2024/04/07</t>
  </si>
  <si>
    <t>TRX0321</t>
  </si>
  <si>
    <t>2024-01-04</t>
  </si>
  <si>
    <t>TRX0322</t>
  </si>
  <si>
    <t>03/29/24</t>
  </si>
  <si>
    <t>TRX0323</t>
  </si>
  <si>
    <t>45379</t>
  </si>
  <si>
    <t>TRX0324</t>
  </si>
  <si>
    <t>20-Feb-2024</t>
  </si>
  <si>
    <t>TRX0325</t>
  </si>
  <si>
    <t>05/29/24</t>
  </si>
  <si>
    <t>TRX0326</t>
  </si>
  <si>
    <t>2024-02-23</t>
  </si>
  <si>
    <t>TRX0327</t>
  </si>
  <si>
    <t>11/26/24</t>
  </si>
  <si>
    <t>TRX0328</t>
  </si>
  <si>
    <t>2024-12-31</t>
  </si>
  <si>
    <t>TRX0329</t>
  </si>
  <si>
    <t>30/4/2024</t>
  </si>
  <si>
    <t>TRX0330</t>
  </si>
  <si>
    <t>September 09, 2024</t>
  </si>
  <si>
    <t>TRX0331</t>
  </si>
  <si>
    <t>July 08, 2024</t>
  </si>
  <si>
    <t>TRX0332</t>
  </si>
  <si>
    <t>29/1/2024</t>
  </si>
  <si>
    <t>TRX0333</t>
  </si>
  <si>
    <t>2024-10-12</t>
  </si>
  <si>
    <t>TRX0334</t>
  </si>
  <si>
    <t>24-Oct-2024</t>
  </si>
  <si>
    <t>TRX0335</t>
  </si>
  <si>
    <t>10/11/2024</t>
  </si>
  <si>
    <t>TRX0336</t>
  </si>
  <si>
    <t>July 01, 2024</t>
  </si>
  <si>
    <t>TRX0337</t>
  </si>
  <si>
    <t>November 22, 2024</t>
  </si>
  <si>
    <t>TRX0338</t>
  </si>
  <si>
    <t>21/10/2024</t>
  </si>
  <si>
    <t>TRX0339</t>
  </si>
  <si>
    <t>29-Apr-2024</t>
  </si>
  <si>
    <t>TRX0340</t>
  </si>
  <si>
    <t>21/03/2024</t>
  </si>
  <si>
    <t>TRX0341</t>
  </si>
  <si>
    <t>25-Mar-2024</t>
  </si>
  <si>
    <t>TRX0342</t>
  </si>
  <si>
    <t>4/3/2024</t>
  </si>
  <si>
    <t>TRX0343</t>
  </si>
  <si>
    <t>6/4/2024</t>
  </si>
  <si>
    <t>TRX0344</t>
  </si>
  <si>
    <t>2024/01/26</t>
  </si>
  <si>
    <t>TRX0345</t>
  </si>
  <si>
    <t>13/11/2024</t>
  </si>
  <si>
    <t>TRX0346</t>
  </si>
  <si>
    <t>TRX0347</t>
  </si>
  <si>
    <t>March 15, 2024</t>
  </si>
  <si>
    <t>TRX0348</t>
  </si>
  <si>
    <t>07/04/2024</t>
  </si>
  <si>
    <t>TRX0349</t>
  </si>
  <si>
    <t>2024/07/30</t>
  </si>
  <si>
    <t>TRX0350</t>
  </si>
  <si>
    <t>19-Jun-2024</t>
  </si>
  <si>
    <t>TRX0351</t>
  </si>
  <si>
    <t>45450</t>
  </si>
  <si>
    <t>TRX0352</t>
  </si>
  <si>
    <t>6/2/2024</t>
  </si>
  <si>
    <t>TRX0353</t>
  </si>
  <si>
    <t>24/8/2024</t>
  </si>
  <si>
    <t>TRX0354</t>
  </si>
  <si>
    <t>TRX0355</t>
  </si>
  <si>
    <t>10/04/2024</t>
  </si>
  <si>
    <t>TRX0356</t>
  </si>
  <si>
    <t>45299</t>
  </si>
  <si>
    <t>TRX0357</t>
  </si>
  <si>
    <t>18/10/2024</t>
  </si>
  <si>
    <t>TRX0358</t>
  </si>
  <si>
    <t>2024/07/25</t>
  </si>
  <si>
    <t>TRX0359</t>
  </si>
  <si>
    <t>04-Aug-2024</t>
  </si>
  <si>
    <t>TRX0360</t>
  </si>
  <si>
    <t>24/12/2024</t>
  </si>
  <si>
    <t>TRX0361</t>
  </si>
  <si>
    <t>2024/12/15</t>
  </si>
  <si>
    <t>TRX0362</t>
  </si>
  <si>
    <t>45524</t>
  </si>
  <si>
    <t>TRX0363</t>
  </si>
  <si>
    <t>27/4/2024</t>
  </si>
  <si>
    <t>TRX0364</t>
  </si>
  <si>
    <t>10/09/2024</t>
  </si>
  <si>
    <t>TRX0365</t>
  </si>
  <si>
    <t>TRX0366</t>
  </si>
  <si>
    <t>09/29/24</t>
  </si>
  <si>
    <t>TRX0367</t>
  </si>
  <si>
    <t>09/05/24</t>
  </si>
  <si>
    <t>TRX0368</t>
  </si>
  <si>
    <t>26-Oct-2024</t>
  </si>
  <si>
    <t>TRX0369</t>
  </si>
  <si>
    <t>09/20/2024</t>
  </si>
  <si>
    <t>TRX0370</t>
  </si>
  <si>
    <t>March 02, 2024</t>
  </si>
  <si>
    <t>TRX0371</t>
  </si>
  <si>
    <t>2024/07/24</t>
  </si>
  <si>
    <t>TRX0372</t>
  </si>
  <si>
    <t>10/01/24</t>
  </si>
  <si>
    <t>TRX0373</t>
  </si>
  <si>
    <t>December 06, 2024</t>
  </si>
  <si>
    <t>TRX0374</t>
  </si>
  <si>
    <t>2024/04/06</t>
  </si>
  <si>
    <t>TRX0375</t>
  </si>
  <si>
    <t>26/3/2024</t>
  </si>
  <si>
    <t>TRX0376</t>
  </si>
  <si>
    <t>TRX0377</t>
  </si>
  <si>
    <t>06/11/2024</t>
  </si>
  <si>
    <t>TRX0378</t>
  </si>
  <si>
    <t>May 06, 2024</t>
  </si>
  <si>
    <t>TRX0379</t>
  </si>
  <si>
    <t>03/03/24</t>
  </si>
  <si>
    <t>TRX0380</t>
  </si>
  <si>
    <t>May 09, 2024</t>
  </si>
  <si>
    <t>TRX0381</t>
  </si>
  <si>
    <t>05/23/24</t>
  </si>
  <si>
    <t>TRX0382</t>
  </si>
  <si>
    <t>14-Oct-2024</t>
  </si>
  <si>
    <t>TRX0383</t>
  </si>
  <si>
    <t>March 12, 2024</t>
  </si>
  <si>
    <t>TRX0384</t>
  </si>
  <si>
    <t>TRX0385</t>
  </si>
  <si>
    <t>2024/03/20</t>
  </si>
  <si>
    <t>TRX0386</t>
  </si>
  <si>
    <t>2024-12-16</t>
  </si>
  <si>
    <t>TRX0387</t>
  </si>
  <si>
    <t>22-Oct-2024</t>
  </si>
  <si>
    <t>TRX0388</t>
  </si>
  <si>
    <t>March 29, 2024</t>
  </si>
  <si>
    <t>TRX0389</t>
  </si>
  <si>
    <t>11/11/2024</t>
  </si>
  <si>
    <t>TRX0390</t>
  </si>
  <si>
    <t>25/4/2024</t>
  </si>
  <si>
    <t>TRX0391</t>
  </si>
  <si>
    <t>TRX0392</t>
  </si>
  <si>
    <t>04-Dec-2024</t>
  </si>
  <si>
    <t>TRX0393</t>
  </si>
  <si>
    <t>09/10/2024</t>
  </si>
  <si>
    <t>TRX0394</t>
  </si>
  <si>
    <t>2024/02/19</t>
  </si>
  <si>
    <t>TRX0395</t>
  </si>
  <si>
    <t>2024/07/02</t>
  </si>
  <si>
    <t>TRX0396</t>
  </si>
  <si>
    <t>28/05/2024</t>
  </si>
  <si>
    <t>TRX0397</t>
  </si>
  <si>
    <t>TRX0398</t>
  </si>
  <si>
    <t>2024-07-03</t>
  </si>
  <si>
    <t>TRX0399</t>
  </si>
  <si>
    <t>08/29/24</t>
  </si>
  <si>
    <t>TRX0400</t>
  </si>
  <si>
    <t>21/12/2024</t>
  </si>
  <si>
    <t>TRX0401</t>
  </si>
  <si>
    <t>29/12/2024</t>
  </si>
  <si>
    <t>TRX0402</t>
  </si>
  <si>
    <t>05/17/24</t>
  </si>
  <si>
    <t>TRX0403</t>
  </si>
  <si>
    <t>17/05/2024</t>
  </si>
  <si>
    <t>TRX0404</t>
  </si>
  <si>
    <t>January 20, 2024</t>
  </si>
  <si>
    <t>TRX0405</t>
  </si>
  <si>
    <t>TRX0406</t>
  </si>
  <si>
    <t>03/12/2024</t>
  </si>
  <si>
    <t>TRX0407</t>
  </si>
  <si>
    <t>01/08/24</t>
  </si>
  <si>
    <t>TRX0408</t>
  </si>
  <si>
    <t>TRX0409</t>
  </si>
  <si>
    <t>TRX0410</t>
  </si>
  <si>
    <t>10/2/2024</t>
  </si>
  <si>
    <t>TRX0411</t>
  </si>
  <si>
    <t>12/02/2024</t>
  </si>
  <si>
    <t>TRX0412</t>
  </si>
  <si>
    <t>27-Dec-2024</t>
  </si>
  <si>
    <t>TRX0413</t>
  </si>
  <si>
    <t>45554</t>
  </si>
  <si>
    <t>TRX0414</t>
  </si>
  <si>
    <t>07-Apr-2024</t>
  </si>
  <si>
    <t>TRX0415</t>
  </si>
  <si>
    <t>02/02/2024</t>
  </si>
  <si>
    <t>TRX0416</t>
  </si>
  <si>
    <t>07/17/24</t>
  </si>
  <si>
    <t>TRX0417</t>
  </si>
  <si>
    <t>TRX0418</t>
  </si>
  <si>
    <t>29/02/2024</t>
  </si>
  <si>
    <t>TRX0419</t>
  </si>
  <si>
    <t>02/04/24</t>
  </si>
  <si>
    <t>TRX0420</t>
  </si>
  <si>
    <t>08/08/2024</t>
  </si>
  <si>
    <t>TRX0421</t>
  </si>
  <si>
    <t>03/19/2024</t>
  </si>
  <si>
    <t>TRX0422</t>
  </si>
  <si>
    <t>2024/06/03</t>
  </si>
  <si>
    <t>TRX0423</t>
  </si>
  <si>
    <t>45590</t>
  </si>
  <si>
    <t>TRX0424</t>
  </si>
  <si>
    <t>17-Aug-2024</t>
  </si>
  <si>
    <t>TRX0425</t>
  </si>
  <si>
    <t>23-Nov-2024</t>
  </si>
  <si>
    <t>TRX0426</t>
  </si>
  <si>
    <t>TRX0427</t>
  </si>
  <si>
    <t>02/27/24</t>
  </si>
  <si>
    <t>TRX0428</t>
  </si>
  <si>
    <t>45371</t>
  </si>
  <si>
    <t>TRX0429</t>
  </si>
  <si>
    <t>09/09/2024</t>
  </si>
  <si>
    <t>TRX0430</t>
  </si>
  <si>
    <t>06/17/24</t>
  </si>
  <si>
    <t>TRX0431</t>
  </si>
  <si>
    <t>10-Mar-2024</t>
  </si>
  <si>
    <t>TRX0432</t>
  </si>
  <si>
    <t>2024/05/20</t>
  </si>
  <si>
    <t>TRX0433</t>
  </si>
  <si>
    <t>November 23, 2024</t>
  </si>
  <si>
    <t>TRX0434</t>
  </si>
  <si>
    <t>March 19, 2024</t>
  </si>
  <si>
    <t>TRX0435</t>
  </si>
  <si>
    <t>2024/04/17</t>
  </si>
  <si>
    <t>TRX0436</t>
  </si>
  <si>
    <t>14/3/2024</t>
  </si>
  <si>
    <t>TRX0437</t>
  </si>
  <si>
    <t>25-Nov-2024</t>
  </si>
  <si>
    <t>TRX0438</t>
  </si>
  <si>
    <t>3/2/2024</t>
  </si>
  <si>
    <t>TRX0439</t>
  </si>
  <si>
    <t>10-Jun-2024</t>
  </si>
  <si>
    <t>TRX0440</t>
  </si>
  <si>
    <t>03-May-2024</t>
  </si>
  <si>
    <t>TRX0441</t>
  </si>
  <si>
    <t>04/07/2024</t>
  </si>
  <si>
    <t>TRX0442</t>
  </si>
  <si>
    <t>October 16, 2024</t>
  </si>
  <si>
    <t>TRX0443</t>
  </si>
  <si>
    <t>45486</t>
  </si>
  <si>
    <t>TRX0444</t>
  </si>
  <si>
    <t>TRX0445</t>
  </si>
  <si>
    <t>2024/05/27</t>
  </si>
  <si>
    <t>TRX0446</t>
  </si>
  <si>
    <t>19-Nov-2024</t>
  </si>
  <si>
    <t>TRX0447</t>
  </si>
  <si>
    <t>12/01/24</t>
  </si>
  <si>
    <t>TRX0448</t>
  </si>
  <si>
    <t>04/02/2024</t>
  </si>
  <si>
    <t>TRX0449</t>
  </si>
  <si>
    <t>20/9/2024</t>
  </si>
  <si>
    <t>TRX0450</t>
  </si>
  <si>
    <t>18/11/2024</t>
  </si>
  <si>
    <t>TRX0451</t>
  </si>
  <si>
    <t>18/5/2024</t>
  </si>
  <si>
    <t>TRX0452</t>
  </si>
  <si>
    <t>27/05/2024</t>
  </si>
  <si>
    <t>TRX0453</t>
  </si>
  <si>
    <t>December 11, 2024</t>
  </si>
  <si>
    <t>TRX0454</t>
  </si>
  <si>
    <t>12/18/24</t>
  </si>
  <si>
    <t>TRX0455</t>
  </si>
  <si>
    <t>17/3/2024</t>
  </si>
  <si>
    <t>TRX0456</t>
  </si>
  <si>
    <t>07/02/24</t>
  </si>
  <si>
    <t>TRX0457</t>
  </si>
  <si>
    <t>TRX0458</t>
  </si>
  <si>
    <t>27-Aug-2024</t>
  </si>
  <si>
    <t>TRX0459</t>
  </si>
  <si>
    <t>August 21, 2024</t>
  </si>
  <si>
    <t>TRX0460</t>
  </si>
  <si>
    <t>TRX0461</t>
  </si>
  <si>
    <t>06/26/2024</t>
  </si>
  <si>
    <t>TRX0462</t>
  </si>
  <si>
    <t>03/07/24</t>
  </si>
  <si>
    <t>TRX0463</t>
  </si>
  <si>
    <t>45639</t>
  </si>
  <si>
    <t>TRX0464</t>
  </si>
  <si>
    <t>July 03, 2024</t>
  </si>
  <si>
    <t>TRX0465</t>
  </si>
  <si>
    <t>07-Jan-2024</t>
  </si>
  <si>
    <t>TRX0466</t>
  </si>
  <si>
    <t>TRX0467</t>
  </si>
  <si>
    <t>12/13/2024</t>
  </si>
  <si>
    <t>TRX0468</t>
  </si>
  <si>
    <t>12/25/24</t>
  </si>
  <si>
    <t>TRX0469</t>
  </si>
  <si>
    <t>20/12/2024</t>
  </si>
  <si>
    <t>TRX0470</t>
  </si>
  <si>
    <t>10/25/24</t>
  </si>
  <si>
    <t>TRX0471</t>
  </si>
  <si>
    <t>21/11/2024</t>
  </si>
  <si>
    <t>TRX0472</t>
  </si>
  <si>
    <t>30/5/2024</t>
  </si>
  <si>
    <t>TRX0473</t>
  </si>
  <si>
    <t>2024/01/27</t>
  </si>
  <si>
    <t>TRX0474</t>
  </si>
  <si>
    <t>TRX0475</t>
  </si>
  <si>
    <t>21-Apr-2024</t>
  </si>
  <si>
    <t>TRX0476</t>
  </si>
  <si>
    <t>TRX0477</t>
  </si>
  <si>
    <t>September 22, 2024</t>
  </si>
  <si>
    <t>TRX0478</t>
  </si>
  <si>
    <t>45586</t>
  </si>
  <si>
    <t>TRX0479</t>
  </si>
  <si>
    <t>10/15/24</t>
  </si>
  <si>
    <t>TRX0480</t>
  </si>
  <si>
    <t>12/17/2024</t>
  </si>
  <si>
    <t>TRX0481</t>
  </si>
  <si>
    <t>25-Oct-2024</t>
  </si>
  <si>
    <t>TRX0482</t>
  </si>
  <si>
    <t>TRX0483</t>
  </si>
  <si>
    <t>30/08/2024</t>
  </si>
  <si>
    <t>TRX0484</t>
  </si>
  <si>
    <t>3/9/2024</t>
  </si>
  <si>
    <t>TRX0485</t>
  </si>
  <si>
    <t>09/03/24</t>
  </si>
  <si>
    <t>TRX0486</t>
  </si>
  <si>
    <t>07/10/24</t>
  </si>
  <si>
    <t>TRX0487</t>
  </si>
  <si>
    <t>TRX0488</t>
  </si>
  <si>
    <t>TRX0489</t>
  </si>
  <si>
    <t>2024/04/03</t>
  </si>
  <si>
    <t>TRX0490</t>
  </si>
  <si>
    <t>05/10/2024</t>
  </si>
  <si>
    <t>TRX0491</t>
  </si>
  <si>
    <t>5/8/2024</t>
  </si>
  <si>
    <t>TRX0492</t>
  </si>
  <si>
    <t>21/1/2024</t>
  </si>
  <si>
    <t>TRX0493</t>
  </si>
  <si>
    <t>03-Apr-2024</t>
  </si>
  <si>
    <t>TRX0494</t>
  </si>
  <si>
    <t>August 13, 2024</t>
  </si>
  <si>
    <t>TRX0495</t>
  </si>
  <si>
    <t>30-Jul-2024</t>
  </si>
  <si>
    <t>TRX0496</t>
  </si>
  <si>
    <t>01/05/2024</t>
  </si>
  <si>
    <t>TRX0497</t>
  </si>
  <si>
    <t>22/1/2024</t>
  </si>
  <si>
    <t>TRX0498</t>
  </si>
  <si>
    <t>16/12/2024</t>
  </si>
  <si>
    <t>TRX0499</t>
  </si>
  <si>
    <t>10-Oct-2024</t>
  </si>
  <si>
    <t>TRX0500</t>
  </si>
  <si>
    <t>45515</t>
  </si>
  <si>
    <t>TRX0501</t>
  </si>
  <si>
    <t>45616</t>
  </si>
  <si>
    <t>TRX0502</t>
  </si>
  <si>
    <t>04/14/24</t>
  </si>
  <si>
    <t>TRX0503</t>
  </si>
  <si>
    <t>01/04/2024</t>
  </si>
  <si>
    <t>TRX0504</t>
  </si>
  <si>
    <t>10/12/2024</t>
  </si>
  <si>
    <t>TRX0505</t>
  </si>
  <si>
    <t>05/02/2024</t>
  </si>
  <si>
    <t>TRX0506</t>
  </si>
  <si>
    <t>12/22/2024</t>
  </si>
  <si>
    <t>TRX0507</t>
  </si>
  <si>
    <t>45530</t>
  </si>
  <si>
    <t>TRX0508</t>
  </si>
  <si>
    <t>2024-02-09</t>
  </si>
  <si>
    <t>TRX0509</t>
  </si>
  <si>
    <t>TRX0510</t>
  </si>
  <si>
    <t>22/05/2024</t>
  </si>
  <si>
    <t>TRX0511</t>
  </si>
  <si>
    <t>TRX0512</t>
  </si>
  <si>
    <t>16-Oct-2024</t>
  </si>
  <si>
    <t>TRX0513</t>
  </si>
  <si>
    <t>45352</t>
  </si>
  <si>
    <t>TRX0514</t>
  </si>
  <si>
    <t>2024-06-13</t>
  </si>
  <si>
    <t>TRX0515</t>
  </si>
  <si>
    <t>2024/05/07</t>
  </si>
  <si>
    <t>TRX0516</t>
  </si>
  <si>
    <t>21-Jul-2024</t>
  </si>
  <si>
    <t>TRX0517</t>
  </si>
  <si>
    <t>TRX0518</t>
  </si>
  <si>
    <t>45611</t>
  </si>
  <si>
    <t>TRX0519</t>
  </si>
  <si>
    <t>1/10/2024</t>
  </si>
  <si>
    <t>TRX0520</t>
  </si>
  <si>
    <t>October 05, 2024</t>
  </si>
  <si>
    <t>TRX0521</t>
  </si>
  <si>
    <t>17-Oct-2024</t>
  </si>
  <si>
    <t>TRX0522</t>
  </si>
  <si>
    <t>November 15, 2024</t>
  </si>
  <si>
    <t>TRX0523</t>
  </si>
  <si>
    <t>07/23/24</t>
  </si>
  <si>
    <t>TRX0524</t>
  </si>
  <si>
    <t>2024/08/28</t>
  </si>
  <si>
    <t>TRX0525</t>
  </si>
  <si>
    <t>2024-07-02</t>
  </si>
  <si>
    <t>TRX0526</t>
  </si>
  <si>
    <t>14/12/2024</t>
  </si>
  <si>
    <t>TRX0527</t>
  </si>
  <si>
    <t>2024/08/13</t>
  </si>
  <si>
    <t>TRX0528</t>
  </si>
  <si>
    <t>22/03/2024</t>
  </si>
  <si>
    <t>TRX0529</t>
  </si>
  <si>
    <t>12/16/2024</t>
  </si>
  <si>
    <t>TRX0530</t>
  </si>
  <si>
    <t>2024/06/01</t>
  </si>
  <si>
    <t>TRX0531</t>
  </si>
  <si>
    <t>2024-12-05</t>
  </si>
  <si>
    <t>TRX0532</t>
  </si>
  <si>
    <t>2024/07/09</t>
  </si>
  <si>
    <t>TRX0533</t>
  </si>
  <si>
    <t>09/11/24</t>
  </si>
  <si>
    <t>TRX0534</t>
  </si>
  <si>
    <t>02/01/2024</t>
  </si>
  <si>
    <t>TRX0535</t>
  </si>
  <si>
    <t>TRX0536</t>
  </si>
  <si>
    <t>TRX0537</t>
  </si>
  <si>
    <t>9/2/2024</t>
  </si>
  <si>
    <t>TRX0538</t>
  </si>
  <si>
    <t>TRX0539</t>
  </si>
  <si>
    <t>12/5/2024</t>
  </si>
  <si>
    <t>TRX0540</t>
  </si>
  <si>
    <t>15/6/2024</t>
  </si>
  <si>
    <t>TRX0541</t>
  </si>
  <si>
    <t>2024-04-30</t>
  </si>
  <si>
    <t>TRX0542</t>
  </si>
  <si>
    <t>TRX0543</t>
  </si>
  <si>
    <t>TRX0544</t>
  </si>
  <si>
    <t>01/03/24</t>
  </si>
  <si>
    <t>TRX0545</t>
  </si>
  <si>
    <t>2024-07-09</t>
  </si>
  <si>
    <t>TRX0546</t>
  </si>
  <si>
    <t>TRX0547</t>
  </si>
  <si>
    <t>2024-03-29</t>
  </si>
  <si>
    <t>TRX0548</t>
  </si>
  <si>
    <t>February 24, 2024</t>
  </si>
  <si>
    <t>TRX0549</t>
  </si>
  <si>
    <t>09-Apr-2024</t>
  </si>
  <si>
    <t>TRX0550</t>
  </si>
  <si>
    <t>TRX0551</t>
  </si>
  <si>
    <t>TRX0552</t>
  </si>
  <si>
    <t>18-Jul-2024</t>
  </si>
  <si>
    <t>TRX0553</t>
  </si>
  <si>
    <t>06-May-2024</t>
  </si>
  <si>
    <t>TRX0554</t>
  </si>
  <si>
    <t>45427</t>
  </si>
  <si>
    <t>TRX0555</t>
  </si>
  <si>
    <t>2024/07/21</t>
  </si>
  <si>
    <t>TRX0556</t>
  </si>
  <si>
    <t>19/05/2024</t>
  </si>
  <si>
    <t>TRX0557</t>
  </si>
  <si>
    <t>16-Jan-2024</t>
  </si>
  <si>
    <t>TRX0558</t>
  </si>
  <si>
    <t>30-Aug-2024</t>
  </si>
  <si>
    <t>TRX0559</t>
  </si>
  <si>
    <t>2024-08-07</t>
  </si>
  <si>
    <t>TRX0560</t>
  </si>
  <si>
    <t>04/04/2024</t>
  </si>
  <si>
    <t>TRX0561</t>
  </si>
  <si>
    <t>2024/07/26</t>
  </si>
  <si>
    <t>TRX0562</t>
  </si>
  <si>
    <t>2024/08/23</t>
  </si>
  <si>
    <t>TRX0563</t>
  </si>
  <si>
    <t>16/04/2024</t>
  </si>
  <si>
    <t>TRX0564</t>
  </si>
  <si>
    <t>2024-05-22</t>
  </si>
  <si>
    <t>TRX0565</t>
  </si>
  <si>
    <t>May 30, 2024</t>
  </si>
  <si>
    <t>TRX0566</t>
  </si>
  <si>
    <t>09/01/2024</t>
  </si>
  <si>
    <t>TRX0567</t>
  </si>
  <si>
    <t>11/29/24</t>
  </si>
  <si>
    <t>TRX0568</t>
  </si>
  <si>
    <t>September 02, 2024</t>
  </si>
  <si>
    <t>TRX0569</t>
  </si>
  <si>
    <t>July 04, 2024</t>
  </si>
  <si>
    <t>TRX0570</t>
  </si>
  <si>
    <t>2024-10-22</t>
  </si>
  <si>
    <t>TRX0571</t>
  </si>
  <si>
    <t>TRX0572</t>
  </si>
  <si>
    <t>2024/01/23</t>
  </si>
  <si>
    <t>TRX0573</t>
  </si>
  <si>
    <t>5/2/2024</t>
  </si>
  <si>
    <t>TRX0574</t>
  </si>
  <si>
    <t>23-Jan-2024</t>
  </si>
  <si>
    <t>TRX0575</t>
  </si>
  <si>
    <t>13/1/2024</t>
  </si>
  <si>
    <t>TRX0576</t>
  </si>
  <si>
    <t>2/2/2024</t>
  </si>
  <si>
    <t>TRX0577</t>
  </si>
  <si>
    <t>2024-06-26</t>
  </si>
  <si>
    <t>TRX0578</t>
  </si>
  <si>
    <t>TRX0579</t>
  </si>
  <si>
    <t>TRX0580</t>
  </si>
  <si>
    <t>16-Dec-2024</t>
  </si>
  <si>
    <t>TRX0581</t>
  </si>
  <si>
    <t>17/10/2024</t>
  </si>
  <si>
    <t>TRX0582</t>
  </si>
  <si>
    <t>10/06/2024</t>
  </si>
  <si>
    <t>TRX0583</t>
  </si>
  <si>
    <t>10/17/2024</t>
  </si>
  <si>
    <t>TRX0584</t>
  </si>
  <si>
    <t>27/04/2024</t>
  </si>
  <si>
    <t>TRX0585</t>
  </si>
  <si>
    <t>08/22/2024</t>
  </si>
  <si>
    <t>TRX0586</t>
  </si>
  <si>
    <t>June 19, 2024</t>
  </si>
  <si>
    <t>TRX0587</t>
  </si>
  <si>
    <t>28/04/2024</t>
  </si>
  <si>
    <t>TRX0588</t>
  </si>
  <si>
    <t>2024-10-19</t>
  </si>
  <si>
    <t>TRX0589</t>
  </si>
  <si>
    <t>26/12/2024</t>
  </si>
  <si>
    <t>TRX0590</t>
  </si>
  <si>
    <t>2024-02-04</t>
  </si>
  <si>
    <t>TRX0591</t>
  </si>
  <si>
    <t>09-Aug-2024</t>
  </si>
  <si>
    <t>TRX0592</t>
  </si>
  <si>
    <t>19-Feb-2024</t>
  </si>
  <si>
    <t>TRX0593</t>
  </si>
  <si>
    <t>April 23, 2024</t>
  </si>
  <si>
    <t>TRX0594</t>
  </si>
  <si>
    <t>TRX0595</t>
  </si>
  <si>
    <t>TRX0596</t>
  </si>
  <si>
    <t>TRX0597</t>
  </si>
  <si>
    <t>TRX0598</t>
  </si>
  <si>
    <t>TRX0599</t>
  </si>
  <si>
    <t>TRX0600</t>
  </si>
  <si>
    <t>January 05, 2024</t>
  </si>
  <si>
    <t>Tanggal_Clean</t>
  </si>
  <si>
    <t>Nama_Produk</t>
  </si>
  <si>
    <t>Kategori</t>
  </si>
  <si>
    <t>Supplier</t>
  </si>
  <si>
    <t>Gudang</t>
  </si>
  <si>
    <t>Kota Gudang</t>
  </si>
  <si>
    <t>Harga_Beli</t>
  </si>
  <si>
    <t>Harga Jual</t>
  </si>
  <si>
    <t>Stok</t>
  </si>
  <si>
    <t>Min_Stok</t>
  </si>
  <si>
    <t>Status</t>
  </si>
  <si>
    <t>Notes Gudang</t>
  </si>
  <si>
    <t>Laptop Dell XPS 13</t>
  </si>
  <si>
    <t>Elektronik</t>
  </si>
  <si>
    <t>Dell Indonesia</t>
  </si>
  <si>
    <t>Gudang Ciledug</t>
  </si>
  <si>
    <t>Aktif</t>
  </si>
  <si>
    <t>Stok Aman</t>
  </si>
  <si>
    <t>Mouse Wireless</t>
  </si>
  <si>
    <t>Aksesoris</t>
  </si>
  <si>
    <t>Logitech</t>
  </si>
  <si>
    <t>Gudang Narogong</t>
  </si>
  <si>
    <t>Keyboard Mechanical</t>
  </si>
  <si>
    <t>Keychron</t>
  </si>
  <si>
    <t>Gudang Cilodong</t>
  </si>
  <si>
    <t>Depok</t>
  </si>
  <si>
    <t>Monitor LG 24"</t>
  </si>
  <si>
    <t>LG Electronics</t>
  </si>
  <si>
    <t>Webcam Logitech</t>
  </si>
  <si>
    <t>Printer HP LaserJet</t>
  </si>
  <si>
    <t>HP Indonesia</t>
  </si>
  <si>
    <t>SSD Samsung 1TB</t>
  </si>
  <si>
    <t>Komponen</t>
  </si>
  <si>
    <t>Samsung</t>
  </si>
  <si>
    <t>RAM DDR4 16GB</t>
  </si>
  <si>
    <t>Corsair</t>
  </si>
  <si>
    <t>Stok Hampir Habis</t>
  </si>
  <si>
    <t>Speaker Bluetooth</t>
  </si>
  <si>
    <t>Audio</t>
  </si>
  <si>
    <t>JBL</t>
  </si>
  <si>
    <t>Headset Gaming</t>
  </si>
  <si>
    <t>HyperX</t>
  </si>
  <si>
    <t>External HDD 2TB</t>
  </si>
  <si>
    <t>Seagate</t>
  </si>
  <si>
    <t>USB Flash Drive 64GB</t>
  </si>
  <si>
    <t>SanDisk</t>
  </si>
  <si>
    <t>Laptop Asus ROG</t>
  </si>
  <si>
    <t>Asus Indonesia</t>
  </si>
  <si>
    <t>Tablet Samsung Galaxy</t>
  </si>
  <si>
    <t>Perlu Restock</t>
  </si>
  <si>
    <t>Power Bank 20000mAh</t>
  </si>
  <si>
    <t>Anker</t>
  </si>
  <si>
    <t>Microphone USB</t>
  </si>
  <si>
    <t>Blue Yeti</t>
  </si>
  <si>
    <t>Graphics Card RTX 3060</t>
  </si>
  <si>
    <t>Nvidia</t>
  </si>
  <si>
    <t>Motherboard ASUS</t>
  </si>
  <si>
    <t>Cooling Fan RGB</t>
  </si>
  <si>
    <t>Cooler Master</t>
  </si>
  <si>
    <t>Gaming Chair</t>
  </si>
  <si>
    <t>Furnitur</t>
  </si>
  <si>
    <t>DXRacer</t>
  </si>
  <si>
    <t>Macbook Air 256GB</t>
  </si>
  <si>
    <t>Apple Indonesia</t>
  </si>
  <si>
    <t>Tidak Aktif</t>
  </si>
  <si>
    <t>Habis</t>
  </si>
  <si>
    <t>P022</t>
  </si>
  <si>
    <t>iPhone 18 Promax</t>
  </si>
  <si>
    <t>P023</t>
  </si>
  <si>
    <t>iPhone 18 Pro to the max</t>
  </si>
  <si>
    <t>P024</t>
  </si>
  <si>
    <t>iPad 100</t>
  </si>
  <si>
    <t>Barang Hilang</t>
  </si>
  <si>
    <t>Kota_Gudang</t>
  </si>
  <si>
    <t>Harga_Jual</t>
  </si>
  <si>
    <t>Tipe_Pelanggan</t>
  </si>
  <si>
    <t>Kota_Pelanggan</t>
  </si>
  <si>
    <t>Revenue</t>
  </si>
  <si>
    <t>Profit</t>
  </si>
  <si>
    <t>Margin</t>
  </si>
  <si>
    <t>Row Labels</t>
  </si>
  <si>
    <t>Grand Total</t>
  </si>
  <si>
    <t>Column Labels</t>
  </si>
  <si>
    <t>Sum of Revenue</t>
  </si>
  <si>
    <t>Jan</t>
  </si>
  <si>
    <t>Feb</t>
  </si>
  <si>
    <t>Mar</t>
  </si>
  <si>
    <t>Apr</t>
  </si>
  <si>
    <t>May</t>
  </si>
  <si>
    <t>Jun</t>
  </si>
  <si>
    <t>Jul</t>
  </si>
  <si>
    <t>Aug</t>
  </si>
  <si>
    <t>Sep</t>
  </si>
  <si>
    <t>Oct</t>
  </si>
  <si>
    <t>Nov</t>
  </si>
  <si>
    <t>Dec</t>
  </si>
  <si>
    <t>Count of ID_Transaksi</t>
  </si>
  <si>
    <t>Sum of Profit</t>
  </si>
  <si>
    <t>Sum of Stok</t>
  </si>
  <si>
    <t>Sum of Min_Stok</t>
  </si>
  <si>
    <t>(All)</t>
  </si>
  <si>
    <t>Average of Margin</t>
  </si>
  <si>
    <t>Total Sum of Revenue</t>
  </si>
  <si>
    <t>Total Sum of Profit</t>
  </si>
  <si>
    <t>Total Average of Margin</t>
  </si>
  <si>
    <t>Qtr1</t>
  </si>
  <si>
    <t>Qtr2</t>
  </si>
  <si>
    <t>Qtr3</t>
  </si>
  <si>
    <t>Qtr4</t>
  </si>
  <si>
    <t>Kategori Produk Paling Menguntungkan per Kuartal 2024</t>
  </si>
  <si>
    <t>Insight:</t>
  </si>
  <si>
    <r>
      <t>1.</t>
    </r>
    <r>
      <rPr>
        <b/>
        <sz val="11"/>
        <color theme="1"/>
        <rFont val="Aptos Narrow"/>
        <family val="2"/>
        <scheme val="minor"/>
      </rPr>
      <t xml:space="preserve"> Elektronik adalah kategori terlaris</t>
    </r>
    <r>
      <rPr>
        <sz val="11"/>
        <color theme="1"/>
        <rFont val="Aptos Narrow"/>
        <family val="2"/>
        <scheme val="minor"/>
      </rPr>
      <t xml:space="preserve">
Revenue Elektronik mencapai Rp13,6 miliar, jauh di atas kategori lain yang rata-rata hanya di bawah Rp1 miliar. Elektronik jelas menjadi tulang punggung penjualan toko.
2. </t>
    </r>
    <r>
      <rPr>
        <b/>
        <sz val="11"/>
        <color theme="1"/>
        <rFont val="Aptos Narrow"/>
        <family val="2"/>
        <scheme val="minor"/>
      </rPr>
      <t>Furnitur paling efisien secara keuntungan</t>
    </r>
    <r>
      <rPr>
        <sz val="11"/>
        <color theme="1"/>
        <rFont val="Aptos Narrow"/>
        <family val="2"/>
        <scheme val="minor"/>
      </rPr>
      <t xml:space="preserve">
Meskipun penjualannya tidak sebesar Elektronik, margin Furnitur selalu stabil di 40,86% setiap kuartal,tertinggi di antara semua kategori. Artinya setiap produk Furnitur yang terjual memberikan keuntungan yang paling besar secara proporsional.
3. </t>
    </r>
    <r>
      <rPr>
        <b/>
        <sz val="11"/>
        <color theme="1"/>
        <rFont val="Aptos Narrow"/>
        <family val="2"/>
        <scheme val="minor"/>
      </rPr>
      <t>Penjualan toko memuncak di Q4</t>
    </r>
    <r>
      <rPr>
        <sz val="11"/>
        <color theme="1"/>
        <rFont val="Aptos Narrow"/>
        <family val="2"/>
        <scheme val="minor"/>
      </rPr>
      <t xml:space="preserve">
Total Revenue Q4 adalah yang tertinggi sepanjang tahun di Rp5,6 miliar, sementara Q3 adalah yang terendah di Rp4,09 miliar. Toko cenderung ramai di akhir tahun dan sepi di pertengahan tahun.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</si>
</sst>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8" tint="0.79998168889431442"/>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NumberFormat="1"/>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2" borderId="10" xfId="0" applyFill="1" applyBorder="1" applyAlignment="1">
      <alignment horizontal="center"/>
    </xf>
    <xf numFmtId="0" fontId="0" fillId="0" borderId="10" xfId="0" applyBorder="1" applyAlignment="1">
      <alignment horizontal="left" vertical="top" wrapText="1"/>
    </xf>
    <xf numFmtId="0" fontId="1" fillId="0" borderId="0" xfId="0" applyFont="1" applyAlignment="1">
      <alignment horizontal="center"/>
    </xf>
  </cellXfs>
  <cellStyles count="1">
    <cellStyle name="Normal" xfId="0" builtinId="0"/>
  </cellStyles>
  <dxfs count="53">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[TI1-2306207921-AlishaAlineAthiyyah (1).xlsx]Insight BOD!PivotTable11</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'Insight BOD'!$B$3:$B$5</c:f>
              <c:strCache>
                <c:ptCount val="1"/>
                <c:pt idx="0">
                  <c:v>Aksesoris - Sum of Revenue</c:v>
                </c:pt>
              </c:strCache>
            </c:strRef>
          </c:tx>
          <c:spPr>
            <a:solidFill>
              <a:schemeClr val="accent1"/>
            </a:solidFill>
            <a:ln>
              <a:noFill/>
            </a:ln>
            <a:effectLst/>
            <a:sp3d/>
          </c:spPr>
          <c:invertIfNegative val="0"/>
          <c:cat>
            <c:strRef>
              <c:f>'Insight BOD'!$A$6:$A$10</c:f>
              <c:strCache>
                <c:ptCount val="4"/>
                <c:pt idx="0">
                  <c:v>Qtr1</c:v>
                </c:pt>
                <c:pt idx="1">
                  <c:v>Qtr2</c:v>
                </c:pt>
                <c:pt idx="2">
                  <c:v>Qtr3</c:v>
                </c:pt>
                <c:pt idx="3">
                  <c:v>Qtr4</c:v>
                </c:pt>
              </c:strCache>
            </c:strRef>
          </c:cat>
          <c:val>
            <c:numRef>
              <c:f>'Insight BOD'!$B$6:$B$10</c:f>
              <c:numCache>
                <c:formatCode>General</c:formatCode>
                <c:ptCount val="4"/>
                <c:pt idx="0">
                  <c:v>107506000</c:v>
                </c:pt>
                <c:pt idx="1">
                  <c:v>146275000</c:v>
                </c:pt>
                <c:pt idx="2">
                  <c:v>118907000</c:v>
                </c:pt>
                <c:pt idx="3">
                  <c:v>100551000</c:v>
                </c:pt>
              </c:numCache>
            </c:numRef>
          </c:val>
          <c:extLst>
            <c:ext xmlns:c16="http://schemas.microsoft.com/office/drawing/2014/chart" uri="{C3380CC4-5D6E-409C-BE32-E72D297353CC}">
              <c16:uniqueId val="{00000000-9EE3-476A-98E2-9DC624D4780D}"/>
            </c:ext>
          </c:extLst>
        </c:ser>
        <c:ser>
          <c:idx val="1"/>
          <c:order val="1"/>
          <c:tx>
            <c:strRef>
              <c:f>'Insight BOD'!$C$3:$C$5</c:f>
              <c:strCache>
                <c:ptCount val="1"/>
                <c:pt idx="0">
                  <c:v>Aksesoris - Sum of Profit</c:v>
                </c:pt>
              </c:strCache>
            </c:strRef>
          </c:tx>
          <c:spPr>
            <a:solidFill>
              <a:schemeClr val="accent2"/>
            </a:solidFill>
            <a:ln>
              <a:noFill/>
            </a:ln>
            <a:effectLst/>
            <a:sp3d/>
          </c:spPr>
          <c:invertIfNegative val="0"/>
          <c:cat>
            <c:strRef>
              <c:f>'Insight BOD'!$A$6:$A$10</c:f>
              <c:strCache>
                <c:ptCount val="4"/>
                <c:pt idx="0">
                  <c:v>Qtr1</c:v>
                </c:pt>
                <c:pt idx="1">
                  <c:v>Qtr2</c:v>
                </c:pt>
                <c:pt idx="2">
                  <c:v>Qtr3</c:v>
                </c:pt>
                <c:pt idx="3">
                  <c:v>Qtr4</c:v>
                </c:pt>
              </c:strCache>
            </c:strRef>
          </c:cat>
          <c:val>
            <c:numRef>
              <c:f>'Insight BOD'!$C$6:$C$10</c:f>
              <c:numCache>
                <c:formatCode>General</c:formatCode>
                <c:ptCount val="4"/>
                <c:pt idx="0">
                  <c:v>27336000</c:v>
                </c:pt>
                <c:pt idx="1">
                  <c:v>30745000</c:v>
                </c:pt>
                <c:pt idx="2">
                  <c:v>28277000</c:v>
                </c:pt>
                <c:pt idx="3">
                  <c:v>26101000</c:v>
                </c:pt>
              </c:numCache>
            </c:numRef>
          </c:val>
          <c:extLst>
            <c:ext xmlns:c16="http://schemas.microsoft.com/office/drawing/2014/chart" uri="{C3380CC4-5D6E-409C-BE32-E72D297353CC}">
              <c16:uniqueId val="{00000001-9EE3-476A-98E2-9DC624D4780D}"/>
            </c:ext>
          </c:extLst>
        </c:ser>
        <c:ser>
          <c:idx val="2"/>
          <c:order val="2"/>
          <c:tx>
            <c:strRef>
              <c:f>'Insight BOD'!$D$3:$D$5</c:f>
              <c:strCache>
                <c:ptCount val="1"/>
                <c:pt idx="0">
                  <c:v>Aksesoris - Average of Margin</c:v>
                </c:pt>
              </c:strCache>
            </c:strRef>
          </c:tx>
          <c:spPr>
            <a:solidFill>
              <a:schemeClr val="accent3"/>
            </a:solidFill>
            <a:ln>
              <a:noFill/>
            </a:ln>
            <a:effectLst/>
            <a:sp3d/>
          </c:spPr>
          <c:invertIfNegative val="0"/>
          <c:cat>
            <c:strRef>
              <c:f>'Insight BOD'!$A$6:$A$10</c:f>
              <c:strCache>
                <c:ptCount val="4"/>
                <c:pt idx="0">
                  <c:v>Qtr1</c:v>
                </c:pt>
                <c:pt idx="1">
                  <c:v>Qtr2</c:v>
                </c:pt>
                <c:pt idx="2">
                  <c:v>Qtr3</c:v>
                </c:pt>
                <c:pt idx="3">
                  <c:v>Qtr4</c:v>
                </c:pt>
              </c:strCache>
            </c:strRef>
          </c:cat>
          <c:val>
            <c:numRef>
              <c:f>'Insight BOD'!$D$6:$D$10</c:f>
              <c:numCache>
                <c:formatCode>General</c:formatCode>
                <c:ptCount val="4"/>
                <c:pt idx="0">
                  <c:v>26.049117647058832</c:v>
                </c:pt>
                <c:pt idx="1">
                  <c:v>24.379285714285714</c:v>
                </c:pt>
                <c:pt idx="2">
                  <c:v>21.754545454545454</c:v>
                </c:pt>
                <c:pt idx="3">
                  <c:v>25.630263157894738</c:v>
                </c:pt>
              </c:numCache>
            </c:numRef>
          </c:val>
          <c:extLst>
            <c:ext xmlns:c16="http://schemas.microsoft.com/office/drawing/2014/chart" uri="{C3380CC4-5D6E-409C-BE32-E72D297353CC}">
              <c16:uniqueId val="{00000002-9EE3-476A-98E2-9DC624D4780D}"/>
            </c:ext>
          </c:extLst>
        </c:ser>
        <c:ser>
          <c:idx val="3"/>
          <c:order val="3"/>
          <c:tx>
            <c:strRef>
              <c:f>'Insight BOD'!$E$3:$E$5</c:f>
              <c:strCache>
                <c:ptCount val="1"/>
                <c:pt idx="0">
                  <c:v>Audio - Sum of Revenue</c:v>
                </c:pt>
              </c:strCache>
            </c:strRef>
          </c:tx>
          <c:spPr>
            <a:solidFill>
              <a:schemeClr val="accent4"/>
            </a:solidFill>
            <a:ln>
              <a:noFill/>
            </a:ln>
            <a:effectLst/>
            <a:sp3d/>
          </c:spPr>
          <c:invertIfNegative val="0"/>
          <c:cat>
            <c:strRef>
              <c:f>'Insight BOD'!$A$6:$A$10</c:f>
              <c:strCache>
                <c:ptCount val="4"/>
                <c:pt idx="0">
                  <c:v>Qtr1</c:v>
                </c:pt>
                <c:pt idx="1">
                  <c:v>Qtr2</c:v>
                </c:pt>
                <c:pt idx="2">
                  <c:v>Qtr3</c:v>
                </c:pt>
                <c:pt idx="3">
                  <c:v>Qtr4</c:v>
                </c:pt>
              </c:strCache>
            </c:strRef>
          </c:cat>
          <c:val>
            <c:numRef>
              <c:f>'Insight BOD'!$E$6:$E$10</c:f>
              <c:numCache>
                <c:formatCode>General</c:formatCode>
                <c:ptCount val="4"/>
                <c:pt idx="0">
                  <c:v>177973000</c:v>
                </c:pt>
                <c:pt idx="1">
                  <c:v>159485000</c:v>
                </c:pt>
                <c:pt idx="2">
                  <c:v>135115000</c:v>
                </c:pt>
                <c:pt idx="3">
                  <c:v>176853000</c:v>
                </c:pt>
              </c:numCache>
            </c:numRef>
          </c:val>
          <c:extLst>
            <c:ext xmlns:c16="http://schemas.microsoft.com/office/drawing/2014/chart" uri="{C3380CC4-5D6E-409C-BE32-E72D297353CC}">
              <c16:uniqueId val="{00000010-9EE3-476A-98E2-9DC624D4780D}"/>
            </c:ext>
          </c:extLst>
        </c:ser>
        <c:ser>
          <c:idx val="4"/>
          <c:order val="4"/>
          <c:tx>
            <c:strRef>
              <c:f>'Insight BOD'!$F$3:$F$5</c:f>
              <c:strCache>
                <c:ptCount val="1"/>
                <c:pt idx="0">
                  <c:v>Audio - Sum of Profit</c:v>
                </c:pt>
              </c:strCache>
            </c:strRef>
          </c:tx>
          <c:spPr>
            <a:solidFill>
              <a:schemeClr val="accent5"/>
            </a:solidFill>
            <a:ln>
              <a:noFill/>
            </a:ln>
            <a:effectLst/>
            <a:sp3d/>
          </c:spPr>
          <c:invertIfNegative val="0"/>
          <c:cat>
            <c:strRef>
              <c:f>'Insight BOD'!$A$6:$A$10</c:f>
              <c:strCache>
                <c:ptCount val="4"/>
                <c:pt idx="0">
                  <c:v>Qtr1</c:v>
                </c:pt>
                <c:pt idx="1">
                  <c:v>Qtr2</c:v>
                </c:pt>
                <c:pt idx="2">
                  <c:v>Qtr3</c:v>
                </c:pt>
                <c:pt idx="3">
                  <c:v>Qtr4</c:v>
                </c:pt>
              </c:strCache>
            </c:strRef>
          </c:cat>
          <c:val>
            <c:numRef>
              <c:f>'Insight BOD'!$F$6:$F$10</c:f>
              <c:numCache>
                <c:formatCode>General</c:formatCode>
                <c:ptCount val="4"/>
                <c:pt idx="0">
                  <c:v>44223000</c:v>
                </c:pt>
                <c:pt idx="1">
                  <c:v>37085000</c:v>
                </c:pt>
                <c:pt idx="2">
                  <c:v>34815000</c:v>
                </c:pt>
                <c:pt idx="3">
                  <c:v>47403000</c:v>
                </c:pt>
              </c:numCache>
            </c:numRef>
          </c:val>
          <c:extLst>
            <c:ext xmlns:c16="http://schemas.microsoft.com/office/drawing/2014/chart" uri="{C3380CC4-5D6E-409C-BE32-E72D297353CC}">
              <c16:uniqueId val="{00000011-9EE3-476A-98E2-9DC624D4780D}"/>
            </c:ext>
          </c:extLst>
        </c:ser>
        <c:ser>
          <c:idx val="5"/>
          <c:order val="5"/>
          <c:tx>
            <c:strRef>
              <c:f>'Insight BOD'!$G$3:$G$5</c:f>
              <c:strCache>
                <c:ptCount val="1"/>
                <c:pt idx="0">
                  <c:v>Audio - Average of Margin</c:v>
                </c:pt>
              </c:strCache>
            </c:strRef>
          </c:tx>
          <c:spPr>
            <a:solidFill>
              <a:schemeClr val="accent6"/>
            </a:solidFill>
            <a:ln>
              <a:noFill/>
            </a:ln>
            <a:effectLst/>
            <a:sp3d/>
          </c:spPr>
          <c:invertIfNegative val="0"/>
          <c:cat>
            <c:strRef>
              <c:f>'Insight BOD'!$A$6:$A$10</c:f>
              <c:strCache>
                <c:ptCount val="4"/>
                <c:pt idx="0">
                  <c:v>Qtr1</c:v>
                </c:pt>
                <c:pt idx="1">
                  <c:v>Qtr2</c:v>
                </c:pt>
                <c:pt idx="2">
                  <c:v>Qtr3</c:v>
                </c:pt>
                <c:pt idx="3">
                  <c:v>Qtr4</c:v>
                </c:pt>
              </c:strCache>
            </c:strRef>
          </c:cat>
          <c:val>
            <c:numRef>
              <c:f>'Insight BOD'!$G$6:$G$10</c:f>
              <c:numCache>
                <c:formatCode>General</c:formatCode>
                <c:ptCount val="4"/>
                <c:pt idx="0">
                  <c:v>26.929583333333337</c:v>
                </c:pt>
                <c:pt idx="1">
                  <c:v>25.542083333333334</c:v>
                </c:pt>
                <c:pt idx="2">
                  <c:v>30.111578947368422</c:v>
                </c:pt>
                <c:pt idx="3">
                  <c:v>30.25</c:v>
                </c:pt>
              </c:numCache>
            </c:numRef>
          </c:val>
          <c:extLst>
            <c:ext xmlns:c16="http://schemas.microsoft.com/office/drawing/2014/chart" uri="{C3380CC4-5D6E-409C-BE32-E72D297353CC}">
              <c16:uniqueId val="{00000012-9EE3-476A-98E2-9DC624D4780D}"/>
            </c:ext>
          </c:extLst>
        </c:ser>
        <c:ser>
          <c:idx val="6"/>
          <c:order val="6"/>
          <c:tx>
            <c:strRef>
              <c:f>'Insight BOD'!$H$3:$H$5</c:f>
              <c:strCache>
                <c:ptCount val="1"/>
                <c:pt idx="0">
                  <c:v>Elektronik - Sum of Revenue</c:v>
                </c:pt>
              </c:strCache>
            </c:strRef>
          </c:tx>
          <c:spPr>
            <a:solidFill>
              <a:schemeClr val="accent1">
                <a:lumMod val="60000"/>
              </a:schemeClr>
            </a:solidFill>
            <a:ln>
              <a:noFill/>
            </a:ln>
            <a:effectLst/>
            <a:sp3d/>
          </c:spPr>
          <c:invertIfNegative val="0"/>
          <c:cat>
            <c:strRef>
              <c:f>'Insight BOD'!$A$6:$A$10</c:f>
              <c:strCache>
                <c:ptCount val="4"/>
                <c:pt idx="0">
                  <c:v>Qtr1</c:v>
                </c:pt>
                <c:pt idx="1">
                  <c:v>Qtr2</c:v>
                </c:pt>
                <c:pt idx="2">
                  <c:v>Qtr3</c:v>
                </c:pt>
                <c:pt idx="3">
                  <c:v>Qtr4</c:v>
                </c:pt>
              </c:strCache>
            </c:strRef>
          </c:cat>
          <c:val>
            <c:numRef>
              <c:f>'Insight BOD'!$H$6:$H$10</c:f>
              <c:numCache>
                <c:formatCode>General</c:formatCode>
                <c:ptCount val="4"/>
                <c:pt idx="0">
                  <c:v>3648653000</c:v>
                </c:pt>
                <c:pt idx="1">
                  <c:v>3440975000</c:v>
                </c:pt>
                <c:pt idx="2">
                  <c:v>2231342000</c:v>
                </c:pt>
                <c:pt idx="3">
                  <c:v>4306214000</c:v>
                </c:pt>
              </c:numCache>
            </c:numRef>
          </c:val>
          <c:extLst>
            <c:ext xmlns:c16="http://schemas.microsoft.com/office/drawing/2014/chart" uri="{C3380CC4-5D6E-409C-BE32-E72D297353CC}">
              <c16:uniqueId val="{00000013-9EE3-476A-98E2-9DC624D4780D}"/>
            </c:ext>
          </c:extLst>
        </c:ser>
        <c:ser>
          <c:idx val="7"/>
          <c:order val="7"/>
          <c:tx>
            <c:strRef>
              <c:f>'Insight BOD'!$I$3:$I$5</c:f>
              <c:strCache>
                <c:ptCount val="1"/>
                <c:pt idx="0">
                  <c:v>Elektronik - Sum of Profit</c:v>
                </c:pt>
              </c:strCache>
            </c:strRef>
          </c:tx>
          <c:spPr>
            <a:solidFill>
              <a:schemeClr val="accent2">
                <a:lumMod val="60000"/>
              </a:schemeClr>
            </a:solidFill>
            <a:ln>
              <a:noFill/>
            </a:ln>
            <a:effectLst/>
            <a:sp3d/>
          </c:spPr>
          <c:invertIfNegative val="0"/>
          <c:cat>
            <c:strRef>
              <c:f>'Insight BOD'!$A$6:$A$10</c:f>
              <c:strCache>
                <c:ptCount val="4"/>
                <c:pt idx="0">
                  <c:v>Qtr1</c:v>
                </c:pt>
                <c:pt idx="1">
                  <c:v>Qtr2</c:v>
                </c:pt>
                <c:pt idx="2">
                  <c:v>Qtr3</c:v>
                </c:pt>
                <c:pt idx="3">
                  <c:v>Qtr4</c:v>
                </c:pt>
              </c:strCache>
            </c:strRef>
          </c:cat>
          <c:val>
            <c:numRef>
              <c:f>'Insight BOD'!$I$6:$I$10</c:f>
              <c:numCache>
                <c:formatCode>General</c:formatCode>
                <c:ptCount val="4"/>
                <c:pt idx="0">
                  <c:v>940253000</c:v>
                </c:pt>
                <c:pt idx="1">
                  <c:v>1028775000</c:v>
                </c:pt>
                <c:pt idx="2">
                  <c:v>619142000</c:v>
                </c:pt>
                <c:pt idx="3">
                  <c:v>1165714000</c:v>
                </c:pt>
              </c:numCache>
            </c:numRef>
          </c:val>
          <c:extLst>
            <c:ext xmlns:c16="http://schemas.microsoft.com/office/drawing/2014/chart" uri="{C3380CC4-5D6E-409C-BE32-E72D297353CC}">
              <c16:uniqueId val="{00000014-9EE3-476A-98E2-9DC624D4780D}"/>
            </c:ext>
          </c:extLst>
        </c:ser>
        <c:ser>
          <c:idx val="8"/>
          <c:order val="8"/>
          <c:tx>
            <c:strRef>
              <c:f>'Insight BOD'!$J$3:$J$5</c:f>
              <c:strCache>
                <c:ptCount val="1"/>
                <c:pt idx="0">
                  <c:v>Elektronik - Average of Margin</c:v>
                </c:pt>
              </c:strCache>
            </c:strRef>
          </c:tx>
          <c:spPr>
            <a:solidFill>
              <a:schemeClr val="accent3">
                <a:lumMod val="60000"/>
              </a:schemeClr>
            </a:solidFill>
            <a:ln>
              <a:noFill/>
            </a:ln>
            <a:effectLst/>
            <a:sp3d/>
          </c:spPr>
          <c:invertIfNegative val="0"/>
          <c:cat>
            <c:strRef>
              <c:f>'Insight BOD'!$A$6:$A$10</c:f>
              <c:strCache>
                <c:ptCount val="4"/>
                <c:pt idx="0">
                  <c:v>Qtr1</c:v>
                </c:pt>
                <c:pt idx="1">
                  <c:v>Qtr2</c:v>
                </c:pt>
                <c:pt idx="2">
                  <c:v>Qtr3</c:v>
                </c:pt>
                <c:pt idx="3">
                  <c:v>Qtr4</c:v>
                </c:pt>
              </c:strCache>
            </c:strRef>
          </c:cat>
          <c:val>
            <c:numRef>
              <c:f>'Insight BOD'!$J$6:$J$10</c:f>
              <c:numCache>
                <c:formatCode>General</c:formatCode>
                <c:ptCount val="4"/>
                <c:pt idx="0">
                  <c:v>24.915128205128187</c:v>
                </c:pt>
                <c:pt idx="1">
                  <c:v>27.512285714285699</c:v>
                </c:pt>
                <c:pt idx="2">
                  <c:v>27.147941176470574</c:v>
                </c:pt>
                <c:pt idx="3">
                  <c:v>26.469111111111093</c:v>
                </c:pt>
              </c:numCache>
            </c:numRef>
          </c:val>
          <c:extLst>
            <c:ext xmlns:c16="http://schemas.microsoft.com/office/drawing/2014/chart" uri="{C3380CC4-5D6E-409C-BE32-E72D297353CC}">
              <c16:uniqueId val="{00000015-9EE3-476A-98E2-9DC624D4780D}"/>
            </c:ext>
          </c:extLst>
        </c:ser>
        <c:ser>
          <c:idx val="9"/>
          <c:order val="9"/>
          <c:tx>
            <c:strRef>
              <c:f>'Insight BOD'!$K$3:$K$5</c:f>
              <c:strCache>
                <c:ptCount val="1"/>
                <c:pt idx="0">
                  <c:v>Furnitur - Sum of Revenue</c:v>
                </c:pt>
              </c:strCache>
            </c:strRef>
          </c:tx>
          <c:spPr>
            <a:solidFill>
              <a:schemeClr val="accent4">
                <a:lumMod val="60000"/>
              </a:schemeClr>
            </a:solidFill>
            <a:ln>
              <a:noFill/>
            </a:ln>
            <a:effectLst/>
            <a:sp3d/>
          </c:spPr>
          <c:invertIfNegative val="0"/>
          <c:cat>
            <c:strRef>
              <c:f>'Insight BOD'!$A$6:$A$10</c:f>
              <c:strCache>
                <c:ptCount val="4"/>
                <c:pt idx="0">
                  <c:v>Qtr1</c:v>
                </c:pt>
                <c:pt idx="1">
                  <c:v>Qtr2</c:v>
                </c:pt>
                <c:pt idx="2">
                  <c:v>Qtr3</c:v>
                </c:pt>
                <c:pt idx="3">
                  <c:v>Qtr4</c:v>
                </c:pt>
              </c:strCache>
            </c:strRef>
          </c:cat>
          <c:val>
            <c:numRef>
              <c:f>'Insight BOD'!$K$6:$K$10</c:f>
              <c:numCache>
                <c:formatCode>General</c:formatCode>
                <c:ptCount val="4"/>
                <c:pt idx="0">
                  <c:v>253650000</c:v>
                </c:pt>
                <c:pt idx="1">
                  <c:v>84550000</c:v>
                </c:pt>
                <c:pt idx="2">
                  <c:v>240122000</c:v>
                </c:pt>
                <c:pt idx="3">
                  <c:v>162336000</c:v>
                </c:pt>
              </c:numCache>
            </c:numRef>
          </c:val>
          <c:extLst>
            <c:ext xmlns:c16="http://schemas.microsoft.com/office/drawing/2014/chart" uri="{C3380CC4-5D6E-409C-BE32-E72D297353CC}">
              <c16:uniqueId val="{00000016-9EE3-476A-98E2-9DC624D4780D}"/>
            </c:ext>
          </c:extLst>
        </c:ser>
        <c:ser>
          <c:idx val="10"/>
          <c:order val="10"/>
          <c:tx>
            <c:strRef>
              <c:f>'Insight BOD'!$L$3:$L$5</c:f>
              <c:strCache>
                <c:ptCount val="1"/>
                <c:pt idx="0">
                  <c:v>Furnitur - Sum of Profit</c:v>
                </c:pt>
              </c:strCache>
            </c:strRef>
          </c:tx>
          <c:spPr>
            <a:solidFill>
              <a:schemeClr val="accent5">
                <a:lumMod val="60000"/>
              </a:schemeClr>
            </a:solidFill>
            <a:ln>
              <a:noFill/>
            </a:ln>
            <a:effectLst/>
            <a:sp3d/>
          </c:spPr>
          <c:invertIfNegative val="0"/>
          <c:cat>
            <c:strRef>
              <c:f>'Insight BOD'!$A$6:$A$10</c:f>
              <c:strCache>
                <c:ptCount val="4"/>
                <c:pt idx="0">
                  <c:v>Qtr1</c:v>
                </c:pt>
                <c:pt idx="1">
                  <c:v>Qtr2</c:v>
                </c:pt>
                <c:pt idx="2">
                  <c:v>Qtr3</c:v>
                </c:pt>
                <c:pt idx="3">
                  <c:v>Qtr4</c:v>
                </c:pt>
              </c:strCache>
            </c:strRef>
          </c:cat>
          <c:val>
            <c:numRef>
              <c:f>'Insight BOD'!$L$6:$L$10</c:f>
              <c:numCache>
                <c:formatCode>General</c:formatCode>
                <c:ptCount val="4"/>
                <c:pt idx="0">
                  <c:v>103650000</c:v>
                </c:pt>
                <c:pt idx="1">
                  <c:v>34550000</c:v>
                </c:pt>
                <c:pt idx="2">
                  <c:v>98122000</c:v>
                </c:pt>
                <c:pt idx="3">
                  <c:v>66336000</c:v>
                </c:pt>
              </c:numCache>
            </c:numRef>
          </c:val>
          <c:extLst>
            <c:ext xmlns:c16="http://schemas.microsoft.com/office/drawing/2014/chart" uri="{C3380CC4-5D6E-409C-BE32-E72D297353CC}">
              <c16:uniqueId val="{00000017-9EE3-476A-98E2-9DC624D4780D}"/>
            </c:ext>
          </c:extLst>
        </c:ser>
        <c:ser>
          <c:idx val="11"/>
          <c:order val="11"/>
          <c:tx>
            <c:strRef>
              <c:f>'Insight BOD'!$M$3:$M$5</c:f>
              <c:strCache>
                <c:ptCount val="1"/>
                <c:pt idx="0">
                  <c:v>Furnitur - Average of Margin</c:v>
                </c:pt>
              </c:strCache>
            </c:strRef>
          </c:tx>
          <c:spPr>
            <a:solidFill>
              <a:schemeClr val="accent6">
                <a:lumMod val="60000"/>
              </a:schemeClr>
            </a:solidFill>
            <a:ln>
              <a:noFill/>
            </a:ln>
            <a:effectLst/>
            <a:sp3d/>
          </c:spPr>
          <c:invertIfNegative val="0"/>
          <c:cat>
            <c:strRef>
              <c:f>'Insight BOD'!$A$6:$A$10</c:f>
              <c:strCache>
                <c:ptCount val="4"/>
                <c:pt idx="0">
                  <c:v>Qtr1</c:v>
                </c:pt>
                <c:pt idx="1">
                  <c:v>Qtr2</c:v>
                </c:pt>
                <c:pt idx="2">
                  <c:v>Qtr3</c:v>
                </c:pt>
                <c:pt idx="3">
                  <c:v>Qtr4</c:v>
                </c:pt>
              </c:strCache>
            </c:strRef>
          </c:cat>
          <c:val>
            <c:numRef>
              <c:f>'Insight BOD'!$M$6:$M$10</c:f>
              <c:numCache>
                <c:formatCode>General</c:formatCode>
                <c:ptCount val="4"/>
                <c:pt idx="0">
                  <c:v>40.860000000000007</c:v>
                </c:pt>
                <c:pt idx="1">
                  <c:v>40.86</c:v>
                </c:pt>
                <c:pt idx="2">
                  <c:v>40.860000000000007</c:v>
                </c:pt>
                <c:pt idx="3">
                  <c:v>40.860000000000007</c:v>
                </c:pt>
              </c:numCache>
            </c:numRef>
          </c:val>
          <c:extLst>
            <c:ext xmlns:c16="http://schemas.microsoft.com/office/drawing/2014/chart" uri="{C3380CC4-5D6E-409C-BE32-E72D297353CC}">
              <c16:uniqueId val="{00000018-9EE3-476A-98E2-9DC624D4780D}"/>
            </c:ext>
          </c:extLst>
        </c:ser>
        <c:ser>
          <c:idx val="12"/>
          <c:order val="12"/>
          <c:tx>
            <c:strRef>
              <c:f>'Insight BOD'!$N$3:$N$5</c:f>
              <c:strCache>
                <c:ptCount val="1"/>
                <c:pt idx="0">
                  <c:v>Komponen - Sum of Revenue</c:v>
                </c:pt>
              </c:strCache>
            </c:strRef>
          </c:tx>
          <c:spPr>
            <a:solidFill>
              <a:schemeClr val="accent1">
                <a:lumMod val="80000"/>
                <a:lumOff val="20000"/>
              </a:schemeClr>
            </a:solidFill>
            <a:ln>
              <a:noFill/>
            </a:ln>
            <a:effectLst/>
            <a:sp3d/>
          </c:spPr>
          <c:invertIfNegative val="0"/>
          <c:cat>
            <c:strRef>
              <c:f>'Insight BOD'!$A$6:$A$10</c:f>
              <c:strCache>
                <c:ptCount val="4"/>
                <c:pt idx="0">
                  <c:v>Qtr1</c:v>
                </c:pt>
                <c:pt idx="1">
                  <c:v>Qtr2</c:v>
                </c:pt>
                <c:pt idx="2">
                  <c:v>Qtr3</c:v>
                </c:pt>
                <c:pt idx="3">
                  <c:v>Qtr4</c:v>
                </c:pt>
              </c:strCache>
            </c:strRef>
          </c:cat>
          <c:val>
            <c:numRef>
              <c:f>'Insight BOD'!$N$6:$N$10</c:f>
              <c:numCache>
                <c:formatCode>General</c:formatCode>
                <c:ptCount val="4"/>
                <c:pt idx="0">
                  <c:v>680270000</c:v>
                </c:pt>
                <c:pt idx="1">
                  <c:v>863182000</c:v>
                </c:pt>
                <c:pt idx="2">
                  <c:v>1369587000</c:v>
                </c:pt>
                <c:pt idx="3">
                  <c:v>859978000</c:v>
                </c:pt>
              </c:numCache>
            </c:numRef>
          </c:val>
          <c:extLst>
            <c:ext xmlns:c16="http://schemas.microsoft.com/office/drawing/2014/chart" uri="{C3380CC4-5D6E-409C-BE32-E72D297353CC}">
              <c16:uniqueId val="{00000019-9EE3-476A-98E2-9DC624D4780D}"/>
            </c:ext>
          </c:extLst>
        </c:ser>
        <c:ser>
          <c:idx val="13"/>
          <c:order val="13"/>
          <c:tx>
            <c:strRef>
              <c:f>'Insight BOD'!$O$3:$O$5</c:f>
              <c:strCache>
                <c:ptCount val="1"/>
                <c:pt idx="0">
                  <c:v>Komponen - Sum of Profit</c:v>
                </c:pt>
              </c:strCache>
            </c:strRef>
          </c:tx>
          <c:spPr>
            <a:solidFill>
              <a:schemeClr val="accent2">
                <a:lumMod val="80000"/>
                <a:lumOff val="20000"/>
              </a:schemeClr>
            </a:solidFill>
            <a:ln>
              <a:noFill/>
            </a:ln>
            <a:effectLst/>
            <a:sp3d/>
          </c:spPr>
          <c:invertIfNegative val="0"/>
          <c:cat>
            <c:strRef>
              <c:f>'Insight BOD'!$A$6:$A$10</c:f>
              <c:strCache>
                <c:ptCount val="4"/>
                <c:pt idx="0">
                  <c:v>Qtr1</c:v>
                </c:pt>
                <c:pt idx="1">
                  <c:v>Qtr2</c:v>
                </c:pt>
                <c:pt idx="2">
                  <c:v>Qtr3</c:v>
                </c:pt>
                <c:pt idx="3">
                  <c:v>Qtr4</c:v>
                </c:pt>
              </c:strCache>
            </c:strRef>
          </c:cat>
          <c:val>
            <c:numRef>
              <c:f>'Insight BOD'!$O$6:$O$10</c:f>
              <c:numCache>
                <c:formatCode>General</c:formatCode>
                <c:ptCount val="4"/>
                <c:pt idx="0">
                  <c:v>200570000</c:v>
                </c:pt>
                <c:pt idx="1">
                  <c:v>249032000</c:v>
                </c:pt>
                <c:pt idx="2">
                  <c:v>394187000</c:v>
                </c:pt>
                <c:pt idx="3">
                  <c:v>268978000</c:v>
                </c:pt>
              </c:numCache>
            </c:numRef>
          </c:val>
          <c:extLst>
            <c:ext xmlns:c16="http://schemas.microsoft.com/office/drawing/2014/chart" uri="{C3380CC4-5D6E-409C-BE32-E72D297353CC}">
              <c16:uniqueId val="{0000001A-9EE3-476A-98E2-9DC624D4780D}"/>
            </c:ext>
          </c:extLst>
        </c:ser>
        <c:ser>
          <c:idx val="14"/>
          <c:order val="14"/>
          <c:tx>
            <c:strRef>
              <c:f>'Insight BOD'!$P$3:$P$5</c:f>
              <c:strCache>
                <c:ptCount val="1"/>
                <c:pt idx="0">
                  <c:v>Komponen - Average of Margin</c:v>
                </c:pt>
              </c:strCache>
            </c:strRef>
          </c:tx>
          <c:spPr>
            <a:solidFill>
              <a:schemeClr val="accent3">
                <a:lumMod val="80000"/>
                <a:lumOff val="20000"/>
              </a:schemeClr>
            </a:solidFill>
            <a:ln>
              <a:noFill/>
            </a:ln>
            <a:effectLst/>
            <a:sp3d/>
          </c:spPr>
          <c:invertIfNegative val="0"/>
          <c:cat>
            <c:strRef>
              <c:f>'Insight BOD'!$A$6:$A$10</c:f>
              <c:strCache>
                <c:ptCount val="4"/>
                <c:pt idx="0">
                  <c:v>Qtr1</c:v>
                </c:pt>
                <c:pt idx="1">
                  <c:v>Qtr2</c:v>
                </c:pt>
                <c:pt idx="2">
                  <c:v>Qtr3</c:v>
                </c:pt>
                <c:pt idx="3">
                  <c:v>Qtr4</c:v>
                </c:pt>
              </c:strCache>
            </c:strRef>
          </c:cat>
          <c:val>
            <c:numRef>
              <c:f>'Insight BOD'!$P$6:$P$10</c:f>
              <c:numCache>
                <c:formatCode>General</c:formatCode>
                <c:ptCount val="4"/>
                <c:pt idx="0">
                  <c:v>29.468936170212771</c:v>
                </c:pt>
                <c:pt idx="1">
                  <c:v>30.501333333333339</c:v>
                </c:pt>
                <c:pt idx="2">
                  <c:v>27.520158730158723</c:v>
                </c:pt>
                <c:pt idx="3">
                  <c:v>31.109999999999996</c:v>
                </c:pt>
              </c:numCache>
            </c:numRef>
          </c:val>
          <c:extLst>
            <c:ext xmlns:c16="http://schemas.microsoft.com/office/drawing/2014/chart" uri="{C3380CC4-5D6E-409C-BE32-E72D297353CC}">
              <c16:uniqueId val="{0000001B-9EE3-476A-98E2-9DC624D4780D}"/>
            </c:ext>
          </c:extLst>
        </c:ser>
        <c:dLbls>
          <c:showLegendKey val="0"/>
          <c:showVal val="0"/>
          <c:showCatName val="0"/>
          <c:showSerName val="0"/>
          <c:showPercent val="0"/>
          <c:showBubbleSize val="0"/>
        </c:dLbls>
        <c:gapWidth val="150"/>
        <c:shape val="box"/>
        <c:axId val="623759520"/>
        <c:axId val="623757536"/>
        <c:axId val="0"/>
      </c:bar3DChart>
      <c:catAx>
        <c:axId val="62375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57536"/>
        <c:crosses val="autoZero"/>
        <c:auto val="1"/>
        <c:lblAlgn val="ctr"/>
        <c:lblOffset val="100"/>
        <c:noMultiLvlLbl val="0"/>
      </c:catAx>
      <c:valAx>
        <c:axId val="62375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75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[TI1-2306207921-AlishaAlineAthiyyah (1).xlsx]Pivot Table C!PivotTable9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C'!$B$3</c:f>
              <c:strCache>
                <c:ptCount val="1"/>
                <c:pt idx="0">
                  <c:v>Sum of Stok</c:v>
                </c:pt>
              </c:strCache>
            </c:strRef>
          </c:tx>
          <c:spPr>
            <a:solidFill>
              <a:schemeClr val="accent1"/>
            </a:solidFill>
            <a:ln>
              <a:noFill/>
            </a:ln>
            <a:effectLst/>
          </c:spPr>
          <c:invertIfNegative val="0"/>
          <c:cat>
            <c:strRef>
              <c:f>'Pivot Table C'!$A$4:$A$28</c:f>
              <c:strCache>
                <c:ptCount val="24"/>
                <c:pt idx="0">
                  <c:v>Cooling Fan RGB</c:v>
                </c:pt>
                <c:pt idx="1">
                  <c:v>External HDD 2TB</c:v>
                </c:pt>
                <c:pt idx="2">
                  <c:v>Gaming Chair</c:v>
                </c:pt>
                <c:pt idx="3">
                  <c:v>Graphics Card RTX 3060</c:v>
                </c:pt>
                <c:pt idx="4">
                  <c:v>Headset Gaming</c:v>
                </c:pt>
                <c:pt idx="5">
                  <c:v>iPad 100</c:v>
                </c:pt>
                <c:pt idx="6">
                  <c:v>iPhone 18 Pro to the max</c:v>
                </c:pt>
                <c:pt idx="7">
                  <c:v>iPhone 18 Promax</c:v>
                </c:pt>
                <c:pt idx="8">
                  <c:v>Keyboard Mechanical</c:v>
                </c:pt>
                <c:pt idx="9">
                  <c:v>Laptop Asus ROG</c:v>
                </c:pt>
                <c:pt idx="10">
                  <c:v>Laptop Dell XPS 13</c:v>
                </c:pt>
                <c:pt idx="11">
                  <c:v>Macbook Air 256GB</c:v>
                </c:pt>
                <c:pt idx="12">
                  <c:v>Microphone USB</c:v>
                </c:pt>
                <c:pt idx="13">
                  <c:v>Monitor LG 24"</c:v>
                </c:pt>
                <c:pt idx="14">
                  <c:v>Motherboard ASUS</c:v>
                </c:pt>
                <c:pt idx="15">
                  <c:v>Mouse Wireless</c:v>
                </c:pt>
                <c:pt idx="16">
                  <c:v>Power Bank 20000mAh</c:v>
                </c:pt>
                <c:pt idx="17">
                  <c:v>Printer HP LaserJet</c:v>
                </c:pt>
                <c:pt idx="18">
                  <c:v>RAM DDR4 16GB</c:v>
                </c:pt>
                <c:pt idx="19">
                  <c:v>Speaker Bluetooth</c:v>
                </c:pt>
                <c:pt idx="20">
                  <c:v>SSD Samsung 1TB</c:v>
                </c:pt>
                <c:pt idx="21">
                  <c:v>Tablet Samsung Galaxy</c:v>
                </c:pt>
                <c:pt idx="22">
                  <c:v>USB Flash Drive 64GB</c:v>
                </c:pt>
                <c:pt idx="23">
                  <c:v>Webcam Logitech</c:v>
                </c:pt>
              </c:strCache>
            </c:strRef>
          </c:cat>
          <c:val>
            <c:numRef>
              <c:f>'Pivot Table C'!$B$4:$B$28</c:f>
              <c:numCache>
                <c:formatCode>General</c:formatCode>
                <c:ptCount val="24"/>
                <c:pt idx="0">
                  <c:v>37</c:v>
                </c:pt>
                <c:pt idx="1">
                  <c:v>61</c:v>
                </c:pt>
                <c:pt idx="2">
                  <c:v>56</c:v>
                </c:pt>
                <c:pt idx="3">
                  <c:v>29</c:v>
                </c:pt>
                <c:pt idx="4">
                  <c:v>26</c:v>
                </c:pt>
                <c:pt idx="5">
                  <c:v>20</c:v>
                </c:pt>
                <c:pt idx="6">
                  <c:v>0</c:v>
                </c:pt>
                <c:pt idx="7">
                  <c:v>0</c:v>
                </c:pt>
                <c:pt idx="8">
                  <c:v>86</c:v>
                </c:pt>
                <c:pt idx="9">
                  <c:v>103</c:v>
                </c:pt>
                <c:pt idx="10">
                  <c:v>82</c:v>
                </c:pt>
                <c:pt idx="11">
                  <c:v>0</c:v>
                </c:pt>
                <c:pt idx="12">
                  <c:v>13</c:v>
                </c:pt>
                <c:pt idx="13">
                  <c:v>36</c:v>
                </c:pt>
                <c:pt idx="14">
                  <c:v>55</c:v>
                </c:pt>
                <c:pt idx="15">
                  <c:v>100</c:v>
                </c:pt>
                <c:pt idx="16">
                  <c:v>87</c:v>
                </c:pt>
                <c:pt idx="17">
                  <c:v>100</c:v>
                </c:pt>
                <c:pt idx="18">
                  <c:v>24</c:v>
                </c:pt>
                <c:pt idx="19">
                  <c:v>73</c:v>
                </c:pt>
                <c:pt idx="20">
                  <c:v>83</c:v>
                </c:pt>
                <c:pt idx="21">
                  <c:v>31</c:v>
                </c:pt>
                <c:pt idx="22">
                  <c:v>95</c:v>
                </c:pt>
                <c:pt idx="23">
                  <c:v>83</c:v>
                </c:pt>
              </c:numCache>
            </c:numRef>
          </c:val>
          <c:extLst>
            <c:ext xmlns:c16="http://schemas.microsoft.com/office/drawing/2014/chart" uri="{C3380CC4-5D6E-409C-BE32-E72D297353CC}">
              <c16:uniqueId val="{00000000-8D28-4626-989E-DE6225D9EE7C}"/>
            </c:ext>
          </c:extLst>
        </c:ser>
        <c:ser>
          <c:idx val="1"/>
          <c:order val="1"/>
          <c:tx>
            <c:strRef>
              <c:f>'Pivot Table C'!$C$3</c:f>
              <c:strCache>
                <c:ptCount val="1"/>
                <c:pt idx="0">
                  <c:v>Sum of Min_Stok</c:v>
                </c:pt>
              </c:strCache>
            </c:strRef>
          </c:tx>
          <c:spPr>
            <a:solidFill>
              <a:schemeClr val="accent2"/>
            </a:solidFill>
            <a:ln>
              <a:noFill/>
            </a:ln>
            <a:effectLst/>
          </c:spPr>
          <c:invertIfNegative val="0"/>
          <c:cat>
            <c:strRef>
              <c:f>'Pivot Table C'!$A$4:$A$28</c:f>
              <c:strCache>
                <c:ptCount val="24"/>
                <c:pt idx="0">
                  <c:v>Cooling Fan RGB</c:v>
                </c:pt>
                <c:pt idx="1">
                  <c:v>External HDD 2TB</c:v>
                </c:pt>
                <c:pt idx="2">
                  <c:v>Gaming Chair</c:v>
                </c:pt>
                <c:pt idx="3">
                  <c:v>Graphics Card RTX 3060</c:v>
                </c:pt>
                <c:pt idx="4">
                  <c:v>Headset Gaming</c:v>
                </c:pt>
                <c:pt idx="5">
                  <c:v>iPad 100</c:v>
                </c:pt>
                <c:pt idx="6">
                  <c:v>iPhone 18 Pro to the max</c:v>
                </c:pt>
                <c:pt idx="7">
                  <c:v>iPhone 18 Promax</c:v>
                </c:pt>
                <c:pt idx="8">
                  <c:v>Keyboard Mechanical</c:v>
                </c:pt>
                <c:pt idx="9">
                  <c:v>Laptop Asus ROG</c:v>
                </c:pt>
                <c:pt idx="10">
                  <c:v>Laptop Dell XPS 13</c:v>
                </c:pt>
                <c:pt idx="11">
                  <c:v>Macbook Air 256GB</c:v>
                </c:pt>
                <c:pt idx="12">
                  <c:v>Microphone USB</c:v>
                </c:pt>
                <c:pt idx="13">
                  <c:v>Monitor LG 24"</c:v>
                </c:pt>
                <c:pt idx="14">
                  <c:v>Motherboard ASUS</c:v>
                </c:pt>
                <c:pt idx="15">
                  <c:v>Mouse Wireless</c:v>
                </c:pt>
                <c:pt idx="16">
                  <c:v>Power Bank 20000mAh</c:v>
                </c:pt>
                <c:pt idx="17">
                  <c:v>Printer HP LaserJet</c:v>
                </c:pt>
                <c:pt idx="18">
                  <c:v>RAM DDR4 16GB</c:v>
                </c:pt>
                <c:pt idx="19">
                  <c:v>Speaker Bluetooth</c:v>
                </c:pt>
                <c:pt idx="20">
                  <c:v>SSD Samsung 1TB</c:v>
                </c:pt>
                <c:pt idx="21">
                  <c:v>Tablet Samsung Galaxy</c:v>
                </c:pt>
                <c:pt idx="22">
                  <c:v>USB Flash Drive 64GB</c:v>
                </c:pt>
                <c:pt idx="23">
                  <c:v>Webcam Logitech</c:v>
                </c:pt>
              </c:strCache>
            </c:strRef>
          </c:cat>
          <c:val>
            <c:numRef>
              <c:f>'Pivot Table C'!$C$4:$C$28</c:f>
              <c:numCache>
                <c:formatCode>General</c:formatCode>
                <c:ptCount val="24"/>
                <c:pt idx="0">
                  <c:v>22</c:v>
                </c:pt>
                <c:pt idx="1">
                  <c:v>8</c:v>
                </c:pt>
                <c:pt idx="2">
                  <c:v>24</c:v>
                </c:pt>
                <c:pt idx="3">
                  <c:v>13</c:v>
                </c:pt>
                <c:pt idx="4">
                  <c:v>18</c:v>
                </c:pt>
                <c:pt idx="5">
                  <c:v>3</c:v>
                </c:pt>
                <c:pt idx="6">
                  <c:v>3</c:v>
                </c:pt>
                <c:pt idx="7">
                  <c:v>15</c:v>
                </c:pt>
                <c:pt idx="8">
                  <c:v>21</c:v>
                </c:pt>
                <c:pt idx="9">
                  <c:v>22</c:v>
                </c:pt>
                <c:pt idx="10">
                  <c:v>50</c:v>
                </c:pt>
                <c:pt idx="11">
                  <c:v>5</c:v>
                </c:pt>
                <c:pt idx="12">
                  <c:v>17</c:v>
                </c:pt>
                <c:pt idx="13">
                  <c:v>17</c:v>
                </c:pt>
                <c:pt idx="14">
                  <c:v>5</c:v>
                </c:pt>
                <c:pt idx="15">
                  <c:v>9</c:v>
                </c:pt>
                <c:pt idx="16">
                  <c:v>15</c:v>
                </c:pt>
                <c:pt idx="17">
                  <c:v>23</c:v>
                </c:pt>
                <c:pt idx="18">
                  <c:v>17</c:v>
                </c:pt>
                <c:pt idx="19">
                  <c:v>24</c:v>
                </c:pt>
                <c:pt idx="20">
                  <c:v>24</c:v>
                </c:pt>
                <c:pt idx="21">
                  <c:v>35</c:v>
                </c:pt>
                <c:pt idx="22">
                  <c:v>9</c:v>
                </c:pt>
                <c:pt idx="23">
                  <c:v>8</c:v>
                </c:pt>
              </c:numCache>
            </c:numRef>
          </c:val>
          <c:extLst>
            <c:ext xmlns:c16="http://schemas.microsoft.com/office/drawing/2014/chart" uri="{C3380CC4-5D6E-409C-BE32-E72D297353CC}">
              <c16:uniqueId val="{00000001-8D28-4626-989E-DE6225D9EE7C}"/>
            </c:ext>
          </c:extLst>
        </c:ser>
        <c:dLbls>
          <c:showLegendKey val="0"/>
          <c:showVal val="0"/>
          <c:showCatName val="0"/>
          <c:showSerName val="0"/>
          <c:showPercent val="0"/>
          <c:showBubbleSize val="0"/>
        </c:dLbls>
        <c:gapWidth val="182"/>
        <c:axId val="741349552"/>
        <c:axId val="741351040"/>
      </c:barChart>
      <c:catAx>
        <c:axId val="741349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351040"/>
        <c:crosses val="autoZero"/>
        <c:auto val="1"/>
        <c:lblAlgn val="ctr"/>
        <c:lblOffset val="100"/>
        <c:noMultiLvlLbl val="0"/>
      </c:catAx>
      <c:valAx>
        <c:axId val="74135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34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6350</xdr:colOff>
      <xdr:row>11</xdr:row>
      <xdr:rowOff>6350</xdr:rowOff>
    </xdr:from>
    <xdr:to>
      <xdr:col>4</xdr:col>
      <xdr:colOff>730250</xdr:colOff>
      <xdr:row>25</xdr:row>
      <xdr:rowOff>171450</xdr:rowOff>
    </xdr:to>
    <xdr:graphicFrame macro="">
      <xdr:nvGraphicFramePr>
        <xdr:cNvPr id="2" name="Chart 1">
          <a:extLst>
            <a:ext uri="{FF2B5EF4-FFF2-40B4-BE49-F238E27FC236}">
              <a16:creationId xmlns:a16="http://schemas.microsoft.com/office/drawing/2014/main" id="{E263CA03-684A-F715-D1BC-DC37D7C9E1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768350</xdr:colOff>
      <xdr:row>11</xdr:row>
      <xdr:rowOff>31750</xdr:rowOff>
    </xdr:from>
    <xdr:to>
      <xdr:col>6</xdr:col>
      <xdr:colOff>787400</xdr:colOff>
      <xdr:row>26</xdr:row>
      <xdr:rowOff>19050</xdr:rowOff>
    </xdr:to>
    <mc:AlternateContent xmlns:mc="http://schemas.openxmlformats.org/markup-compatibility/2006">
      <mc:Choice xmlns:a14="http://schemas.microsoft.com/office/drawing/2010/main" Requires="a14">
        <xdr:graphicFrame macro="">
          <xdr:nvGraphicFramePr>
            <xdr:cNvPr id="3" name="Kategori">
              <a:extLst>
                <a:ext uri="{FF2B5EF4-FFF2-40B4-BE49-F238E27FC236}">
                  <a16:creationId xmlns:a16="http://schemas.microsoft.com/office/drawing/2014/main" id="{B27D66A8-A90E-93F8-1290-5092142243FE}"/>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dr:sp macro="" textlink="">
          <xdr:nvSpPr>
            <xdr:cNvPr id="0" name=""/>
            <xdr:cNvSpPr>
              <a:spLocks noTextEdit="1"/>
            </xdr:cNvSpPr>
          </xdr:nvSpPr>
          <xdr:spPr>
            <a:xfrm>
              <a:off x="4616450" y="2057400"/>
              <a:ext cx="1828800" cy="27495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603250</xdr:colOff>
      <xdr:row>1</xdr:row>
      <xdr:rowOff>171450</xdr:rowOff>
    </xdr:from>
    <xdr:to>
      <xdr:col>11</xdr:col>
      <xdr:colOff>298450</xdr:colOff>
      <xdr:row>16</xdr:row>
      <xdr:rowOff>152400</xdr:rowOff>
    </xdr:to>
    <xdr:graphicFrame macro="">
      <xdr:nvGraphicFramePr>
        <xdr:cNvPr id="2" name="Chart 1">
          <a:extLst>
            <a:ext uri="{FF2B5EF4-FFF2-40B4-BE49-F238E27FC236}">
              <a16:creationId xmlns:a16="http://schemas.microsoft.com/office/drawing/2014/main" id="{92C06C36-548D-BA2E-7ABE-5AF0F80AB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sha aline" refreshedDate="46088.87385358796" createdVersion="8" refreshedVersion="8" minRefreshableVersion="3" recordCount="632" xr:uid="{80A0306C-A671-40A3-BCFA-9900CEB6A012}">
  <cacheSource type="worksheet">
    <worksheetSource ref="A1:A1048576" sheet="Summary Laporan Penjualan 2024"/>
  </cacheSource>
  <cacheFields count="1">
    <cacheField name="ID_Transaksi"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sha aline" refreshedDate="46088.885334027778" createdVersion="8" refreshedVersion="8" minRefreshableVersion="3" recordCount="24" xr:uid="{829FBB7D-0A7F-494D-8130-739FB82C7B08}">
  <cacheSource type="worksheet">
    <worksheetSource name="Data_Produk"/>
  </cacheSource>
  <cacheFields count="12">
    <cacheField name="ID_Produk" numFmtId="0">
      <sharedItems/>
    </cacheField>
    <cacheField name="Nama_Produk" numFmtId="0">
      <sharedItems count="24">
        <s v="Laptop Dell XPS 13"/>
        <s v="Mouse Wireless"/>
        <s v="Keyboard Mechanical"/>
        <s v="Monitor LG 24&quot;"/>
        <s v="Webcam Logitech"/>
        <s v="Printer HP LaserJet"/>
        <s v="SSD Samsung 1TB"/>
        <s v="RAM DDR4 16GB"/>
        <s v="Speaker Bluetooth"/>
        <s v="Headset Gaming"/>
        <s v="External HDD 2TB"/>
        <s v="USB Flash Drive 64GB"/>
        <s v="Laptop Asus ROG"/>
        <s v="Tablet Samsung Galaxy"/>
        <s v="Power Bank 20000mAh"/>
        <s v="Microphone USB"/>
        <s v="Graphics Card RTX 3060"/>
        <s v="Motherboard ASUS"/>
        <s v="Cooling Fan RGB"/>
        <s v="Gaming Chair"/>
        <s v="Macbook Air 256GB"/>
        <s v="iPhone 18 Promax"/>
        <s v="iPhone 18 Pro to the max"/>
        <s v="iPad 100"/>
      </sharedItems>
    </cacheField>
    <cacheField name="Kategori" numFmtId="0">
      <sharedItems/>
    </cacheField>
    <cacheField name="Supplier" numFmtId="0">
      <sharedItems/>
    </cacheField>
    <cacheField name="Gudang" numFmtId="0">
      <sharedItems/>
    </cacheField>
    <cacheField name="Kota Gudang" numFmtId="0">
      <sharedItems/>
    </cacheField>
    <cacheField name="Harga_Beli" numFmtId="0">
      <sharedItems containsSemiMixedTypes="0" containsString="0" containsNumber="1" containsInteger="1" minValue="80000" maxValue="18000000"/>
    </cacheField>
    <cacheField name="Harga Jual" numFmtId="0">
      <sharedItems containsSemiMixedTypes="0" containsString="0" containsNumber="1" containsInteger="1" minValue="92000" maxValue="29787000"/>
    </cacheField>
    <cacheField name="Stok" numFmtId="0">
      <sharedItems containsSemiMixedTypes="0" containsString="0" containsNumber="1" containsInteger="1" minValue="0" maxValue="103"/>
    </cacheField>
    <cacheField name="Min_Stok" numFmtId="0">
      <sharedItems containsSemiMixedTypes="0" containsString="0" containsNumber="1" containsInteger="1" minValue="3" maxValue="50"/>
    </cacheField>
    <cacheField name="Status" numFmtId="0">
      <sharedItems/>
    </cacheField>
    <cacheField name="Notes Gudang" numFmtId="0">
      <sharedItems count="5">
        <s v="Stok Aman"/>
        <s v="Stok Hampir Habis"/>
        <s v="Perlu Restock"/>
        <s v="Habis"/>
        <s v="Barang Hilang"/>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sha aline" refreshedDate="46088.886690277781" createdVersion="8" refreshedVersion="8" minRefreshableVersion="3" recordCount="631" xr:uid="{08E0989F-4E54-44C1-BC33-B30182C4E4C2}">
  <cacheSource type="worksheet">
    <worksheetSource name="Summary_Laporan_Penjualan_20246"/>
  </cacheSource>
  <cacheFields count="18">
    <cacheField name="ID_Transaksi" numFmtId="0">
      <sharedItems/>
    </cacheField>
    <cacheField name="ID_Produk" numFmtId="0">
      <sharedItems/>
    </cacheField>
    <cacheField name="ID_Pelanggan" numFmtId="0">
      <sharedItems/>
    </cacheField>
    <cacheField name="Sales_Rep" numFmtId="0">
      <sharedItems/>
    </cacheField>
    <cacheField name="Jumlah" numFmtId="0">
      <sharedItems containsSemiMixedTypes="0" containsString="0" containsNumber="1" containsInteger="1" minValue="1" maxValue="16"/>
    </cacheField>
    <cacheField name="Tanggal_Clean" numFmtId="14">
      <sharedItems containsSemiMixedTypes="0" containsNonDate="0" containsDate="1" containsString="0" minDate="2024-01-01T00:00:00" maxDate="2025-01-01T00:00:00" count="292">
        <d v="2024-11-21T00:00:00"/>
        <d v="2024-12-06T00:00:00"/>
        <d v="2024-08-23T00:00:00"/>
        <d v="2024-04-14T00:00:00"/>
        <d v="2024-12-27T00:00:00"/>
        <d v="2024-04-05T00:00:00"/>
        <d v="2024-02-13T00:00:00"/>
        <d v="2024-11-08T00:00:00"/>
        <d v="2024-12-22T00:00:00"/>
        <d v="2024-08-17T00:00:00"/>
        <d v="2024-01-19T00:00:00"/>
        <d v="2024-11-02T00:00:00"/>
        <d v="2024-03-11T00:00:00"/>
        <d v="2024-05-30T00:00:00"/>
        <d v="2024-07-04T00:00:00"/>
        <d v="2024-03-21T00:00:00"/>
        <d v="2024-07-29T00:00:00"/>
        <d v="2024-11-12T00:00:00"/>
        <d v="2024-11-13T00:00:00"/>
        <d v="2024-09-10T00:00:00"/>
        <d v="2024-12-19T00:00:00"/>
        <d v="2024-05-04T00:00:00"/>
        <d v="2024-01-15T00:00:00"/>
        <d v="2024-02-26T00:00:00"/>
        <d v="2024-11-18T00:00:00"/>
        <d v="2024-10-31T00:00:00"/>
        <d v="2024-09-21T00:00:00"/>
        <d v="2024-08-01T00:00:00"/>
        <d v="2024-09-29T00:00:00"/>
        <d v="2024-01-29T00:00:00"/>
        <d v="2024-12-25T00:00:00"/>
        <d v="2024-05-28T00:00:00"/>
        <d v="2024-01-08T00:00:00"/>
        <d v="2024-05-22T00:00:00"/>
        <d v="2024-07-27T00:00:00"/>
        <d v="2024-12-18T00:00:00"/>
        <d v="2024-05-02T00:00:00"/>
        <d v="2024-07-16T00:00:00"/>
        <d v="2024-03-17T00:00:00"/>
        <d v="2024-09-16T00:00:00"/>
        <d v="2024-06-08T00:00:00"/>
        <d v="2024-06-04T00:00:00"/>
        <d v="2024-08-14T00:00:00"/>
        <d v="2024-07-23T00:00:00"/>
        <d v="2024-10-21T00:00:00"/>
        <d v="2024-06-12T00:00:00"/>
        <d v="2024-01-28T00:00:00"/>
        <d v="2024-06-13T00:00:00"/>
        <d v="2024-04-11T00:00:00"/>
        <d v="2024-07-07T00:00:00"/>
        <d v="2024-12-15T00:00:00"/>
        <d v="2024-07-19T00:00:00"/>
        <d v="2024-09-03T00:00:00"/>
        <d v="2024-03-04T00:00:00"/>
        <d v="2024-11-10T00:00:00"/>
        <d v="2024-09-08T00:00:00"/>
        <d v="2024-10-17T00:00:00"/>
        <d v="2024-03-12T00:00:00"/>
        <d v="2024-03-03T00:00:00"/>
        <d v="2024-10-16T00:00:00"/>
        <d v="2024-01-05T00:00:00"/>
        <d v="2024-07-05T00:00:00"/>
        <d v="2024-06-07T00:00:00"/>
        <d v="2024-07-28T00:00:00"/>
        <d v="2024-04-17T00:00:00"/>
        <d v="2024-11-04T00:00:00"/>
        <d v="2024-12-11T00:00:00"/>
        <d v="2024-05-07T00:00:00"/>
        <d v="2024-01-14T00:00:00"/>
        <d v="2024-11-28T00:00:00"/>
        <d v="2024-02-25T00:00:00"/>
        <d v="2024-06-02T00:00:00"/>
        <d v="2024-05-11T00:00:00"/>
        <d v="2024-04-04T00:00:00"/>
        <d v="2024-05-10T00:00:00"/>
        <d v="2024-03-26T00:00:00"/>
        <d v="2024-03-02T00:00:00"/>
        <d v="2024-04-01T00:00:00"/>
        <d v="2024-08-07T00:00:00"/>
        <d v="2024-08-29T00:00:00"/>
        <d v="2024-01-18T00:00:00"/>
        <d v="2024-08-05T00:00:00"/>
        <d v="2024-01-02T00:00:00"/>
        <d v="2024-03-29T00:00:00"/>
        <d v="2024-12-01T00:00:00"/>
        <d v="2024-09-28T00:00:00"/>
        <d v="2024-08-11T00:00:00"/>
        <d v="2024-05-20T00:00:00"/>
        <d v="2024-02-06T00:00:00"/>
        <d v="2024-08-31T00:00:00"/>
        <d v="2024-07-31T00:00:00"/>
        <d v="2024-02-16T00:00:00"/>
        <d v="2024-10-01T00:00:00"/>
        <d v="2024-12-20T00:00:00"/>
        <d v="2024-02-12T00:00:00"/>
        <d v="2024-08-16T00:00:00"/>
        <d v="2024-12-05T00:00:00"/>
        <d v="2024-05-17T00:00:00"/>
        <d v="2024-01-26T00:00:00"/>
        <d v="2024-01-06T00:00:00"/>
        <d v="2024-02-07T00:00:00"/>
        <d v="2024-09-04T00:00:00"/>
        <d v="2024-02-18T00:00:00"/>
        <d v="2024-06-17T00:00:00"/>
        <d v="2024-11-30T00:00:00"/>
        <d v="2024-01-11T00:00:00"/>
        <d v="2024-04-19T00:00:00"/>
        <d v="2024-10-29T00:00:00"/>
        <d v="2024-04-30T00:00:00"/>
        <d v="2024-06-20T00:00:00"/>
        <d v="2024-11-22T00:00:00"/>
        <d v="2024-04-27T00:00:00"/>
        <d v="2024-10-02T00:00:00"/>
        <d v="2024-02-01T00:00:00"/>
        <d v="2024-02-19T00:00:00"/>
        <d v="2024-12-26T00:00:00"/>
        <d v="2024-04-12T00:00:00"/>
        <d v="2024-03-10T00:00:00"/>
        <d v="2024-01-21T00:00:00"/>
        <d v="2024-04-09T00:00:00"/>
        <d v="2024-12-09T00:00:00"/>
        <d v="2024-05-01T00:00:00"/>
        <d v="2024-02-05T00:00:00"/>
        <d v="2024-09-11T00:00:00"/>
        <d v="2024-01-30T00:00:00"/>
        <d v="2024-08-26T00:00:00"/>
        <d v="2024-05-12T00:00:00"/>
        <d v="2024-02-23T00:00:00"/>
        <d v="2024-06-30T00:00:00"/>
        <d v="2024-12-31T00:00:00"/>
        <d v="2024-08-25T00:00:00"/>
        <d v="2024-11-15T00:00:00"/>
        <d v="2024-03-30T00:00:00"/>
        <d v="2024-12-14T00:00:00"/>
        <d v="2024-02-10T00:00:00"/>
        <d v="2024-02-03T00:00:00"/>
        <d v="2024-04-26T00:00:00"/>
        <d v="2024-08-22T00:00:00"/>
        <d v="2024-12-17T00:00:00"/>
        <d v="2024-11-01T00:00:00"/>
        <d v="2024-12-29T00:00:00"/>
        <d v="2024-04-22T00:00:00"/>
        <d v="2024-11-03T00:00:00"/>
        <d v="2024-08-18T00:00:00"/>
        <d v="2024-07-22T00:00:00"/>
        <d v="2024-05-16T00:00:00"/>
        <d v="2024-07-06T00:00:00"/>
        <d v="2024-03-22T00:00:00"/>
        <d v="2024-04-18T00:00:00"/>
        <d v="2024-11-20T00:00:00"/>
        <d v="2024-06-27T00:00:00"/>
        <d v="2024-03-09T00:00:00"/>
        <d v="2024-11-11T00:00:00"/>
        <d v="2024-08-28T00:00:00"/>
        <d v="2024-05-08T00:00:00"/>
        <d v="2024-06-05T00:00:00"/>
        <d v="2024-07-20T00:00:00"/>
        <d v="2024-09-07T00:00:00"/>
        <d v="2024-09-09T00:00:00"/>
        <d v="2024-12-08T00:00:00"/>
        <d v="2024-09-23T00:00:00"/>
        <d v="2024-09-22T00:00:00"/>
        <d v="2024-09-12T00:00:00"/>
        <d v="2024-12-13T00:00:00"/>
        <d v="2024-09-24T00:00:00"/>
        <d v="2024-10-14T00:00:00"/>
        <d v="2024-10-03T00:00:00"/>
        <d v="2024-02-22T00:00:00"/>
        <d v="2024-09-02T00:00:00"/>
        <d v="2024-02-21T00:00:00"/>
        <d v="2024-10-10T00:00:00"/>
        <d v="2024-09-18T00:00:00"/>
        <d v="2024-11-25T00:00:00"/>
        <d v="2024-07-15T00:00:00"/>
        <d v="2024-07-08T00:00:00"/>
        <d v="2024-12-21T00:00:00"/>
        <d v="2024-02-11T00:00:00"/>
        <d v="2024-12-02T00:00:00"/>
        <d v="2024-08-24T00:00:00"/>
        <d v="2024-09-13T00:00:00"/>
        <d v="2024-08-13T00:00:00"/>
        <d v="2024-03-23T00:00:00"/>
        <d v="2024-01-01T00:00:00"/>
        <d v="2024-08-12T00:00:00"/>
        <d v="2024-10-27T00:00:00"/>
        <d v="2024-05-13T00:00:00"/>
        <d v="2024-12-30T00:00:00"/>
        <d v="2024-02-27T00:00:00"/>
        <d v="2024-03-05T00:00:00"/>
        <d v="2024-09-15T00:00:00"/>
        <d v="2024-01-20T00:00:00"/>
        <d v="2024-01-04T00:00:00"/>
        <d v="2024-09-05T00:00:00"/>
        <d v="2024-03-20T00:00:00"/>
        <d v="2024-09-17T00:00:00"/>
        <d v="2024-01-10T00:00:00"/>
        <d v="2024-07-03T00:00:00"/>
        <d v="2024-08-20T00:00:00"/>
        <d v="2024-11-19T00:00:00"/>
        <d v="2024-11-09T00:00:00"/>
        <d v="2024-03-15T00:00:00"/>
        <d v="2024-08-27T00:00:00"/>
        <d v="2024-07-30T00:00:00"/>
        <d v="2024-11-17T00:00:00"/>
        <d v="2024-04-21T00:00:00"/>
        <d v="2024-01-16T00:00:00"/>
        <d v="2024-06-01T00:00:00"/>
        <d v="2024-07-25T00:00:00"/>
        <d v="2024-08-15T00:00:00"/>
        <d v="2024-12-04T00:00:00"/>
        <d v="2024-12-12T00:00:00"/>
        <d v="2024-11-14T00:00:00"/>
        <d v="2024-10-04T00:00:00"/>
        <d v="2024-05-09T00:00:00"/>
        <d v="2024-07-26T00:00:00"/>
        <d v="2024-07-01T00:00:00"/>
        <d v="2024-12-24T00:00:00"/>
        <d v="2024-09-27T00:00:00"/>
        <d v="2024-08-19T00:00:00"/>
        <d v="2024-04-07T00:00:00"/>
        <d v="2024-03-28T00:00:00"/>
        <d v="2024-02-20T00:00:00"/>
        <d v="2024-05-29T00:00:00"/>
        <d v="2024-11-26T00:00:00"/>
        <d v="2024-10-12T00:00:00"/>
        <d v="2024-10-24T00:00:00"/>
        <d v="2024-04-29T00:00:00"/>
        <d v="2024-03-25T00:00:00"/>
        <d v="2024-04-06T00:00:00"/>
        <d v="2024-06-19T00:00:00"/>
        <d v="2024-04-10T00:00:00"/>
        <d v="2024-10-18T00:00:00"/>
        <d v="2024-08-04T00:00:00"/>
        <d v="2024-10-26T00:00:00"/>
        <d v="2024-09-20T00:00:00"/>
        <d v="2024-07-24T00:00:00"/>
        <d v="2024-11-06T00:00:00"/>
        <d v="2024-05-06T00:00:00"/>
        <d v="2024-05-23T00:00:00"/>
        <d v="2024-12-16T00:00:00"/>
        <d v="2024-10-22T00:00:00"/>
        <d v="2024-04-25T00:00:00"/>
        <d v="2024-10-09T00:00:00"/>
        <d v="2024-07-02T00:00:00"/>
        <d v="2024-12-03T00:00:00"/>
        <d v="2024-09-19T00:00:00"/>
        <d v="2024-02-02T00:00:00"/>
        <d v="2024-07-17T00:00:00"/>
        <d v="2024-02-29T00:00:00"/>
        <d v="2024-04-02T00:00:00"/>
        <d v="2024-08-08T00:00:00"/>
        <d v="2024-03-19T00:00:00"/>
        <d v="2024-06-03T00:00:00"/>
        <d v="2024-10-25T00:00:00"/>
        <d v="2024-11-23T00:00:00"/>
        <d v="2024-03-14T00:00:00"/>
        <d v="2024-06-10T00:00:00"/>
        <d v="2024-05-03T00:00:00"/>
        <d v="2024-07-13T00:00:00"/>
        <d v="2024-05-27T00:00:00"/>
        <d v="2024-01-12T00:00:00"/>
        <d v="2024-02-04T00:00:00"/>
        <d v="2024-05-18T00:00:00"/>
        <d v="2024-08-21T00:00:00"/>
        <d v="2024-06-26T00:00:00"/>
        <d v="2024-01-07T00:00:00"/>
        <d v="2024-01-27T00:00:00"/>
        <d v="2024-10-15T00:00:00"/>
        <d v="2024-08-30T00:00:00"/>
        <d v="2024-10-07T00:00:00"/>
        <d v="2024-04-03T00:00:00"/>
        <d v="2024-10-05T00:00:00"/>
        <d v="2024-01-22T00:00:00"/>
        <d v="2024-12-10T00:00:00"/>
        <d v="2024-02-09T00:00:00"/>
        <d v="2024-03-01T00:00:00"/>
        <d v="2024-07-21T00:00:00"/>
        <d v="2024-07-09T00:00:00"/>
        <d v="2024-06-15T00:00:00"/>
        <d v="2024-02-24T00:00:00"/>
        <d v="2024-07-18T00:00:00"/>
        <d v="2024-05-15T00:00:00"/>
        <d v="2024-05-19T00:00:00"/>
        <d v="2024-04-16T00:00:00"/>
        <d v="2024-01-09T00:00:00"/>
        <d v="2024-11-29T00:00:00"/>
        <d v="2024-01-23T00:00:00"/>
        <d v="2024-01-13T00:00:00"/>
        <d v="2024-04-28T00:00:00"/>
        <d v="2024-10-19T00:00:00"/>
        <d v="2024-08-09T00:00:00"/>
        <d v="2024-04-23T00:00:00"/>
      </sharedItems>
      <fieldGroup par="17"/>
    </cacheField>
    <cacheField name="Nama_Produk" numFmtId="0">
      <sharedItems/>
    </cacheField>
    <cacheField name="Kategori" numFmtId="0">
      <sharedItems count="5">
        <s v="Aksesoris"/>
        <s v="Furnitur"/>
        <s v="Elektronik"/>
        <s v="Komponen"/>
        <s v="Audio"/>
      </sharedItems>
    </cacheField>
    <cacheField name="Kota_Gudang" numFmtId="0">
      <sharedItems/>
    </cacheField>
    <cacheField name="Harga_Beli" numFmtId="0">
      <sharedItems containsSemiMixedTypes="0" containsString="0" containsNumber="1" containsInteger="1" minValue="80000" maxValue="18000000"/>
    </cacheField>
    <cacheField name="Harga_Jual" numFmtId="0">
      <sharedItems containsSemiMixedTypes="0" containsString="0" containsNumber="1" containsInteger="1" minValue="92000" maxValue="27603000"/>
    </cacheField>
    <cacheField name="Nama_Pelanggan" numFmtId="0">
      <sharedItems count="15">
        <s v="Toko Elektronik Jaya"/>
        <s v="Toko Komputer Maju"/>
        <s v="CV Sinar Terang"/>
        <s v="Toko Komputer Sejahtera"/>
        <s v="UD Sentosa"/>
        <s v="PT Teknologi Prima"/>
        <s v="PT Digital Nusantara"/>
        <s v="Toko Musik Digital"/>
        <s v="PT Indo Digital"/>
        <s v="Toko Gadget Center"/>
        <s v="UD Makmur"/>
        <s v="PT Maju Jaya"/>
        <s v="PT Karya Mandiri"/>
        <s v="CV Berkah"/>
        <s v="CV Techno"/>
      </sharedItems>
    </cacheField>
    <cacheField name="Tipe_Pelanggan" numFmtId="0">
      <sharedItems count="2">
        <s v="Retail"/>
        <s v="Corporate"/>
      </sharedItems>
    </cacheField>
    <cacheField name="Kota_Pelanggan" numFmtId="0">
      <sharedItems/>
    </cacheField>
    <cacheField name="Revenue" numFmtId="0">
      <sharedItems containsSemiMixedTypes="0" containsString="0" containsNumber="1" containsInteger="1" minValue="92000" maxValue="414045000"/>
    </cacheField>
    <cacheField name="Profit" numFmtId="0">
      <sharedItems containsSemiMixedTypes="0" containsString="0" containsNumber="1" containsInteger="1" minValue="12000" maxValue="144045000"/>
    </cacheField>
    <cacheField name="Margin" numFmtId="0">
      <sharedItems containsSemiMixedTypes="0" containsString="0" containsNumber="1" minValue="12.28" maxValue="44.09"/>
    </cacheField>
    <cacheField name="Quarters (Tanggal_Clean)" numFmtId="0" databaseField="0">
      <fieldGroup base="5">
        <rangePr groupBy="quarters" startDate="2024-01-01T00:00:00" endDate="2025-01-01T00:00:00"/>
        <groupItems count="6">
          <s v="&lt;01/01/2024"/>
          <s v="Qtr1"/>
          <s v="Qtr2"/>
          <s v="Qtr3"/>
          <s v="Qtr4"/>
          <s v="&gt;01/01/2025"/>
        </groupItems>
      </fieldGroup>
    </cacheField>
  </cacheFields>
  <extLst>
    <ext xmlns:x14="http://schemas.microsoft.com/office/spreadsheetml/2009/9/main" uri="{725AE2AE-9491-48be-B2B4-4EB974FC3084}">
      <x14:pivotCacheDefinition pivotCacheId="144936826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sha aline" refreshedDate="46088.879086805558" backgroundQuery="1" createdVersion="8" refreshedVersion="8" minRefreshableVersion="3" recordCount="0" supportSubquery="1" supportAdvancedDrill="1" xr:uid="{7A251879-4B47-4507-9FE0-D31D3F3A056D}">
  <cacheSource type="external" connectionId="7"/>
  <cacheFields count="3">
    <cacheField name="[Summary_Laporan_Penjualan_20246].[Kota_Pelanggan].[Kota_Pelanggan]" caption="Kota_Pelanggan" numFmtId="0" hierarchy="13" level="1">
      <sharedItems count="12">
        <s v="Bandung"/>
        <s v="Denpasar"/>
        <s v="Jakarta"/>
        <s v="Makassar"/>
        <s v="Malang"/>
        <s v="Medan"/>
        <s v="Palembang"/>
        <s v="Semarang"/>
        <s v="Solo"/>
        <s v="Surabaya"/>
        <s v="Tangerang"/>
        <s v="Yogyakarta"/>
      </sharedItems>
    </cacheField>
    <cacheField name="[Summary_Laporan_Penjualan_20246].[Kategori].[Kategori]" caption="Kategori" numFmtId="0" hierarchy="7" level="1">
      <sharedItems count="5">
        <s v="Aksesoris"/>
        <s v="Audio"/>
        <s v="Elektronik"/>
        <s v="Furnitur"/>
        <s v="Komponen"/>
      </sharedItems>
    </cacheField>
    <cacheField name="[Measures].[Sum of Revenue]" caption="Sum of Revenue" numFmtId="0" hierarchy="21" level="32767"/>
  </cacheFields>
  <cacheHierarchies count="24">
    <cacheHierarchy uniqueName="[Summary_Laporan_Penjualan_20246].[ID_Transaksi]" caption="ID_Transaksi" attribute="1" defaultMemberUniqueName="[Summary_Laporan_Penjualan_20246].[ID_Transaksi].[All]" allUniqueName="[Summary_Laporan_Penjualan_20246].[ID_Transaksi].[All]" dimensionUniqueName="[Summary_Laporan_Penjualan_20246]" displayFolder="" count="0" memberValueDatatype="130" unbalanced="0"/>
    <cacheHierarchy uniqueName="[Summary_Laporan_Penjualan_20246].[ID_Produk]" caption="ID_Produk" attribute="1" defaultMemberUniqueName="[Summary_Laporan_Penjualan_20246].[ID_Produk].[All]" allUniqueName="[Summary_Laporan_Penjualan_20246].[ID_Produk].[All]" dimensionUniqueName="[Summary_Laporan_Penjualan_20246]" displayFolder="" count="0" memberValueDatatype="130" unbalanced="0"/>
    <cacheHierarchy uniqueName="[Summary_Laporan_Penjualan_20246].[ID_Pelanggan]" caption="ID_Pelanggan" attribute="1" defaultMemberUniqueName="[Summary_Laporan_Penjualan_20246].[ID_Pelanggan].[All]" allUniqueName="[Summary_Laporan_Penjualan_20246].[ID_Pelanggan].[All]" dimensionUniqueName="[Summary_Laporan_Penjualan_20246]" displayFolder="" count="0" memberValueDatatype="130" unbalanced="0"/>
    <cacheHierarchy uniqueName="[Summary_Laporan_Penjualan_20246].[Sales_Rep]" caption="Sales_Rep" attribute="1" defaultMemberUniqueName="[Summary_Laporan_Penjualan_20246].[Sales_Rep].[All]" allUniqueName="[Summary_Laporan_Penjualan_20246].[Sales_Rep].[All]" dimensionUniqueName="[Summary_Laporan_Penjualan_20246]" displayFolder="" count="0" memberValueDatatype="130" unbalanced="0"/>
    <cacheHierarchy uniqueName="[Summary_Laporan_Penjualan_20246].[Jumlah]" caption="Jumlah" attribute="1" defaultMemberUniqueName="[Summary_Laporan_Penjualan_20246].[Jumlah].[All]" allUniqueName="[Summary_Laporan_Penjualan_20246].[Jumlah].[All]" dimensionUniqueName="[Summary_Laporan_Penjualan_20246]" displayFolder="" count="0" memberValueDatatype="20" unbalanced="0"/>
    <cacheHierarchy uniqueName="[Summary_Laporan_Penjualan_20246].[Tanggal_Clean]" caption="Tanggal_Clean" attribute="1" time="1" defaultMemberUniqueName="[Summary_Laporan_Penjualan_20246].[Tanggal_Clean].[All]" allUniqueName="[Summary_Laporan_Penjualan_20246].[Tanggal_Clean].[All]" dimensionUniqueName="[Summary_Laporan_Penjualan_20246]" displayFolder="" count="0" memberValueDatatype="7" unbalanced="0"/>
    <cacheHierarchy uniqueName="[Summary_Laporan_Penjualan_20246].[Nama_Produk]" caption="Nama_Produk" attribute="1" defaultMemberUniqueName="[Summary_Laporan_Penjualan_20246].[Nama_Produk].[All]" allUniqueName="[Summary_Laporan_Penjualan_20246].[Nama_Produk].[All]" dimensionUniqueName="[Summary_Laporan_Penjualan_20246]" displayFolder="" count="0" memberValueDatatype="130" unbalanced="0"/>
    <cacheHierarchy uniqueName="[Summary_Laporan_Penjualan_20246].[Kategori]" caption="Kategori" attribute="1" defaultMemberUniqueName="[Summary_Laporan_Penjualan_20246].[Kategori].[All]" allUniqueName="[Summary_Laporan_Penjualan_20246].[Kategori].[All]" dimensionUniqueName="[Summary_Laporan_Penjualan_20246]" displayFolder="" count="2" memberValueDatatype="130" unbalanced="0">
      <fieldsUsage count="2">
        <fieldUsage x="-1"/>
        <fieldUsage x="1"/>
      </fieldsUsage>
    </cacheHierarchy>
    <cacheHierarchy uniqueName="[Summary_Laporan_Penjualan_20246].[Kota_Gudang]" caption="Kota_Gudang" attribute="1" defaultMemberUniqueName="[Summary_Laporan_Penjualan_20246].[Kota_Gudang].[All]" allUniqueName="[Summary_Laporan_Penjualan_20246].[Kota_Gudang].[All]" dimensionUniqueName="[Summary_Laporan_Penjualan_20246]" displayFolder="" count="0" memberValueDatatype="130" unbalanced="0"/>
    <cacheHierarchy uniqueName="[Summary_Laporan_Penjualan_20246].[Harga_Beli]" caption="Harga_Beli" attribute="1" defaultMemberUniqueName="[Summary_Laporan_Penjualan_20246].[Harga_Beli].[All]" allUniqueName="[Summary_Laporan_Penjualan_20246].[Harga_Beli].[All]" dimensionUniqueName="[Summary_Laporan_Penjualan_20246]" displayFolder="" count="0" memberValueDatatype="20" unbalanced="0"/>
    <cacheHierarchy uniqueName="[Summary_Laporan_Penjualan_20246].[Harga_Jual]" caption="Harga_Jual" attribute="1" defaultMemberUniqueName="[Summary_Laporan_Penjualan_20246].[Harga_Jual].[All]" allUniqueName="[Summary_Laporan_Penjualan_20246].[Harga_Jual].[All]" dimensionUniqueName="[Summary_Laporan_Penjualan_20246]" displayFolder="" count="0" memberValueDatatype="20" unbalanced="0"/>
    <cacheHierarchy uniqueName="[Summary_Laporan_Penjualan_20246].[Nama_Pelanggan]" caption="Nama_Pelanggan" attribute="1" defaultMemberUniqueName="[Summary_Laporan_Penjualan_20246].[Nama_Pelanggan].[All]" allUniqueName="[Summary_Laporan_Penjualan_20246].[Nama_Pelanggan].[All]" dimensionUniqueName="[Summary_Laporan_Penjualan_20246]" displayFolder="" count="0" memberValueDatatype="130" unbalanced="0"/>
    <cacheHierarchy uniqueName="[Summary_Laporan_Penjualan_20246].[Tipe_Pelanggan]" caption="Tipe_Pelanggan" attribute="1" defaultMemberUniqueName="[Summary_Laporan_Penjualan_20246].[Tipe_Pelanggan].[All]" allUniqueName="[Summary_Laporan_Penjualan_20246].[Tipe_Pelanggan].[All]" dimensionUniqueName="[Summary_Laporan_Penjualan_20246]" displayFolder="" count="0" memberValueDatatype="130" unbalanced="0"/>
    <cacheHierarchy uniqueName="[Summary_Laporan_Penjualan_20246].[Kota_Pelanggan]" caption="Kota_Pelanggan" attribute="1" defaultMemberUniqueName="[Summary_Laporan_Penjualan_20246].[Kota_Pelanggan].[All]" allUniqueName="[Summary_Laporan_Penjualan_20246].[Kota_Pelanggan].[All]" dimensionUniqueName="[Summary_Laporan_Penjualan_20246]" displayFolder="" count="2" memberValueDatatype="130" unbalanced="0">
      <fieldsUsage count="2">
        <fieldUsage x="-1"/>
        <fieldUsage x="0"/>
      </fieldsUsage>
    </cacheHierarchy>
    <cacheHierarchy uniqueName="[Summary_Laporan_Penjualan_20246].[Revenue]" caption="Revenue" attribute="1" defaultMemberUniqueName="[Summary_Laporan_Penjualan_20246].[Revenue].[All]" allUniqueName="[Summary_Laporan_Penjualan_20246].[Revenue].[All]" dimensionUniqueName="[Summary_Laporan_Penjualan_20246]" displayFolder="" count="0" memberValueDatatype="20" unbalanced="0"/>
    <cacheHierarchy uniqueName="[Summary_Laporan_Penjualan_20246].[Profit]" caption="Profit" attribute="1" defaultMemberUniqueName="[Summary_Laporan_Penjualan_20246].[Profit].[All]" allUniqueName="[Summary_Laporan_Penjualan_20246].[Profit].[All]" dimensionUniqueName="[Summary_Laporan_Penjualan_20246]" displayFolder="" count="0" memberValueDatatype="20" unbalanced="0"/>
    <cacheHierarchy uniqueName="[Summary_Laporan_Penjualan_20246].[Margin]" caption="Margin" attribute="1" defaultMemberUniqueName="[Summary_Laporan_Penjualan_20246].[Margin].[All]" allUniqueName="[Summary_Laporan_Penjualan_20246].[Margin].[All]" dimensionUniqueName="[Summary_Laporan_Penjualan_20246]" displayFolder="" count="0" memberValueDatatype="5" unbalanced="0"/>
    <cacheHierarchy uniqueName="[Summary_Laporan_Penjualan_20246].[Tanggal_Clean (Month)]" caption="Tanggal_Clean (Month)" attribute="1" defaultMemberUniqueName="[Summary_Laporan_Penjualan_20246].[Tanggal_Clean (Month)].[All]" allUniqueName="[Summary_Laporan_Penjualan_20246].[Tanggal_Clean (Month)].[All]" dimensionUniqueName="[Summary_Laporan_Penjualan_20246]" displayFolder="" count="0" memberValueDatatype="130" unbalanced="0"/>
    <cacheHierarchy uniqueName="[Summary_Laporan_Penjualan_20246].[Tanggal_Clean (Month Index)]" caption="Tanggal_Clean (Month Index)" attribute="1" defaultMemberUniqueName="[Summary_Laporan_Penjualan_20246].[Tanggal_Clean (Month Index)].[All]" allUniqueName="[Summary_Laporan_Penjualan_20246].[Tanggal_Clean (Month Index)].[All]" dimensionUniqueName="[Summary_Laporan_Penjualan_20246]" displayFolder="" count="0" memberValueDatatype="20" unbalanced="0" hidden="1"/>
    <cacheHierarchy uniqueName="[Measures].[__XL_Count Summary_Laporan_Penjualan_20246]" caption="__XL_Count Summary_Laporan_Penjualan_20246" measure="1" displayFolder="" measureGroup="Summary_Laporan_Penjualan_20246" count="0" hidden="1"/>
    <cacheHierarchy uniqueName="[Measures].[__No measures defined]" caption="__No measures defined" measure="1" displayFolder="" count="0" hidden="1"/>
    <cacheHierarchy uniqueName="[Measures].[Sum of Revenue]" caption="Sum of Revenue" measure="1" displayFolder="" measureGroup="Summary_Laporan_Penjualan_20246"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ID_Transaksi]" caption="Count of ID_Transaksi" measure="1" displayFolder="" measureGroup="Summary_Laporan_Penjualan_20246"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ummary_Laporan_Penjualan_20246"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Summary_Laporan_Penjualan_20246" uniqueName="[Summary_Laporan_Penjualan_20246]" caption="Summary_Laporan_Penjualan_20246"/>
  </dimensions>
  <measureGroups count="1">
    <measureGroup name="Summary_Laporan_Penjualan_20246" caption="Summary_Laporan_Penjualan_2024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sha aline" refreshedDate="46088.879974074072" backgroundQuery="1" createdVersion="8" refreshedVersion="8" minRefreshableVersion="3" recordCount="0" supportSubquery="1" supportAdvancedDrill="1" xr:uid="{BE1BEC65-1E5A-45B4-B40D-260E25B500A8}">
  <cacheSource type="external" connectionId="7"/>
  <cacheFields count="2">
    <cacheField name="[Summary_Laporan_Penjualan_20246].[Sales_Rep].[Sales_Rep]" caption="Sales_Rep" numFmtId="0" hierarchy="3" level="1">
      <sharedItems count="6">
        <s v="Ani Wijaya"/>
        <s v="Budi Santoso"/>
        <s v="Charles Lim"/>
        <s v="Dewi Lestari"/>
        <s v="Eko Prasetyo"/>
        <s v="Fitri Handayani"/>
      </sharedItems>
    </cacheField>
    <cacheField name="[Measures].[Sum of Profit]" caption="Sum of Profit" numFmtId="0" hierarchy="23" level="32767"/>
  </cacheFields>
  <cacheHierarchies count="24">
    <cacheHierarchy uniqueName="[Summary_Laporan_Penjualan_20246].[ID_Transaksi]" caption="ID_Transaksi" attribute="1" defaultMemberUniqueName="[Summary_Laporan_Penjualan_20246].[ID_Transaksi].[All]" allUniqueName="[Summary_Laporan_Penjualan_20246].[ID_Transaksi].[All]" dimensionUniqueName="[Summary_Laporan_Penjualan_20246]" displayFolder="" count="0" memberValueDatatype="130" unbalanced="0"/>
    <cacheHierarchy uniqueName="[Summary_Laporan_Penjualan_20246].[ID_Produk]" caption="ID_Produk" attribute="1" defaultMemberUniqueName="[Summary_Laporan_Penjualan_20246].[ID_Produk].[All]" allUniqueName="[Summary_Laporan_Penjualan_20246].[ID_Produk].[All]" dimensionUniqueName="[Summary_Laporan_Penjualan_20246]" displayFolder="" count="0" memberValueDatatype="130" unbalanced="0"/>
    <cacheHierarchy uniqueName="[Summary_Laporan_Penjualan_20246].[ID_Pelanggan]" caption="ID_Pelanggan" attribute="1" defaultMemberUniqueName="[Summary_Laporan_Penjualan_20246].[ID_Pelanggan].[All]" allUniqueName="[Summary_Laporan_Penjualan_20246].[ID_Pelanggan].[All]" dimensionUniqueName="[Summary_Laporan_Penjualan_20246]" displayFolder="" count="0" memberValueDatatype="130" unbalanced="0"/>
    <cacheHierarchy uniqueName="[Summary_Laporan_Penjualan_20246].[Sales_Rep]" caption="Sales_Rep" attribute="1" defaultMemberUniqueName="[Summary_Laporan_Penjualan_20246].[Sales_Rep].[All]" allUniqueName="[Summary_Laporan_Penjualan_20246].[Sales_Rep].[All]" dimensionUniqueName="[Summary_Laporan_Penjualan_20246]" displayFolder="" count="2" memberValueDatatype="130" unbalanced="0">
      <fieldsUsage count="2">
        <fieldUsage x="-1"/>
        <fieldUsage x="0"/>
      </fieldsUsage>
    </cacheHierarchy>
    <cacheHierarchy uniqueName="[Summary_Laporan_Penjualan_20246].[Jumlah]" caption="Jumlah" attribute="1" defaultMemberUniqueName="[Summary_Laporan_Penjualan_20246].[Jumlah].[All]" allUniqueName="[Summary_Laporan_Penjualan_20246].[Jumlah].[All]" dimensionUniqueName="[Summary_Laporan_Penjualan_20246]" displayFolder="" count="0" memberValueDatatype="20" unbalanced="0"/>
    <cacheHierarchy uniqueName="[Summary_Laporan_Penjualan_20246].[Tanggal_Clean]" caption="Tanggal_Clean" attribute="1" time="1" defaultMemberUniqueName="[Summary_Laporan_Penjualan_20246].[Tanggal_Clean].[All]" allUniqueName="[Summary_Laporan_Penjualan_20246].[Tanggal_Clean].[All]" dimensionUniqueName="[Summary_Laporan_Penjualan_20246]" displayFolder="" count="0" memberValueDatatype="7" unbalanced="0"/>
    <cacheHierarchy uniqueName="[Summary_Laporan_Penjualan_20246].[Nama_Produk]" caption="Nama_Produk" attribute="1" defaultMemberUniqueName="[Summary_Laporan_Penjualan_20246].[Nama_Produk].[All]" allUniqueName="[Summary_Laporan_Penjualan_20246].[Nama_Produk].[All]" dimensionUniqueName="[Summary_Laporan_Penjualan_20246]" displayFolder="" count="0" memberValueDatatype="130" unbalanced="0"/>
    <cacheHierarchy uniqueName="[Summary_Laporan_Penjualan_20246].[Kategori]" caption="Kategori" attribute="1" defaultMemberUniqueName="[Summary_Laporan_Penjualan_20246].[Kategori].[All]" allUniqueName="[Summary_Laporan_Penjualan_20246].[Kategori].[All]" dimensionUniqueName="[Summary_Laporan_Penjualan_20246]" displayFolder="" count="0" memberValueDatatype="130" unbalanced="0"/>
    <cacheHierarchy uniqueName="[Summary_Laporan_Penjualan_20246].[Kota_Gudang]" caption="Kota_Gudang" attribute="1" defaultMemberUniqueName="[Summary_Laporan_Penjualan_20246].[Kota_Gudang].[All]" allUniqueName="[Summary_Laporan_Penjualan_20246].[Kota_Gudang].[All]" dimensionUniqueName="[Summary_Laporan_Penjualan_20246]" displayFolder="" count="0" memberValueDatatype="130" unbalanced="0"/>
    <cacheHierarchy uniqueName="[Summary_Laporan_Penjualan_20246].[Harga_Beli]" caption="Harga_Beli" attribute="1" defaultMemberUniqueName="[Summary_Laporan_Penjualan_20246].[Harga_Beli].[All]" allUniqueName="[Summary_Laporan_Penjualan_20246].[Harga_Beli].[All]" dimensionUniqueName="[Summary_Laporan_Penjualan_20246]" displayFolder="" count="0" memberValueDatatype="20" unbalanced="0"/>
    <cacheHierarchy uniqueName="[Summary_Laporan_Penjualan_20246].[Harga_Jual]" caption="Harga_Jual" attribute="1" defaultMemberUniqueName="[Summary_Laporan_Penjualan_20246].[Harga_Jual].[All]" allUniqueName="[Summary_Laporan_Penjualan_20246].[Harga_Jual].[All]" dimensionUniqueName="[Summary_Laporan_Penjualan_20246]" displayFolder="" count="0" memberValueDatatype="20" unbalanced="0"/>
    <cacheHierarchy uniqueName="[Summary_Laporan_Penjualan_20246].[Nama_Pelanggan]" caption="Nama_Pelanggan" attribute="1" defaultMemberUniqueName="[Summary_Laporan_Penjualan_20246].[Nama_Pelanggan].[All]" allUniqueName="[Summary_Laporan_Penjualan_20246].[Nama_Pelanggan].[All]" dimensionUniqueName="[Summary_Laporan_Penjualan_20246]" displayFolder="" count="0" memberValueDatatype="130" unbalanced="0"/>
    <cacheHierarchy uniqueName="[Summary_Laporan_Penjualan_20246].[Tipe_Pelanggan]" caption="Tipe_Pelanggan" attribute="1" defaultMemberUniqueName="[Summary_Laporan_Penjualan_20246].[Tipe_Pelanggan].[All]" allUniqueName="[Summary_Laporan_Penjualan_20246].[Tipe_Pelanggan].[All]" dimensionUniqueName="[Summary_Laporan_Penjualan_20246]" displayFolder="" count="0" memberValueDatatype="130" unbalanced="0"/>
    <cacheHierarchy uniqueName="[Summary_Laporan_Penjualan_20246].[Kota_Pelanggan]" caption="Kota_Pelanggan" attribute="1" defaultMemberUniqueName="[Summary_Laporan_Penjualan_20246].[Kota_Pelanggan].[All]" allUniqueName="[Summary_Laporan_Penjualan_20246].[Kota_Pelanggan].[All]" dimensionUniqueName="[Summary_Laporan_Penjualan_20246]" displayFolder="" count="0" memberValueDatatype="130" unbalanced="0"/>
    <cacheHierarchy uniqueName="[Summary_Laporan_Penjualan_20246].[Revenue]" caption="Revenue" attribute="1" defaultMemberUniqueName="[Summary_Laporan_Penjualan_20246].[Revenue].[All]" allUniqueName="[Summary_Laporan_Penjualan_20246].[Revenue].[All]" dimensionUniqueName="[Summary_Laporan_Penjualan_20246]" displayFolder="" count="0" memberValueDatatype="20" unbalanced="0"/>
    <cacheHierarchy uniqueName="[Summary_Laporan_Penjualan_20246].[Profit]" caption="Profit" attribute="1" defaultMemberUniqueName="[Summary_Laporan_Penjualan_20246].[Profit].[All]" allUniqueName="[Summary_Laporan_Penjualan_20246].[Profit].[All]" dimensionUniqueName="[Summary_Laporan_Penjualan_20246]" displayFolder="" count="0" memberValueDatatype="20" unbalanced="0"/>
    <cacheHierarchy uniqueName="[Summary_Laporan_Penjualan_20246].[Margin]" caption="Margin" attribute="1" defaultMemberUniqueName="[Summary_Laporan_Penjualan_20246].[Margin].[All]" allUniqueName="[Summary_Laporan_Penjualan_20246].[Margin].[All]" dimensionUniqueName="[Summary_Laporan_Penjualan_20246]" displayFolder="" count="0" memberValueDatatype="5" unbalanced="0"/>
    <cacheHierarchy uniqueName="[Summary_Laporan_Penjualan_20246].[Tanggal_Clean (Month)]" caption="Tanggal_Clean (Month)" attribute="1" defaultMemberUniqueName="[Summary_Laporan_Penjualan_20246].[Tanggal_Clean (Month)].[All]" allUniqueName="[Summary_Laporan_Penjualan_20246].[Tanggal_Clean (Month)].[All]" dimensionUniqueName="[Summary_Laporan_Penjualan_20246]" displayFolder="" count="0" memberValueDatatype="130" unbalanced="0"/>
    <cacheHierarchy uniqueName="[Summary_Laporan_Penjualan_20246].[Tanggal_Clean (Month Index)]" caption="Tanggal_Clean (Month Index)" attribute="1" defaultMemberUniqueName="[Summary_Laporan_Penjualan_20246].[Tanggal_Clean (Month Index)].[All]" allUniqueName="[Summary_Laporan_Penjualan_20246].[Tanggal_Clean (Month Index)].[All]" dimensionUniqueName="[Summary_Laporan_Penjualan_20246]" displayFolder="" count="0" memberValueDatatype="20" unbalanced="0" hidden="1"/>
    <cacheHierarchy uniqueName="[Measures].[__XL_Count Summary_Laporan_Penjualan_20246]" caption="__XL_Count Summary_Laporan_Penjualan_20246" measure="1" displayFolder="" measureGroup="Summary_Laporan_Penjualan_20246" count="0" hidden="1"/>
    <cacheHierarchy uniqueName="[Measures].[__No measures defined]" caption="__No measures defined" measure="1" displayFolder="" count="0" hidden="1"/>
    <cacheHierarchy uniqueName="[Measures].[Sum of Revenue]" caption="Sum of Revenue" measure="1" displayFolder="" measureGroup="Summary_Laporan_Penjualan_20246" count="0" hidden="1">
      <extLst>
        <ext xmlns:x15="http://schemas.microsoft.com/office/spreadsheetml/2010/11/main" uri="{B97F6D7D-B522-45F9-BDA1-12C45D357490}">
          <x15:cacheHierarchy aggregatedColumn="14"/>
        </ext>
      </extLst>
    </cacheHierarchy>
    <cacheHierarchy uniqueName="[Measures].[Count of ID_Transaksi]" caption="Count of ID_Transaksi" measure="1" displayFolder="" measureGroup="Summary_Laporan_Penjualan_20246" count="0" hidden="1">
      <extLst>
        <ext xmlns:x15="http://schemas.microsoft.com/office/spreadsheetml/2010/11/main" uri="{B97F6D7D-B522-45F9-BDA1-12C45D357490}">
          <x15:cacheHierarchy aggregatedColumn="0"/>
        </ext>
      </extLst>
    </cacheHierarchy>
    <cacheHierarchy uniqueName="[Measures].[Sum of Profit]" caption="Sum of Profit" measure="1" displayFolder="" measureGroup="Summary_Laporan_Penjualan_20246"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Summary_Laporan_Penjualan_20246" uniqueName="[Summary_Laporan_Penjualan_20246]" caption="Summary_Laporan_Penjualan_20246"/>
  </dimensions>
  <measureGroups count="1">
    <measureGroup name="Summary_Laporan_Penjualan_20246" caption="Summary_Laporan_Penjualan_2024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sha aline" refreshedDate="46088.879363310189" backgroundQuery="1" createdVersion="8" refreshedVersion="8" minRefreshableVersion="3" recordCount="0" supportSubquery="1" supportAdvancedDrill="1" xr:uid="{0DA0A998-B117-49ED-9FA2-AE2E7FA629DA}">
  <cacheSource type="external" connectionId="7"/>
  <cacheFields count="4">
    <cacheField name="[Summary_Laporan_Penjualan_20246].[Sales_Rep].[Sales_Rep]" caption="Sales_Rep" numFmtId="0" hierarchy="3" level="1">
      <sharedItems count="6">
        <s v="Ani Wijaya"/>
        <s v="Budi Santoso"/>
        <s v="Charles Lim"/>
        <s v="Dewi Lestari"/>
        <s v="Eko Prasetyo"/>
        <s v="Fitri Handayani"/>
      </sharedItems>
    </cacheField>
    <cacheField name="[Summary_Laporan_Penjualan_20246].[Tanggal_Clean].[Tanggal_Clean]" caption="Tanggal_Clean" numFmtId="0" hierarchy="5" level="1">
      <sharedItems containsSemiMixedTypes="0" containsNonDate="0" containsDate="1" containsString="0" minDate="2024-01-01T00:00:00" maxDate="2025-01-01T00:00:00" count="292">
        <d v="2024-01-01T00:00:00"/>
        <d v="2024-01-02T00:00:00"/>
        <d v="2024-01-04T00:00:00"/>
        <d v="2024-01-05T00:00:00"/>
        <d v="2024-01-06T00:00:00"/>
        <d v="2024-01-07T00:00:00"/>
        <d v="2024-01-08T00:00:00"/>
        <d v="2024-01-09T00:00:00"/>
        <d v="2024-01-10T00:00:00"/>
        <d v="2024-01-11T00:00:00"/>
        <d v="2024-01-12T00:00:00"/>
        <d v="2024-01-13T00:00:00"/>
        <d v="2024-01-14T00:00:00"/>
        <d v="2024-01-15T00:00:00"/>
        <d v="2024-01-16T00:00:00"/>
        <d v="2024-01-18T00:00:00"/>
        <d v="2024-01-19T00:00:00"/>
        <d v="2024-01-20T00:00:00"/>
        <d v="2024-01-21T00:00:00"/>
        <d v="2024-01-22T00:00:00"/>
        <d v="2024-01-23T00:00:00"/>
        <d v="2024-01-26T00:00:00"/>
        <d v="2024-01-27T00:00:00"/>
        <d v="2024-01-28T00:00:00"/>
        <d v="2024-01-29T00:00:00"/>
        <d v="2024-01-30T00:00:00"/>
        <d v="2024-02-01T00:00:00"/>
        <d v="2024-02-02T00:00:00"/>
        <d v="2024-02-03T00:00:00"/>
        <d v="2024-02-04T00:00:00"/>
        <d v="2024-02-05T00:00:00"/>
        <d v="2024-02-06T00:00:00"/>
        <d v="2024-02-07T00:00:00"/>
        <d v="2024-02-09T00:00:00"/>
        <d v="2024-02-10T00:00:00"/>
        <d v="2024-02-11T00:00:00"/>
        <d v="2024-02-12T00:00:00"/>
        <d v="2024-02-13T00:00:00"/>
        <d v="2024-02-16T00:00:00"/>
        <d v="2024-02-18T00:00:00"/>
        <d v="2024-02-19T00:00:00"/>
        <d v="2024-02-20T00:00:00"/>
        <d v="2024-02-21T00:00:00"/>
        <d v="2024-02-22T00:00:00"/>
        <d v="2024-02-23T00:00:00"/>
        <d v="2024-02-24T00:00:00"/>
        <d v="2024-02-25T00:00:00"/>
        <d v="2024-02-26T00:00:00"/>
        <d v="2024-02-27T00:00:00"/>
        <d v="2024-02-29T00:00:00"/>
        <d v="2024-03-01T00:00:00"/>
        <d v="2024-03-02T00:00:00"/>
        <d v="2024-03-03T00:00:00"/>
        <d v="2024-03-04T00:00:00"/>
        <d v="2024-03-05T00:00:00"/>
        <d v="2024-03-09T00:00:00"/>
        <d v="2024-03-10T00:00:00"/>
        <d v="2024-03-11T00:00:00"/>
        <d v="2024-03-12T00:00:00"/>
        <d v="2024-03-14T00:00:00"/>
        <d v="2024-03-15T00:00:00"/>
        <d v="2024-03-17T00:00:00"/>
        <d v="2024-03-19T00:00:00"/>
        <d v="2024-03-20T00:00:00"/>
        <d v="2024-03-21T00:00:00"/>
        <d v="2024-03-22T00:00:00"/>
        <d v="2024-03-23T00:00:00"/>
        <d v="2024-03-25T00:00:00"/>
        <d v="2024-03-26T00:00:00"/>
        <d v="2024-03-28T00:00:00"/>
        <d v="2024-03-29T00:00:00"/>
        <d v="2024-03-30T00:00:00"/>
        <d v="2024-04-01T00:00:00"/>
        <d v="2024-04-02T00:00:00"/>
        <d v="2024-04-03T00:00:00"/>
        <d v="2024-04-04T00:00:00"/>
        <d v="2024-04-05T00:00:00"/>
        <d v="2024-04-06T00:00:00"/>
        <d v="2024-04-07T00:00:00"/>
        <d v="2024-04-09T00:00:00"/>
        <d v="2024-04-10T00:00:00"/>
        <d v="2024-04-11T00:00:00"/>
        <d v="2024-04-12T00:00:00"/>
        <d v="2024-04-14T00:00:00"/>
        <d v="2024-04-16T00:00:00"/>
        <d v="2024-04-17T00:00:00"/>
        <d v="2024-04-18T00:00:00"/>
        <d v="2024-04-19T00:00:00"/>
        <d v="2024-04-21T00:00:00"/>
        <d v="2024-04-22T00:00:00"/>
        <d v="2024-04-23T00:00:00"/>
        <d v="2024-04-25T00:00:00"/>
        <d v="2024-04-26T00:00:00"/>
        <d v="2024-04-27T00:00:00"/>
        <d v="2024-04-28T00:00:00"/>
        <d v="2024-04-29T00:00:00"/>
        <d v="2024-04-30T00:00:00"/>
        <d v="2024-05-01T00:00:00"/>
        <d v="2024-05-02T00:00:00"/>
        <d v="2024-05-03T00:00:00"/>
        <d v="2024-05-04T00:00:00"/>
        <d v="2024-05-06T00:00:00"/>
        <d v="2024-05-07T00:00:00"/>
        <d v="2024-05-08T00:00:00"/>
        <d v="2024-05-09T00:00:00"/>
        <d v="2024-05-10T00:00:00"/>
        <d v="2024-05-11T00:00:00"/>
        <d v="2024-05-12T00:00:00"/>
        <d v="2024-05-13T00:00:00"/>
        <d v="2024-05-15T00:00:00"/>
        <d v="2024-05-16T00:00:00"/>
        <d v="2024-05-17T00:00:00"/>
        <d v="2024-05-18T00:00:00"/>
        <d v="2024-05-19T00:00:00"/>
        <d v="2024-05-20T00:00:00"/>
        <d v="2024-05-22T00:00:00"/>
        <d v="2024-05-23T00:00:00"/>
        <d v="2024-05-27T00:00:00"/>
        <d v="2024-05-28T00:00:00"/>
        <d v="2024-05-29T00:00:00"/>
        <d v="2024-05-30T00:00:00"/>
        <d v="2024-06-01T00:00:00"/>
        <d v="2024-06-02T00:00:00"/>
        <d v="2024-06-03T00:00:00"/>
        <d v="2024-06-04T00:00:00"/>
        <d v="2024-06-05T00:00:00"/>
        <d v="2024-06-07T00:00:00"/>
        <d v="2024-06-08T00:00:00"/>
        <d v="2024-06-10T00:00:00"/>
        <d v="2024-06-12T00:00:00"/>
        <d v="2024-06-13T00:00:00"/>
        <d v="2024-06-15T00:00:00"/>
        <d v="2024-06-17T00:00:00"/>
        <d v="2024-06-19T00:00:00"/>
        <d v="2024-06-20T00:00:00"/>
        <d v="2024-06-26T00:00:00"/>
        <d v="2024-06-27T00:00:00"/>
        <d v="2024-06-30T00:00:00"/>
        <d v="2024-07-01T00:00:00"/>
        <d v="2024-07-02T00:00:00"/>
        <d v="2024-07-03T00:00:00"/>
        <d v="2024-07-04T00:00:00"/>
        <d v="2024-07-05T00:00:00"/>
        <d v="2024-07-06T00:00:00"/>
        <d v="2024-07-07T00:00:00"/>
        <d v="2024-07-08T00:00:00"/>
        <d v="2024-07-09T00:00:00"/>
        <d v="2024-07-13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4T00:00:00"/>
        <d v="2024-08-05T00:00:00"/>
        <d v="2024-08-07T00:00:00"/>
        <d v="2024-08-08T00:00:00"/>
        <d v="2024-08-09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2T00:00:00"/>
        <d v="2024-09-03T00:00:00"/>
        <d v="2024-09-04T00:00:00"/>
        <d v="2024-09-05T00:00:00"/>
        <d v="2024-09-07T00:00:00"/>
        <d v="2024-09-08T00:00:00"/>
        <d v="2024-09-09T00:00:00"/>
        <d v="2024-09-10T00:00:00"/>
        <d v="2024-09-11T00:00:00"/>
        <d v="2024-09-12T00:00:00"/>
        <d v="2024-09-13T00:00:00"/>
        <d v="2024-09-15T00:00:00"/>
        <d v="2024-09-16T00:00:00"/>
        <d v="2024-09-17T00:00:00"/>
        <d v="2024-09-18T00:00:00"/>
        <d v="2024-09-19T00:00:00"/>
        <d v="2024-09-20T00:00:00"/>
        <d v="2024-09-21T00:00:00"/>
        <d v="2024-09-22T00:00:00"/>
        <d v="2024-09-23T00:00:00"/>
        <d v="2024-09-24T00:00:00"/>
        <d v="2024-09-27T00:00:00"/>
        <d v="2024-09-28T00:00:00"/>
        <d v="2024-09-29T00:00:00"/>
        <d v="2024-10-01T00:00:00"/>
        <d v="2024-10-02T00:00:00"/>
        <d v="2024-10-03T00:00:00"/>
        <d v="2024-10-04T00:00:00"/>
        <d v="2024-10-05T00:00:00"/>
        <d v="2024-10-07T00:00:00"/>
        <d v="2024-10-09T00:00:00"/>
        <d v="2024-10-10T00:00:00"/>
        <d v="2024-10-12T00:00:00"/>
        <d v="2024-10-14T00:00:00"/>
        <d v="2024-10-15T00:00:00"/>
        <d v="2024-10-16T00:00:00"/>
        <d v="2024-10-17T00:00:00"/>
        <d v="2024-10-18T00:00:00"/>
        <d v="2024-10-19T00:00:00"/>
        <d v="2024-10-21T00:00:00"/>
        <d v="2024-10-22T00:00:00"/>
        <d v="2024-10-24T00:00:00"/>
        <d v="2024-10-25T00:00:00"/>
        <d v="2024-10-26T00:00:00"/>
        <d v="2024-10-27T00:00:00"/>
        <d v="2024-10-29T00:00:00"/>
        <d v="2024-10-31T00:00:00"/>
        <d v="2024-11-01T00:00:00"/>
        <d v="2024-11-02T00:00:00"/>
        <d v="2024-11-03T00:00:00"/>
        <d v="2024-11-04T00:00:00"/>
        <d v="2024-11-06T00:00:00"/>
        <d v="2024-11-08T00:00:00"/>
        <d v="2024-11-09T00:00:00"/>
        <d v="2024-11-10T00:00:00"/>
        <d v="2024-11-11T00:00:00"/>
        <d v="2024-11-12T00:00:00"/>
        <d v="2024-11-13T00:00:00"/>
        <d v="2024-11-14T00:00:00"/>
        <d v="2024-11-15T00:00:00"/>
        <d v="2024-11-17T00:00:00"/>
        <d v="2024-11-18T00:00:00"/>
        <d v="2024-11-19T00:00:00"/>
        <d v="2024-11-20T00:00:00"/>
        <d v="2024-11-21T00:00:00"/>
        <d v="2024-11-22T00:00:00"/>
        <d v="2024-11-23T00:00:00"/>
        <d v="2024-11-25T00:00:00"/>
        <d v="2024-11-26T00:00:00"/>
        <d v="2024-11-28T00:00:00"/>
        <d v="2024-11-29T00:00:00"/>
        <d v="2024-11-30T00:00:00"/>
        <d v="2024-12-01T00:00:00"/>
        <d v="2024-12-02T00:00:00"/>
        <d v="2024-12-03T00:00:00"/>
        <d v="2024-12-04T00:00:00"/>
        <d v="2024-12-05T00:00:00"/>
        <d v="2024-12-06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4T00:00:00"/>
        <d v="2024-12-25T00:00:00"/>
        <d v="2024-12-26T00:00:00"/>
        <d v="2024-12-27T00:00:00"/>
        <d v="2024-12-29T00:00:00"/>
        <d v="2024-12-30T00:00:00"/>
        <d v="2024-12-31T00:00:00"/>
      </sharedItems>
    </cacheField>
    <cacheField name="[Summary_Laporan_Penjualan_20246].[Tanggal_Clean (Month)].[Tanggal_Clean (Month)]" caption="Tanggal_Clean (Month)" numFmtId="0" hierarchy="17" level="1">
      <sharedItems count="12">
        <s v="Jan"/>
        <s v="Feb"/>
        <s v="Mar"/>
        <s v="Apr"/>
        <s v="May"/>
        <s v="Jun"/>
        <s v="Jul"/>
        <s v="Aug"/>
        <s v="Sep"/>
        <s v="Oct"/>
        <s v="Nov"/>
        <s v="Dec"/>
      </sharedItems>
    </cacheField>
    <cacheField name="[Measures].[Count of ID_Transaksi]" caption="Count of ID_Transaksi" numFmtId="0" hierarchy="22" level="32767"/>
  </cacheFields>
  <cacheHierarchies count="24">
    <cacheHierarchy uniqueName="[Summary_Laporan_Penjualan_20246].[ID_Transaksi]" caption="ID_Transaksi" attribute="1" defaultMemberUniqueName="[Summary_Laporan_Penjualan_20246].[ID_Transaksi].[All]" allUniqueName="[Summary_Laporan_Penjualan_20246].[ID_Transaksi].[All]" dimensionUniqueName="[Summary_Laporan_Penjualan_20246]" displayFolder="" count="0" memberValueDatatype="130" unbalanced="0"/>
    <cacheHierarchy uniqueName="[Summary_Laporan_Penjualan_20246].[ID_Produk]" caption="ID_Produk" attribute="1" defaultMemberUniqueName="[Summary_Laporan_Penjualan_20246].[ID_Produk].[All]" allUniqueName="[Summary_Laporan_Penjualan_20246].[ID_Produk].[All]" dimensionUniqueName="[Summary_Laporan_Penjualan_20246]" displayFolder="" count="0" memberValueDatatype="130" unbalanced="0"/>
    <cacheHierarchy uniqueName="[Summary_Laporan_Penjualan_20246].[ID_Pelanggan]" caption="ID_Pelanggan" attribute="1" defaultMemberUniqueName="[Summary_Laporan_Penjualan_20246].[ID_Pelanggan].[All]" allUniqueName="[Summary_Laporan_Penjualan_20246].[ID_Pelanggan].[All]" dimensionUniqueName="[Summary_Laporan_Penjualan_20246]" displayFolder="" count="0" memberValueDatatype="130" unbalanced="0"/>
    <cacheHierarchy uniqueName="[Summary_Laporan_Penjualan_20246].[Sales_Rep]" caption="Sales_Rep" attribute="1" defaultMemberUniqueName="[Summary_Laporan_Penjualan_20246].[Sales_Rep].[All]" allUniqueName="[Summary_Laporan_Penjualan_20246].[Sales_Rep].[All]" dimensionUniqueName="[Summary_Laporan_Penjualan_20246]" displayFolder="" count="2" memberValueDatatype="130" unbalanced="0">
      <fieldsUsage count="2">
        <fieldUsage x="-1"/>
        <fieldUsage x="0"/>
      </fieldsUsage>
    </cacheHierarchy>
    <cacheHierarchy uniqueName="[Summary_Laporan_Penjualan_20246].[Jumlah]" caption="Jumlah" attribute="1" defaultMemberUniqueName="[Summary_Laporan_Penjualan_20246].[Jumlah].[All]" allUniqueName="[Summary_Laporan_Penjualan_20246].[Jumlah].[All]" dimensionUniqueName="[Summary_Laporan_Penjualan_20246]" displayFolder="" count="0" memberValueDatatype="20" unbalanced="0"/>
    <cacheHierarchy uniqueName="[Summary_Laporan_Penjualan_20246].[Tanggal_Clean]" caption="Tanggal_Clean" attribute="1" time="1" defaultMemberUniqueName="[Summary_Laporan_Penjualan_20246].[Tanggal_Clean].[All]" allUniqueName="[Summary_Laporan_Penjualan_20246].[Tanggal_Clean].[All]" dimensionUniqueName="[Summary_Laporan_Penjualan_20246]" displayFolder="" count="2" memberValueDatatype="7" unbalanced="0">
      <fieldsUsage count="2">
        <fieldUsage x="-1"/>
        <fieldUsage x="1"/>
      </fieldsUsage>
    </cacheHierarchy>
    <cacheHierarchy uniqueName="[Summary_Laporan_Penjualan_20246].[Nama_Produk]" caption="Nama_Produk" attribute="1" defaultMemberUniqueName="[Summary_Laporan_Penjualan_20246].[Nama_Produk].[All]" allUniqueName="[Summary_Laporan_Penjualan_20246].[Nama_Produk].[All]" dimensionUniqueName="[Summary_Laporan_Penjualan_20246]" displayFolder="" count="0" memberValueDatatype="130" unbalanced="0"/>
    <cacheHierarchy uniqueName="[Summary_Laporan_Penjualan_20246].[Kategori]" caption="Kategori" attribute="1" defaultMemberUniqueName="[Summary_Laporan_Penjualan_20246].[Kategori].[All]" allUniqueName="[Summary_Laporan_Penjualan_20246].[Kategori].[All]" dimensionUniqueName="[Summary_Laporan_Penjualan_20246]" displayFolder="" count="0" memberValueDatatype="130" unbalanced="0"/>
    <cacheHierarchy uniqueName="[Summary_Laporan_Penjualan_20246].[Kota_Gudang]" caption="Kota_Gudang" attribute="1" defaultMemberUniqueName="[Summary_Laporan_Penjualan_20246].[Kota_Gudang].[All]" allUniqueName="[Summary_Laporan_Penjualan_20246].[Kota_Gudang].[All]" dimensionUniqueName="[Summary_Laporan_Penjualan_20246]" displayFolder="" count="0" memberValueDatatype="130" unbalanced="0"/>
    <cacheHierarchy uniqueName="[Summary_Laporan_Penjualan_20246].[Harga_Beli]" caption="Harga_Beli" attribute="1" defaultMemberUniqueName="[Summary_Laporan_Penjualan_20246].[Harga_Beli].[All]" allUniqueName="[Summary_Laporan_Penjualan_20246].[Harga_Beli].[All]" dimensionUniqueName="[Summary_Laporan_Penjualan_20246]" displayFolder="" count="0" memberValueDatatype="20" unbalanced="0"/>
    <cacheHierarchy uniqueName="[Summary_Laporan_Penjualan_20246].[Harga_Jual]" caption="Harga_Jual" attribute="1" defaultMemberUniqueName="[Summary_Laporan_Penjualan_20246].[Harga_Jual].[All]" allUniqueName="[Summary_Laporan_Penjualan_20246].[Harga_Jual].[All]" dimensionUniqueName="[Summary_Laporan_Penjualan_20246]" displayFolder="" count="0" memberValueDatatype="20" unbalanced="0"/>
    <cacheHierarchy uniqueName="[Summary_Laporan_Penjualan_20246].[Nama_Pelanggan]" caption="Nama_Pelanggan" attribute="1" defaultMemberUniqueName="[Summary_Laporan_Penjualan_20246].[Nama_Pelanggan].[All]" allUniqueName="[Summary_Laporan_Penjualan_20246].[Nama_Pelanggan].[All]" dimensionUniqueName="[Summary_Laporan_Penjualan_20246]" displayFolder="" count="0" memberValueDatatype="130" unbalanced="0"/>
    <cacheHierarchy uniqueName="[Summary_Laporan_Penjualan_20246].[Tipe_Pelanggan]" caption="Tipe_Pelanggan" attribute="1" defaultMemberUniqueName="[Summary_Laporan_Penjualan_20246].[Tipe_Pelanggan].[All]" allUniqueName="[Summary_Laporan_Penjualan_20246].[Tipe_Pelanggan].[All]" dimensionUniqueName="[Summary_Laporan_Penjualan_20246]" displayFolder="" count="0" memberValueDatatype="130" unbalanced="0"/>
    <cacheHierarchy uniqueName="[Summary_Laporan_Penjualan_20246].[Kota_Pelanggan]" caption="Kota_Pelanggan" attribute="1" defaultMemberUniqueName="[Summary_Laporan_Penjualan_20246].[Kota_Pelanggan].[All]" allUniqueName="[Summary_Laporan_Penjualan_20246].[Kota_Pelanggan].[All]" dimensionUniqueName="[Summary_Laporan_Penjualan_20246]" displayFolder="" count="0" memberValueDatatype="130" unbalanced="0"/>
    <cacheHierarchy uniqueName="[Summary_Laporan_Penjualan_20246].[Revenue]" caption="Revenue" attribute="1" defaultMemberUniqueName="[Summary_Laporan_Penjualan_20246].[Revenue].[All]" allUniqueName="[Summary_Laporan_Penjualan_20246].[Revenue].[All]" dimensionUniqueName="[Summary_Laporan_Penjualan_20246]" displayFolder="" count="0" memberValueDatatype="20" unbalanced="0"/>
    <cacheHierarchy uniqueName="[Summary_Laporan_Penjualan_20246].[Profit]" caption="Profit" attribute="1" defaultMemberUniqueName="[Summary_Laporan_Penjualan_20246].[Profit].[All]" allUniqueName="[Summary_Laporan_Penjualan_20246].[Profit].[All]" dimensionUniqueName="[Summary_Laporan_Penjualan_20246]" displayFolder="" count="0" memberValueDatatype="20" unbalanced="0"/>
    <cacheHierarchy uniqueName="[Summary_Laporan_Penjualan_20246].[Margin]" caption="Margin" attribute="1" defaultMemberUniqueName="[Summary_Laporan_Penjualan_20246].[Margin].[All]" allUniqueName="[Summary_Laporan_Penjualan_20246].[Margin].[All]" dimensionUniqueName="[Summary_Laporan_Penjualan_20246]" displayFolder="" count="0" memberValueDatatype="5" unbalanced="0"/>
    <cacheHierarchy uniqueName="[Summary_Laporan_Penjualan_20246].[Tanggal_Clean (Month)]" caption="Tanggal_Clean (Month)" attribute="1" defaultMemberUniqueName="[Summary_Laporan_Penjualan_20246].[Tanggal_Clean (Month)].[All]" allUniqueName="[Summary_Laporan_Penjualan_20246].[Tanggal_Clean (Month)].[All]" dimensionUniqueName="[Summary_Laporan_Penjualan_20246]" displayFolder="" count="2" memberValueDatatype="130" unbalanced="0">
      <fieldsUsage count="2">
        <fieldUsage x="-1"/>
        <fieldUsage x="2"/>
      </fieldsUsage>
    </cacheHierarchy>
    <cacheHierarchy uniqueName="[Summary_Laporan_Penjualan_20246].[Tanggal_Clean (Month Index)]" caption="Tanggal_Clean (Month Index)" attribute="1" defaultMemberUniqueName="[Summary_Laporan_Penjualan_20246].[Tanggal_Clean (Month Index)].[All]" allUniqueName="[Summary_Laporan_Penjualan_20246].[Tanggal_Clean (Month Index)].[All]" dimensionUniqueName="[Summary_Laporan_Penjualan_20246]" displayFolder="" count="0" memberValueDatatype="20" unbalanced="0" hidden="1"/>
    <cacheHierarchy uniqueName="[Measures].[__XL_Count Summary_Laporan_Penjualan_20246]" caption="__XL_Count Summary_Laporan_Penjualan_20246" measure="1" displayFolder="" measureGroup="Summary_Laporan_Penjualan_20246" count="0" hidden="1"/>
    <cacheHierarchy uniqueName="[Measures].[__No measures defined]" caption="__No measures defined" measure="1" displayFolder="" count="0" hidden="1"/>
    <cacheHierarchy uniqueName="[Measures].[Sum of Revenue]" caption="Sum of Revenue" measure="1" displayFolder="" measureGroup="Summary_Laporan_Penjualan_20246" count="0" hidden="1">
      <extLst>
        <ext xmlns:x15="http://schemas.microsoft.com/office/spreadsheetml/2010/11/main" uri="{B97F6D7D-B522-45F9-BDA1-12C45D357490}">
          <x15:cacheHierarchy aggregatedColumn="14"/>
        </ext>
      </extLst>
    </cacheHierarchy>
    <cacheHierarchy uniqueName="[Measures].[Count of ID_Transaksi]" caption="Count of ID_Transaksi" measure="1" displayFolder="" measureGroup="Summary_Laporan_Penjualan_20246"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Profit]" caption="Sum of Profit" measure="1" displayFolder="" measureGroup="Summary_Laporan_Penjualan_20246"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Summary_Laporan_Penjualan_20246" uniqueName="[Summary_Laporan_Penjualan_20246]" caption="Summary_Laporan_Penjualan_20246"/>
  </dimensions>
  <measureGroups count="1">
    <measureGroup name="Summary_Laporan_Penjualan_20246" caption="Summary_Laporan_Penjualan_20246"/>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TRX0001"/>
  </r>
  <r>
    <s v="TRX0001"/>
  </r>
  <r>
    <s v="TRX0001"/>
  </r>
  <r>
    <s v="TRX0001"/>
  </r>
  <r>
    <s v="TRX0014"/>
  </r>
  <r>
    <s v="TRX0015"/>
  </r>
  <r>
    <s v="TRX0005"/>
  </r>
  <r>
    <s v="TRX0008"/>
  </r>
  <r>
    <s v="TRX0004"/>
  </r>
  <r>
    <s v="TRX0003"/>
  </r>
  <r>
    <s v="TRX0011"/>
  </r>
  <r>
    <s v="TRX0012"/>
  </r>
  <r>
    <s v="TRX0006"/>
  </r>
  <r>
    <s v="TRX0010"/>
  </r>
  <r>
    <s v="TRX0018"/>
  </r>
  <r>
    <s v="TRX0013"/>
  </r>
  <r>
    <s v="TRX0002"/>
  </r>
  <r>
    <s v="TRX0019"/>
  </r>
  <r>
    <s v="TRX0016"/>
  </r>
  <r>
    <s v="TRX0007"/>
  </r>
  <r>
    <s v="TRX0017"/>
  </r>
  <r>
    <s v="TRX0018"/>
  </r>
  <r>
    <s v="TRX0018"/>
  </r>
  <r>
    <s v="TRX0009"/>
  </r>
  <r>
    <s v="TRX0018"/>
  </r>
  <r>
    <s v="TRX0020"/>
  </r>
  <r>
    <s v="TRX0021"/>
  </r>
  <r>
    <s v="TRX0022"/>
  </r>
  <r>
    <s v="TRX0023"/>
  </r>
  <r>
    <s v="TRX0024"/>
  </r>
  <r>
    <s v="TRX0025"/>
  </r>
  <r>
    <s v="TRX0026"/>
  </r>
  <r>
    <s v="TRX0027"/>
  </r>
  <r>
    <s v="TRX0028"/>
  </r>
  <r>
    <s v="TRX0029"/>
  </r>
  <r>
    <s v="TRX0030"/>
  </r>
  <r>
    <s v="TRX0031"/>
  </r>
  <r>
    <s v="TRX0032"/>
  </r>
  <r>
    <s v="TRX0033"/>
  </r>
  <r>
    <s v="TRX0034"/>
  </r>
  <r>
    <s v="TRX0035"/>
  </r>
  <r>
    <s v="TRX0036"/>
  </r>
  <r>
    <s v="TRX0037"/>
  </r>
  <r>
    <s v="TRX0038"/>
  </r>
  <r>
    <s v="TRX0039"/>
  </r>
  <r>
    <s v="TRX0040"/>
  </r>
  <r>
    <s v="TRX0041"/>
  </r>
  <r>
    <s v="TRX0042"/>
  </r>
  <r>
    <s v="TRX0043"/>
  </r>
  <r>
    <s v="TRX0044"/>
  </r>
  <r>
    <s v="TRX0045"/>
  </r>
  <r>
    <s v="TRX0046"/>
  </r>
  <r>
    <s v="TRX0046"/>
  </r>
  <r>
    <s v="TRX0047"/>
  </r>
  <r>
    <s v="TRX0048"/>
  </r>
  <r>
    <s v="TRX0049"/>
  </r>
  <r>
    <s v="TRX0050"/>
  </r>
  <r>
    <s v="TRX0051"/>
  </r>
  <r>
    <s v="TRX0052"/>
  </r>
  <r>
    <s v="TRX0053"/>
  </r>
  <r>
    <s v="TRX0054"/>
  </r>
  <r>
    <s v="TRX0055"/>
  </r>
  <r>
    <s v="TRX0056"/>
  </r>
  <r>
    <s v="TRX0057"/>
  </r>
  <r>
    <s v="TRX0058"/>
  </r>
  <r>
    <s v="TRX0059"/>
  </r>
  <r>
    <s v="TRX0060"/>
  </r>
  <r>
    <s v="TRX0061"/>
  </r>
  <r>
    <s v="TRX0062"/>
  </r>
  <r>
    <s v="TRX0063"/>
  </r>
  <r>
    <s v="TRX0063"/>
  </r>
  <r>
    <s v="TRX0063"/>
  </r>
  <r>
    <s v="TRX0064"/>
  </r>
  <r>
    <s v="TRX0065"/>
  </r>
  <r>
    <s v="TRX0066"/>
  </r>
  <r>
    <s v="TRX0067"/>
  </r>
  <r>
    <s v="TRX0068"/>
  </r>
  <r>
    <s v="TRX0069"/>
  </r>
  <r>
    <s v="TRX0070"/>
  </r>
  <r>
    <s v="TRX0071"/>
  </r>
  <r>
    <s v="TRX0072"/>
  </r>
  <r>
    <s v="TRX0073"/>
  </r>
  <r>
    <s v="TRX0074"/>
  </r>
  <r>
    <s v="TRX0075"/>
  </r>
  <r>
    <s v="TRX0076"/>
  </r>
  <r>
    <s v="TRX0077"/>
  </r>
  <r>
    <s v="TRX0078"/>
  </r>
  <r>
    <s v="TRX0079"/>
  </r>
  <r>
    <s v="TRX0080"/>
  </r>
  <r>
    <s v="TRX0081"/>
  </r>
  <r>
    <s v="TRX0082"/>
  </r>
  <r>
    <s v="TRX0083"/>
  </r>
  <r>
    <s v="TRX0084"/>
  </r>
  <r>
    <s v="TRX0085"/>
  </r>
  <r>
    <s v="TRX0086"/>
  </r>
  <r>
    <s v="TRX0087"/>
  </r>
  <r>
    <s v="TRX0088"/>
  </r>
  <r>
    <s v="TRX0089"/>
  </r>
  <r>
    <s v="TRX0090"/>
  </r>
  <r>
    <s v="TRX0091"/>
  </r>
  <r>
    <s v="TRX0092"/>
  </r>
  <r>
    <s v="TRX0093"/>
  </r>
  <r>
    <s v="TRX0094"/>
  </r>
  <r>
    <s v="TRX0095"/>
  </r>
  <r>
    <s v="TRX0096"/>
  </r>
  <r>
    <s v="TRX0097"/>
  </r>
  <r>
    <s v="TRX0098"/>
  </r>
  <r>
    <s v="TRX0099"/>
  </r>
  <r>
    <s v="TRX0100"/>
  </r>
  <r>
    <s v="TRX0101"/>
  </r>
  <r>
    <s v="TRX0102"/>
  </r>
  <r>
    <s v="TRX0103"/>
  </r>
  <r>
    <s v="TRX0104"/>
  </r>
  <r>
    <s v="TRX0105"/>
  </r>
  <r>
    <s v="TRX0106"/>
  </r>
  <r>
    <s v="TRX0107"/>
  </r>
  <r>
    <s v="TRX0108"/>
  </r>
  <r>
    <s v="TRX0109"/>
  </r>
  <r>
    <s v="TRX0109"/>
  </r>
  <r>
    <s v="TRX0109"/>
  </r>
  <r>
    <s v="TRX0110"/>
  </r>
  <r>
    <s v="TRX0111"/>
  </r>
  <r>
    <s v="TRX0112"/>
  </r>
  <r>
    <s v="TRX0113"/>
  </r>
  <r>
    <s v="TRX0114"/>
  </r>
  <r>
    <s v="TRX0115"/>
  </r>
  <r>
    <s v="TRX0116"/>
  </r>
  <r>
    <s v="TRX0117"/>
  </r>
  <r>
    <s v="TRX0118"/>
  </r>
  <r>
    <s v="TRX0119"/>
  </r>
  <r>
    <s v="TRX0120"/>
  </r>
  <r>
    <s v="TRX0121"/>
  </r>
  <r>
    <s v="TRX0122"/>
  </r>
  <r>
    <s v="TRX0123"/>
  </r>
  <r>
    <s v="TRX0124"/>
  </r>
  <r>
    <s v="TRX0125"/>
  </r>
  <r>
    <s v="TRX0126"/>
  </r>
  <r>
    <s v="TRX0127"/>
  </r>
  <r>
    <s v="TRX0128"/>
  </r>
  <r>
    <s v="TRX0129"/>
  </r>
  <r>
    <s v="TRX0130"/>
  </r>
  <r>
    <s v="TRX0131"/>
  </r>
  <r>
    <s v="TRX0132"/>
  </r>
  <r>
    <s v="TRX0133"/>
  </r>
  <r>
    <s v="TRX0134"/>
  </r>
  <r>
    <s v="TRX0135"/>
  </r>
  <r>
    <s v="TRX0136"/>
  </r>
  <r>
    <s v="TRX0137"/>
  </r>
  <r>
    <s v="TRX0138"/>
  </r>
  <r>
    <s v="TRX0139"/>
  </r>
  <r>
    <s v="TRX0140"/>
  </r>
  <r>
    <s v="TRX0141"/>
  </r>
  <r>
    <s v="TRX0142"/>
  </r>
  <r>
    <s v="TRX0143"/>
  </r>
  <r>
    <s v="TRX0144"/>
  </r>
  <r>
    <s v="TRX0145"/>
  </r>
  <r>
    <s v="TRX0146"/>
  </r>
  <r>
    <s v="TRX0147"/>
  </r>
  <r>
    <s v="TRX0148"/>
  </r>
  <r>
    <s v="TRX0149"/>
  </r>
  <r>
    <s v="TRX0150"/>
  </r>
  <r>
    <s v="TRX0151"/>
  </r>
  <r>
    <s v="TRX0152"/>
  </r>
  <r>
    <s v="TRX0153"/>
  </r>
  <r>
    <s v="TRX0154"/>
  </r>
  <r>
    <s v="TRX0155"/>
  </r>
  <r>
    <s v="TRX0156"/>
  </r>
  <r>
    <s v="TRX0157"/>
  </r>
  <r>
    <s v="TRX0158"/>
  </r>
  <r>
    <s v="TRX0159"/>
  </r>
  <r>
    <s v="TRX0160"/>
  </r>
  <r>
    <s v="TRX0161"/>
  </r>
  <r>
    <s v="TRX0162"/>
  </r>
  <r>
    <s v="TRX0163"/>
  </r>
  <r>
    <s v="TRX0164"/>
  </r>
  <r>
    <s v="TRX0165"/>
  </r>
  <r>
    <s v="TRX0166"/>
  </r>
  <r>
    <s v="TRX0167"/>
  </r>
  <r>
    <s v="TRX0168"/>
  </r>
  <r>
    <s v="TRX0169"/>
  </r>
  <r>
    <s v="TRX0170"/>
  </r>
  <r>
    <s v="TRX0171"/>
  </r>
  <r>
    <s v="TRX0172"/>
  </r>
  <r>
    <s v="TRX0173"/>
  </r>
  <r>
    <s v="TRX0174"/>
  </r>
  <r>
    <s v="TRX0175"/>
  </r>
  <r>
    <s v="TRX0176"/>
  </r>
  <r>
    <s v="TRX0177"/>
  </r>
  <r>
    <s v="TRX0178"/>
  </r>
  <r>
    <s v="TRX0179"/>
  </r>
  <r>
    <s v="TRX0180"/>
  </r>
  <r>
    <s v="TRX0181"/>
  </r>
  <r>
    <s v="TRX0182"/>
  </r>
  <r>
    <s v="TRX0183"/>
  </r>
  <r>
    <s v="TRX0184"/>
  </r>
  <r>
    <s v="TRX0185"/>
  </r>
  <r>
    <s v="TRX0186"/>
  </r>
  <r>
    <s v="TRX0187"/>
  </r>
  <r>
    <s v="TRX0188"/>
  </r>
  <r>
    <s v="TRX0189"/>
  </r>
  <r>
    <s v="TRX0190"/>
  </r>
  <r>
    <s v="TRX0191"/>
  </r>
  <r>
    <s v="TRX0192"/>
  </r>
  <r>
    <s v="TRX0193"/>
  </r>
  <r>
    <s v="TRX0194"/>
  </r>
  <r>
    <s v="TRX0195"/>
  </r>
  <r>
    <s v="TRX0196"/>
  </r>
  <r>
    <s v="TRX0197"/>
  </r>
  <r>
    <s v="TRX0198"/>
  </r>
  <r>
    <s v="TRX0199"/>
  </r>
  <r>
    <s v="TRX0200"/>
  </r>
  <r>
    <s v="TRX0201"/>
  </r>
  <r>
    <s v="TRX0202"/>
  </r>
  <r>
    <s v="TRX0203"/>
  </r>
  <r>
    <s v="TRX0204"/>
  </r>
  <r>
    <s v="TRX0205"/>
  </r>
  <r>
    <s v="TRX0206"/>
  </r>
  <r>
    <s v="TRX0207"/>
  </r>
  <r>
    <s v="TRX0208"/>
  </r>
  <r>
    <s v="TRX0209"/>
  </r>
  <r>
    <s v="TRX0210"/>
  </r>
  <r>
    <s v="TRX0211"/>
  </r>
  <r>
    <s v="TRX0212"/>
  </r>
  <r>
    <s v="TRX0213"/>
  </r>
  <r>
    <s v="TRX0214"/>
  </r>
  <r>
    <s v="TRX0215"/>
  </r>
  <r>
    <s v="TRX0216"/>
  </r>
  <r>
    <s v="TRX0217"/>
  </r>
  <r>
    <s v="TRX0218"/>
  </r>
  <r>
    <s v="TRX0219"/>
  </r>
  <r>
    <s v="TRX0220"/>
  </r>
  <r>
    <s v="TRX0221"/>
  </r>
  <r>
    <s v="TRX0222"/>
  </r>
  <r>
    <s v="TRX0223"/>
  </r>
  <r>
    <s v="TRX0224"/>
  </r>
  <r>
    <s v="TRX0225"/>
  </r>
  <r>
    <s v="TRX0226"/>
  </r>
  <r>
    <s v="TRX0227"/>
  </r>
  <r>
    <s v="TRX0228"/>
  </r>
  <r>
    <s v="TRX0229"/>
  </r>
  <r>
    <s v="TRX0230"/>
  </r>
  <r>
    <s v="TRX0231"/>
  </r>
  <r>
    <s v="TRX0232"/>
  </r>
  <r>
    <s v="TRX0233"/>
  </r>
  <r>
    <s v="TRX0234"/>
  </r>
  <r>
    <s v="TRX0235"/>
  </r>
  <r>
    <s v="TRX0236"/>
  </r>
  <r>
    <s v="TRX0237"/>
  </r>
  <r>
    <s v="TRX0238"/>
  </r>
  <r>
    <s v="TRX0239"/>
  </r>
  <r>
    <s v="TRX0240"/>
  </r>
  <r>
    <s v="TRX0241"/>
  </r>
  <r>
    <s v="TRX0242"/>
  </r>
  <r>
    <s v="TRX0243"/>
  </r>
  <r>
    <s v="TRX0244"/>
  </r>
  <r>
    <s v="TRX0245"/>
  </r>
  <r>
    <s v="TRX0245"/>
  </r>
  <r>
    <s v="TRX0245"/>
  </r>
  <r>
    <s v="TRX0246"/>
  </r>
  <r>
    <s v="TRX0247"/>
  </r>
  <r>
    <s v="TRX0248"/>
  </r>
  <r>
    <s v="TRX0249"/>
  </r>
  <r>
    <s v="TRX0250"/>
  </r>
  <r>
    <s v="TRX0251"/>
  </r>
  <r>
    <s v="TRX0252"/>
  </r>
  <r>
    <s v="TRX0253"/>
  </r>
  <r>
    <s v="TRX0254"/>
  </r>
  <r>
    <s v="TRX0255"/>
  </r>
  <r>
    <s v="TRX0256"/>
  </r>
  <r>
    <s v="TRX0257"/>
  </r>
  <r>
    <s v="TRX0258"/>
  </r>
  <r>
    <s v="TRX0259"/>
  </r>
  <r>
    <s v="TRX0260"/>
  </r>
  <r>
    <s v="TRX0261"/>
  </r>
  <r>
    <s v="TRX0262"/>
  </r>
  <r>
    <s v="TRX0263"/>
  </r>
  <r>
    <s v="TRX0264"/>
  </r>
  <r>
    <s v="TRX0265"/>
  </r>
  <r>
    <s v="TRX0266"/>
  </r>
  <r>
    <s v="TRX0267"/>
  </r>
  <r>
    <s v="TRX0268"/>
  </r>
  <r>
    <s v="TRX0269"/>
  </r>
  <r>
    <s v="TRX0270"/>
  </r>
  <r>
    <s v="TRX0271"/>
  </r>
  <r>
    <s v="TRX0272"/>
  </r>
  <r>
    <s v="TRX0273"/>
  </r>
  <r>
    <s v="TRX0274"/>
  </r>
  <r>
    <s v="TRX0275"/>
  </r>
  <r>
    <s v="TRX0276"/>
  </r>
  <r>
    <s v="TRX0277"/>
  </r>
  <r>
    <s v="TRX0278"/>
  </r>
  <r>
    <s v="TRX0279"/>
  </r>
  <r>
    <s v="TRX0280"/>
  </r>
  <r>
    <s v="TRX0281"/>
  </r>
  <r>
    <s v="TRX0282"/>
  </r>
  <r>
    <s v="TRX0283"/>
  </r>
  <r>
    <s v="TRX0284"/>
  </r>
  <r>
    <s v="TRX0285"/>
  </r>
  <r>
    <s v="TRX0286"/>
  </r>
  <r>
    <s v="TRX0287"/>
  </r>
  <r>
    <s v="TRX0288"/>
  </r>
  <r>
    <s v="TRX0289"/>
  </r>
  <r>
    <s v="TRX0290"/>
  </r>
  <r>
    <s v="TRX0291"/>
  </r>
  <r>
    <s v="TRX0292"/>
  </r>
  <r>
    <s v="TRX0293"/>
  </r>
  <r>
    <s v="TRX0294"/>
  </r>
  <r>
    <s v="TRX0295"/>
  </r>
  <r>
    <s v="TRX0296"/>
  </r>
  <r>
    <s v="TRX0297"/>
  </r>
  <r>
    <s v="TRX0298"/>
  </r>
  <r>
    <s v="TRX0299"/>
  </r>
  <r>
    <s v="TRX0300"/>
  </r>
  <r>
    <s v="TRX0301"/>
  </r>
  <r>
    <s v="TRX0302"/>
  </r>
  <r>
    <s v="TRX0303"/>
  </r>
  <r>
    <s v="TRX0304"/>
  </r>
  <r>
    <s v="TRX0305"/>
  </r>
  <r>
    <s v="TRX0306"/>
  </r>
  <r>
    <s v="TRX0307"/>
  </r>
  <r>
    <s v="TRX0308"/>
  </r>
  <r>
    <s v="TRX0309"/>
  </r>
  <r>
    <s v="TRX0310"/>
  </r>
  <r>
    <s v="TRX0311"/>
  </r>
  <r>
    <s v="TRX0312"/>
  </r>
  <r>
    <s v="TRX0313"/>
  </r>
  <r>
    <s v="TRX0314"/>
  </r>
  <r>
    <s v="TRX0315"/>
  </r>
  <r>
    <s v="TRX0316"/>
  </r>
  <r>
    <s v="TRX0317"/>
  </r>
  <r>
    <s v="TRX0318"/>
  </r>
  <r>
    <s v="TRX0319"/>
  </r>
  <r>
    <s v="TRX0320"/>
  </r>
  <r>
    <s v="TRX0321"/>
  </r>
  <r>
    <s v="TRX0322"/>
  </r>
  <r>
    <s v="TRX0323"/>
  </r>
  <r>
    <s v="TRX0324"/>
  </r>
  <r>
    <s v="TRX0325"/>
  </r>
  <r>
    <s v="TRX0326"/>
  </r>
  <r>
    <s v="TRX0327"/>
  </r>
  <r>
    <s v="TRX0328"/>
  </r>
  <r>
    <s v="TRX0329"/>
  </r>
  <r>
    <s v="TRX0330"/>
  </r>
  <r>
    <s v="TRX0331"/>
  </r>
  <r>
    <s v="TRX0332"/>
  </r>
  <r>
    <s v="TRX0333"/>
  </r>
  <r>
    <s v="TRX0334"/>
  </r>
  <r>
    <s v="TRX0335"/>
  </r>
  <r>
    <s v="TRX0336"/>
  </r>
  <r>
    <s v="TRX0337"/>
  </r>
  <r>
    <s v="TRX0338"/>
  </r>
  <r>
    <s v="TRX0339"/>
  </r>
  <r>
    <s v="TRX0340"/>
  </r>
  <r>
    <s v="TRX0341"/>
  </r>
  <r>
    <s v="TRX0342"/>
  </r>
  <r>
    <s v="TRX0343"/>
  </r>
  <r>
    <s v="TRX0344"/>
  </r>
  <r>
    <s v="TRX0345"/>
  </r>
  <r>
    <s v="TRX0346"/>
  </r>
  <r>
    <s v="TRX0347"/>
  </r>
  <r>
    <s v="TRX0348"/>
  </r>
  <r>
    <s v="TRX0349"/>
  </r>
  <r>
    <s v="TRX0350"/>
  </r>
  <r>
    <s v="TRX0351"/>
  </r>
  <r>
    <s v="TRX0352"/>
  </r>
  <r>
    <s v="TRX0353"/>
  </r>
  <r>
    <s v="TRX0354"/>
  </r>
  <r>
    <s v="TRX0355"/>
  </r>
  <r>
    <s v="TRX0356"/>
  </r>
  <r>
    <s v="TRX0357"/>
  </r>
  <r>
    <s v="TRX0358"/>
  </r>
  <r>
    <s v="TRX0359"/>
  </r>
  <r>
    <s v="TRX0360"/>
  </r>
  <r>
    <s v="TRX0361"/>
  </r>
  <r>
    <s v="TRX0362"/>
  </r>
  <r>
    <s v="TRX0363"/>
  </r>
  <r>
    <s v="TRX0364"/>
  </r>
  <r>
    <s v="TRX0365"/>
  </r>
  <r>
    <s v="TRX0366"/>
  </r>
  <r>
    <s v="TRX0367"/>
  </r>
  <r>
    <s v="TRX0368"/>
  </r>
  <r>
    <s v="TRX0369"/>
  </r>
  <r>
    <s v="TRX0370"/>
  </r>
  <r>
    <s v="TRX0371"/>
  </r>
  <r>
    <s v="TRX0372"/>
  </r>
  <r>
    <s v="TRX0373"/>
  </r>
  <r>
    <s v="TRX0374"/>
  </r>
  <r>
    <s v="TRX0375"/>
  </r>
  <r>
    <s v="TRX0376"/>
  </r>
  <r>
    <s v="TRX0377"/>
  </r>
  <r>
    <s v="TRX0378"/>
  </r>
  <r>
    <s v="TRX0379"/>
  </r>
  <r>
    <s v="TRX0380"/>
  </r>
  <r>
    <s v="TRX0381"/>
  </r>
  <r>
    <s v="TRX0382"/>
  </r>
  <r>
    <s v="TRX0383"/>
  </r>
  <r>
    <s v="TRX0384"/>
  </r>
  <r>
    <s v="TRX0385"/>
  </r>
  <r>
    <s v="TRX0386"/>
  </r>
  <r>
    <s v="TRX0387"/>
  </r>
  <r>
    <s v="TRX0388"/>
  </r>
  <r>
    <s v="TRX0389"/>
  </r>
  <r>
    <s v="TRX0390"/>
  </r>
  <r>
    <s v="TRX0391"/>
  </r>
  <r>
    <s v="TRX0391"/>
  </r>
  <r>
    <s v="TRX0391"/>
  </r>
  <r>
    <s v="TRX0391"/>
  </r>
  <r>
    <s v="TRX0391"/>
  </r>
  <r>
    <s v="TRX0391"/>
  </r>
  <r>
    <s v="TRX0391"/>
  </r>
  <r>
    <s v="TRX0391"/>
  </r>
  <r>
    <s v="TRX0391"/>
  </r>
  <r>
    <s v="TRX0391"/>
  </r>
  <r>
    <s v="TRX0391"/>
  </r>
  <r>
    <s v="TRX0391"/>
  </r>
  <r>
    <s v="TRX0392"/>
  </r>
  <r>
    <s v="TRX0393"/>
  </r>
  <r>
    <s v="TRX0394"/>
  </r>
  <r>
    <s v="TRX0395"/>
  </r>
  <r>
    <s v="TRX0396"/>
  </r>
  <r>
    <s v="TRX0397"/>
  </r>
  <r>
    <s v="TRX0398"/>
  </r>
  <r>
    <s v="TRX0399"/>
  </r>
  <r>
    <s v="TRX0400"/>
  </r>
  <r>
    <s v="TRX0401"/>
  </r>
  <r>
    <s v="TRX0402"/>
  </r>
  <r>
    <s v="TRX0403"/>
  </r>
  <r>
    <s v="TRX0404"/>
  </r>
  <r>
    <s v="TRX0405"/>
  </r>
  <r>
    <s v="TRX0406"/>
  </r>
  <r>
    <s v="TRX0407"/>
  </r>
  <r>
    <s v="TRX0408"/>
  </r>
  <r>
    <s v="TRX0409"/>
  </r>
  <r>
    <s v="TRX0410"/>
  </r>
  <r>
    <s v="TRX0411"/>
  </r>
  <r>
    <s v="TRX0412"/>
  </r>
  <r>
    <s v="TRX0413"/>
  </r>
  <r>
    <s v="TRX0414"/>
  </r>
  <r>
    <s v="TRX0415"/>
  </r>
  <r>
    <s v="TRX0416"/>
  </r>
  <r>
    <s v="TRX0417"/>
  </r>
  <r>
    <s v="TRX0418"/>
  </r>
  <r>
    <s v="TRX0419"/>
  </r>
  <r>
    <s v="TRX0420"/>
  </r>
  <r>
    <s v="TRX0421"/>
  </r>
  <r>
    <s v="TRX0422"/>
  </r>
  <r>
    <s v="TRX0423"/>
  </r>
  <r>
    <s v="TRX0424"/>
  </r>
  <r>
    <s v="TRX0425"/>
  </r>
  <r>
    <s v="TRX0426"/>
  </r>
  <r>
    <s v="TRX0427"/>
  </r>
  <r>
    <s v="TRX0428"/>
  </r>
  <r>
    <s v="TRX0429"/>
  </r>
  <r>
    <s v="TRX0430"/>
  </r>
  <r>
    <s v="TRX0431"/>
  </r>
  <r>
    <s v="TRX0432"/>
  </r>
  <r>
    <s v="TRX0433"/>
  </r>
  <r>
    <s v="TRX0434"/>
  </r>
  <r>
    <s v="TRX0435"/>
  </r>
  <r>
    <s v="TRX0436"/>
  </r>
  <r>
    <s v="TRX0437"/>
  </r>
  <r>
    <s v="TRX0438"/>
  </r>
  <r>
    <s v="TRX0439"/>
  </r>
  <r>
    <s v="TRX0440"/>
  </r>
  <r>
    <s v="TRX0441"/>
  </r>
  <r>
    <s v="TRX0442"/>
  </r>
  <r>
    <s v="TRX0443"/>
  </r>
  <r>
    <s v="TRX0444"/>
  </r>
  <r>
    <s v="TRX0445"/>
  </r>
  <r>
    <s v="TRX0446"/>
  </r>
  <r>
    <s v="TRX0447"/>
  </r>
  <r>
    <s v="TRX0448"/>
  </r>
  <r>
    <s v="TRX0449"/>
  </r>
  <r>
    <s v="TRX0450"/>
  </r>
  <r>
    <s v="TRX0451"/>
  </r>
  <r>
    <s v="TRX0452"/>
  </r>
  <r>
    <s v="TRX0453"/>
  </r>
  <r>
    <s v="TRX0454"/>
  </r>
  <r>
    <s v="TRX0455"/>
  </r>
  <r>
    <s v="TRX0456"/>
  </r>
  <r>
    <s v="TRX0456"/>
  </r>
  <r>
    <s v="TRX0456"/>
  </r>
  <r>
    <s v="TRX0457"/>
  </r>
  <r>
    <s v="TRX0458"/>
  </r>
  <r>
    <s v="TRX0459"/>
  </r>
  <r>
    <s v="TRX0460"/>
  </r>
  <r>
    <s v="TRX0461"/>
  </r>
  <r>
    <s v="TRX0462"/>
  </r>
  <r>
    <s v="TRX0463"/>
  </r>
  <r>
    <s v="TRX0464"/>
  </r>
  <r>
    <s v="TRX0465"/>
  </r>
  <r>
    <s v="TRX0466"/>
  </r>
  <r>
    <s v="TRX0467"/>
  </r>
  <r>
    <s v="TRX0468"/>
  </r>
  <r>
    <s v="TRX0469"/>
  </r>
  <r>
    <s v="TRX0470"/>
  </r>
  <r>
    <s v="TRX0471"/>
  </r>
  <r>
    <s v="TRX0472"/>
  </r>
  <r>
    <s v="TRX0473"/>
  </r>
  <r>
    <s v="TRX0474"/>
  </r>
  <r>
    <s v="TRX0475"/>
  </r>
  <r>
    <s v="TRX0476"/>
  </r>
  <r>
    <s v="TRX0477"/>
  </r>
  <r>
    <s v="TRX0478"/>
  </r>
  <r>
    <s v="TRX0479"/>
  </r>
  <r>
    <s v="TRX0480"/>
  </r>
  <r>
    <s v="TRX0481"/>
  </r>
  <r>
    <s v="TRX0482"/>
  </r>
  <r>
    <s v="TRX0483"/>
  </r>
  <r>
    <s v="TRX0484"/>
  </r>
  <r>
    <s v="TRX0485"/>
  </r>
  <r>
    <s v="TRX0486"/>
  </r>
  <r>
    <s v="TRX0487"/>
  </r>
  <r>
    <s v="TRX0488"/>
  </r>
  <r>
    <s v="TRX0489"/>
  </r>
  <r>
    <s v="TRX0490"/>
  </r>
  <r>
    <s v="TRX0491"/>
  </r>
  <r>
    <s v="TRX0492"/>
  </r>
  <r>
    <s v="TRX0493"/>
  </r>
  <r>
    <s v="TRX0494"/>
  </r>
  <r>
    <s v="TRX0495"/>
  </r>
  <r>
    <s v="TRX0496"/>
  </r>
  <r>
    <s v="TRX0497"/>
  </r>
  <r>
    <s v="TRX0498"/>
  </r>
  <r>
    <s v="TRX0499"/>
  </r>
  <r>
    <s v="TRX0500"/>
  </r>
  <r>
    <s v="TRX0501"/>
  </r>
  <r>
    <s v="TRX0502"/>
  </r>
  <r>
    <s v="TRX0503"/>
  </r>
  <r>
    <s v="TRX0504"/>
  </r>
  <r>
    <s v="TRX0505"/>
  </r>
  <r>
    <s v="TRX0506"/>
  </r>
  <r>
    <s v="TRX0507"/>
  </r>
  <r>
    <s v="TRX0508"/>
  </r>
  <r>
    <s v="TRX0509"/>
  </r>
  <r>
    <s v="TRX0510"/>
  </r>
  <r>
    <s v="TRX0511"/>
  </r>
  <r>
    <s v="TRX0512"/>
  </r>
  <r>
    <s v="TRX0513"/>
  </r>
  <r>
    <s v="TRX0514"/>
  </r>
  <r>
    <s v="TRX0515"/>
  </r>
  <r>
    <s v="TRX0516"/>
  </r>
  <r>
    <s v="TRX0517"/>
  </r>
  <r>
    <s v="TRX0518"/>
  </r>
  <r>
    <s v="TRX0519"/>
  </r>
  <r>
    <s v="TRX0520"/>
  </r>
  <r>
    <s v="TRX0521"/>
  </r>
  <r>
    <s v="TRX0522"/>
  </r>
  <r>
    <s v="TRX0523"/>
  </r>
  <r>
    <s v="TRX0524"/>
  </r>
  <r>
    <s v="TRX0525"/>
  </r>
  <r>
    <s v="TRX0525"/>
  </r>
  <r>
    <s v="TRX0525"/>
  </r>
  <r>
    <s v="TRX0525"/>
  </r>
  <r>
    <s v="TRX0526"/>
  </r>
  <r>
    <s v="TRX0527"/>
  </r>
  <r>
    <s v="TRX0528"/>
  </r>
  <r>
    <s v="TRX0529"/>
  </r>
  <r>
    <s v="TRX0530"/>
  </r>
  <r>
    <s v="TRX0531"/>
  </r>
  <r>
    <s v="TRX0532"/>
  </r>
  <r>
    <s v="TRX0533"/>
  </r>
  <r>
    <s v="TRX0534"/>
  </r>
  <r>
    <s v="TRX0535"/>
  </r>
  <r>
    <s v="TRX0536"/>
  </r>
  <r>
    <s v="TRX0537"/>
  </r>
  <r>
    <s v="TRX0538"/>
  </r>
  <r>
    <s v="TRX0539"/>
  </r>
  <r>
    <s v="TRX0540"/>
  </r>
  <r>
    <s v="TRX0541"/>
  </r>
  <r>
    <s v="TRX0542"/>
  </r>
  <r>
    <s v="TRX0543"/>
  </r>
  <r>
    <s v="TRX0544"/>
  </r>
  <r>
    <s v="TRX0545"/>
  </r>
  <r>
    <s v="TRX0546"/>
  </r>
  <r>
    <s v="TRX0547"/>
  </r>
  <r>
    <s v="TRX0548"/>
  </r>
  <r>
    <s v="TRX0549"/>
  </r>
  <r>
    <s v="TRX0550"/>
  </r>
  <r>
    <s v="TRX0551"/>
  </r>
  <r>
    <s v="TRX0552"/>
  </r>
  <r>
    <s v="TRX0553"/>
  </r>
  <r>
    <s v="TRX0554"/>
  </r>
  <r>
    <s v="TRX0555"/>
  </r>
  <r>
    <s v="TRX0556"/>
  </r>
  <r>
    <s v="TRX0557"/>
  </r>
  <r>
    <s v="TRX0558"/>
  </r>
  <r>
    <s v="TRX0559"/>
  </r>
  <r>
    <s v="TRX0560"/>
  </r>
  <r>
    <s v="TRX0561"/>
  </r>
  <r>
    <s v="TRX0562"/>
  </r>
  <r>
    <s v="TRX0563"/>
  </r>
  <r>
    <s v="TRX0564"/>
  </r>
  <r>
    <s v="TRX0565"/>
  </r>
  <r>
    <s v="TRX0566"/>
  </r>
  <r>
    <s v="TRX0567"/>
  </r>
  <r>
    <s v="TRX0568"/>
  </r>
  <r>
    <s v="TRX0569"/>
  </r>
  <r>
    <s v="TRX0570"/>
  </r>
  <r>
    <s v="TRX0571"/>
  </r>
  <r>
    <s v="TRX0572"/>
  </r>
  <r>
    <s v="TRX0573"/>
  </r>
  <r>
    <s v="TRX0574"/>
  </r>
  <r>
    <s v="TRX0575"/>
  </r>
  <r>
    <s v="TRX0576"/>
  </r>
  <r>
    <s v="TRX0577"/>
  </r>
  <r>
    <s v="TRX0578"/>
  </r>
  <r>
    <s v="TRX0579"/>
  </r>
  <r>
    <s v="TRX0580"/>
  </r>
  <r>
    <s v="TRX0581"/>
  </r>
  <r>
    <s v="TRX0582"/>
  </r>
  <r>
    <s v="TRX0583"/>
  </r>
  <r>
    <s v="TRX0584"/>
  </r>
  <r>
    <s v="TRX0585"/>
  </r>
  <r>
    <s v="TRX0586"/>
  </r>
  <r>
    <s v="TRX0587"/>
  </r>
  <r>
    <s v="TRX0588"/>
  </r>
  <r>
    <s v="TRX0589"/>
  </r>
  <r>
    <s v="TRX0590"/>
  </r>
  <r>
    <s v="TRX0590"/>
  </r>
  <r>
    <s v="TRX0590"/>
  </r>
  <r>
    <s v="TRX0591"/>
  </r>
  <r>
    <s v="TRX0592"/>
  </r>
  <r>
    <s v="TRX0593"/>
  </r>
  <r>
    <s v="TRX0594"/>
  </r>
  <r>
    <s v="TRX0595"/>
  </r>
  <r>
    <s v="TRX0596"/>
  </r>
  <r>
    <s v="TRX0597"/>
  </r>
  <r>
    <s v="TRX0598"/>
  </r>
  <r>
    <s v="TRX0599"/>
  </r>
  <r>
    <s v="TRX0600"/>
  </r>
  <r>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P001"/>
    <x v="0"/>
    <s v="Elektronik"/>
    <s v="Dell Indonesia"/>
    <s v="Gudang Ciledug"/>
    <s v="Jakarta"/>
    <n v="12000000"/>
    <n v="13963000"/>
    <n v="82"/>
    <n v="50"/>
    <s v="Aktif"/>
    <x v="0"/>
  </r>
  <r>
    <s v="P002"/>
    <x v="1"/>
    <s v="Aksesoris"/>
    <s v="Logitech"/>
    <s v="Gudang Narogong"/>
    <s v="Semarang"/>
    <n v="100000"/>
    <n v="169000"/>
    <n v="100"/>
    <n v="9"/>
    <s v="Aktif"/>
    <x v="0"/>
  </r>
  <r>
    <s v="P003"/>
    <x v="2"/>
    <s v="Aksesoris"/>
    <s v="Keychron"/>
    <s v="Gudang Cilodong"/>
    <s v="Depok"/>
    <n v="650000"/>
    <n v="741000"/>
    <n v="86"/>
    <n v="21"/>
    <s v="Aktif"/>
    <x v="0"/>
  </r>
  <r>
    <s v="P004"/>
    <x v="3"/>
    <s v="Elektronik"/>
    <s v="LG Electronics"/>
    <s v="Gudang Ciledug"/>
    <s v="Jakarta"/>
    <n v="2000000"/>
    <n v="2533000"/>
    <n v="36"/>
    <n v="17"/>
    <s v="Aktif"/>
    <x v="0"/>
  </r>
  <r>
    <s v="P005"/>
    <x v="4"/>
    <s v="Aksesoris"/>
    <s v="Logitech"/>
    <s v="Gudang Narogong"/>
    <s v="Semarang"/>
    <n v="350000"/>
    <n v="626000"/>
    <n v="83"/>
    <n v="8"/>
    <s v="Aktif"/>
    <x v="0"/>
  </r>
  <r>
    <s v="P006"/>
    <x v="5"/>
    <s v="Elektronik"/>
    <s v="HP Indonesia"/>
    <s v="Gudang Narogong"/>
    <s v="Semarang"/>
    <n v="2800000"/>
    <n v="4747000"/>
    <n v="100"/>
    <n v="23"/>
    <s v="Aktif"/>
    <x v="0"/>
  </r>
  <r>
    <s v="P007"/>
    <x v="6"/>
    <s v="Komponen"/>
    <s v="Samsung"/>
    <s v="Gudang Cilodong"/>
    <s v="Depok"/>
    <n v="1500000"/>
    <n v="1772000"/>
    <n v="83"/>
    <n v="24"/>
    <s v="Aktif"/>
    <x v="0"/>
  </r>
  <r>
    <s v="P008"/>
    <x v="7"/>
    <s v="Komponen"/>
    <s v="Corsair"/>
    <s v="Gudang Ciledug"/>
    <s v="Jakarta"/>
    <n v="750000"/>
    <n v="971000"/>
    <n v="24"/>
    <n v="17"/>
    <s v="Aktif"/>
    <x v="1"/>
  </r>
  <r>
    <s v="P009"/>
    <x v="8"/>
    <s v="Audio"/>
    <s v="JBL"/>
    <s v="Gudang Narogong"/>
    <s v="Semarang"/>
    <n v="250000"/>
    <n v="354000"/>
    <n v="73"/>
    <n v="24"/>
    <s v="Aktif"/>
    <x v="0"/>
  </r>
  <r>
    <s v="P010"/>
    <x v="9"/>
    <s v="Audio"/>
    <s v="HyperX"/>
    <s v="Gudang Narogong"/>
    <s v="Semarang"/>
    <n v="500000"/>
    <n v="844000"/>
    <n v="26"/>
    <n v="18"/>
    <s v="Aktif"/>
    <x v="1"/>
  </r>
  <r>
    <s v="P011"/>
    <x v="10"/>
    <s v="Komponen"/>
    <s v="Seagate"/>
    <s v="Gudang Narogong"/>
    <s v="Semarang"/>
    <n v="950000"/>
    <n v="1649000"/>
    <n v="61"/>
    <n v="8"/>
    <s v="Aktif"/>
    <x v="0"/>
  </r>
  <r>
    <s v="P012"/>
    <x v="11"/>
    <s v="Aksesoris"/>
    <s v="SanDisk"/>
    <s v="Gudang Cilodong"/>
    <s v="Depok"/>
    <n v="80000"/>
    <n v="92000"/>
    <n v="95"/>
    <n v="9"/>
    <s v="Aktif"/>
    <x v="0"/>
  </r>
  <r>
    <s v="P013"/>
    <x v="12"/>
    <s v="Elektronik"/>
    <s v="Asus Indonesia"/>
    <s v="Gudang Cilodong"/>
    <s v="Depok"/>
    <n v="18000000"/>
    <n v="27603000"/>
    <n v="103"/>
    <n v="22"/>
    <s v="Aktif"/>
    <x v="0"/>
  </r>
  <r>
    <s v="P014"/>
    <x v="13"/>
    <s v="Elektronik"/>
    <s v="Samsung"/>
    <s v="Gudang Cilodong"/>
    <s v="Depok"/>
    <n v="4500000"/>
    <n v="5522000"/>
    <n v="31"/>
    <n v="35"/>
    <s v="Aktif"/>
    <x v="2"/>
  </r>
  <r>
    <s v="P015"/>
    <x v="14"/>
    <s v="Aksesoris"/>
    <s v="Anker"/>
    <s v="Gudang Cilodong"/>
    <s v="Depok"/>
    <n v="300000"/>
    <n v="355000"/>
    <n v="87"/>
    <n v="15"/>
    <s v="Aktif"/>
    <x v="0"/>
  </r>
  <r>
    <s v="P016"/>
    <x v="15"/>
    <s v="Audio"/>
    <s v="Blue Yeti"/>
    <s v="Gudang Ciledug"/>
    <s v="Jakarta"/>
    <n v="1200000"/>
    <n v="1375000"/>
    <n v="13"/>
    <n v="17"/>
    <s v="Aktif"/>
    <x v="2"/>
  </r>
  <r>
    <s v="P017"/>
    <x v="16"/>
    <s v="Komponen"/>
    <s v="Nvidia"/>
    <s v="Gudang Cilodong"/>
    <s v="Depok"/>
    <n v="5000000"/>
    <n v="7546000"/>
    <n v="29"/>
    <n v="13"/>
    <s v="Aktif"/>
    <x v="0"/>
  </r>
  <r>
    <s v="P018"/>
    <x v="17"/>
    <s v="Komponen"/>
    <s v="Asus Indonesia"/>
    <s v="Gudang Ciledug"/>
    <s v="Jakarta"/>
    <n v="2500000"/>
    <n v="3080000"/>
    <n v="55"/>
    <n v="5"/>
    <s v="Aktif"/>
    <x v="0"/>
  </r>
  <r>
    <s v="P019"/>
    <x v="18"/>
    <s v="Komponen"/>
    <s v="Cooler Master"/>
    <s v="Gudang Narogong"/>
    <s v="Semarang"/>
    <n v="400000"/>
    <n v="623000"/>
    <n v="37"/>
    <n v="22"/>
    <s v="Aktif"/>
    <x v="0"/>
  </r>
  <r>
    <s v="P020"/>
    <x v="19"/>
    <s v="Furnitur"/>
    <s v="DXRacer"/>
    <s v="Gudang Narogong"/>
    <s v="Semarang"/>
    <n v="2000000"/>
    <n v="3382000"/>
    <n v="56"/>
    <n v="24"/>
    <s v="Aktif"/>
    <x v="0"/>
  </r>
  <r>
    <s v="P021"/>
    <x v="20"/>
    <s v="Elektronik"/>
    <s v="Apple Indonesia"/>
    <s v="Gudang Ciledug"/>
    <s v="Jakarta"/>
    <n v="7000000"/>
    <n v="10409000"/>
    <n v="0"/>
    <n v="5"/>
    <s v="Tidak Aktif"/>
    <x v="3"/>
  </r>
  <r>
    <s v="P022"/>
    <x v="21"/>
    <s v="Elektronik"/>
    <s v="Apple Indonesia"/>
    <s v="Gudang Narogong"/>
    <s v="Semarang"/>
    <n v="15000000"/>
    <n v="19819000"/>
    <n v="0"/>
    <n v="15"/>
    <s v="Tidak Aktif"/>
    <x v="3"/>
  </r>
  <r>
    <s v="P023"/>
    <x v="22"/>
    <s v="Elektronik"/>
    <s v="Apple Indonesia"/>
    <s v="Gudang Ciledug"/>
    <s v="Jakarta"/>
    <n v="18000000"/>
    <n v="29753000"/>
    <n v="0"/>
    <n v="3"/>
    <s v="Tidak Aktif"/>
    <x v="3"/>
  </r>
  <r>
    <s v="P024"/>
    <x v="23"/>
    <s v="Elektronik"/>
    <s v="Apple Indonesia"/>
    <s v="Gudang Ciledug"/>
    <s v="Jakarta"/>
    <n v="18000000"/>
    <n v="29787000"/>
    <n v="20"/>
    <n v="3"/>
    <s v="Tidak Aktif"/>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s v="TRX0001"/>
    <s v="P015"/>
    <s v="C006"/>
    <s v="Eko Prasetyo"/>
    <n v="4"/>
    <x v="0"/>
    <s v="Power Bank 20000mAh"/>
    <x v="0"/>
    <s v="Depok"/>
    <n v="300000"/>
    <n v="355000"/>
    <x v="0"/>
    <x v="0"/>
    <s v="Semarang"/>
    <n v="1420000"/>
    <n v="220000"/>
    <n v="15.49"/>
  </r>
  <r>
    <s v="TRX0001"/>
    <s v="P020"/>
    <s v="C006"/>
    <s v="Eko Prasetyo"/>
    <n v="2"/>
    <x v="0"/>
    <s v="Gaming Chair"/>
    <x v="1"/>
    <s v="Semarang"/>
    <n v="2000000"/>
    <n v="3382000"/>
    <x v="0"/>
    <x v="0"/>
    <s v="Semarang"/>
    <n v="6764000"/>
    <n v="2764000"/>
    <n v="40.86"/>
  </r>
  <r>
    <s v="TRX0001"/>
    <s v="P013"/>
    <s v="C006"/>
    <s v="Eko Prasetyo"/>
    <n v="3"/>
    <x v="0"/>
    <s v="Laptop Asus ROG"/>
    <x v="2"/>
    <s v="Depok"/>
    <n v="18000000"/>
    <n v="27603000"/>
    <x v="0"/>
    <x v="0"/>
    <s v="Semarang"/>
    <n v="82809000"/>
    <n v="28809000"/>
    <n v="34.79"/>
  </r>
  <r>
    <s v="TRX0001"/>
    <s v="P014"/>
    <s v="C006"/>
    <s v="Eko Prasetyo"/>
    <n v="10"/>
    <x v="0"/>
    <s v="Tablet Samsung Galaxy"/>
    <x v="2"/>
    <s v="Depok"/>
    <n v="4500000"/>
    <n v="5522000"/>
    <x v="0"/>
    <x v="0"/>
    <s v="Semarang"/>
    <n v="55220000"/>
    <n v="10220000"/>
    <n v="18.510000000000002"/>
  </r>
  <r>
    <s v="TRX0014"/>
    <s v="P015"/>
    <s v="C014"/>
    <s v="Dewi Lestari"/>
    <n v="4"/>
    <x v="1"/>
    <s v="Power Bank 20000mAh"/>
    <x v="0"/>
    <s v="Depok"/>
    <n v="300000"/>
    <n v="355000"/>
    <x v="1"/>
    <x v="0"/>
    <s v="Solo"/>
    <n v="1420000"/>
    <n v="220000"/>
    <n v="15.49"/>
  </r>
  <r>
    <s v="TRX0015"/>
    <s v="P015"/>
    <s v="C013"/>
    <s v="Budi Santoso"/>
    <n v="8"/>
    <x v="2"/>
    <s v="Power Bank 20000mAh"/>
    <x v="0"/>
    <s v="Depok"/>
    <n v="300000"/>
    <n v="355000"/>
    <x v="2"/>
    <x v="1"/>
    <s v="Bandung"/>
    <n v="2840000"/>
    <n v="440000"/>
    <n v="15.49"/>
  </r>
  <r>
    <s v="TRX0005"/>
    <s v="P013"/>
    <s v="C013"/>
    <s v="Fitri Handayani"/>
    <n v="7"/>
    <x v="3"/>
    <s v="Laptop Asus ROG"/>
    <x v="2"/>
    <s v="Depok"/>
    <n v="18000000"/>
    <n v="27603000"/>
    <x v="2"/>
    <x v="1"/>
    <s v="Bandung"/>
    <n v="193221000"/>
    <n v="67221000"/>
    <n v="34.79"/>
  </r>
  <r>
    <s v="TRX0008"/>
    <s v="P004"/>
    <s v="C003"/>
    <s v="Fitri Handayani"/>
    <n v="9"/>
    <x v="4"/>
    <s v="Monitor LG 24&quot;"/>
    <x v="2"/>
    <s v="Jakarta"/>
    <n v="2000000"/>
    <n v="2533000"/>
    <x v="3"/>
    <x v="0"/>
    <s v="Surabaya"/>
    <n v="22797000"/>
    <n v="4797000"/>
    <n v="21.04"/>
  </r>
  <r>
    <s v="TRX0004"/>
    <s v="P020"/>
    <s v="C004"/>
    <s v="Budi Santoso"/>
    <n v="2"/>
    <x v="5"/>
    <s v="Gaming Chair"/>
    <x v="1"/>
    <s v="Semarang"/>
    <n v="2000000"/>
    <n v="3382000"/>
    <x v="4"/>
    <x v="0"/>
    <s v="Medan"/>
    <n v="6764000"/>
    <n v="2764000"/>
    <n v="40.86"/>
  </r>
  <r>
    <s v="TRX0003"/>
    <s v="P020"/>
    <s v="C011"/>
    <s v="Dewi Lestari"/>
    <n v="4"/>
    <x v="6"/>
    <s v="Gaming Chair"/>
    <x v="1"/>
    <s v="Semarang"/>
    <n v="2000000"/>
    <n v="3382000"/>
    <x v="5"/>
    <x v="1"/>
    <s v="Jakarta"/>
    <n v="13528000"/>
    <n v="5528000"/>
    <n v="40.86"/>
  </r>
  <r>
    <s v="TRX0011"/>
    <s v="P002"/>
    <s v="C005"/>
    <s v="Charles Lim"/>
    <n v="9"/>
    <x v="7"/>
    <s v="Mouse Wireless"/>
    <x v="0"/>
    <s v="Semarang"/>
    <n v="100000"/>
    <n v="169000"/>
    <x v="6"/>
    <x v="1"/>
    <s v="Jakarta"/>
    <n v="1521000"/>
    <n v="621000"/>
    <n v="40.83"/>
  </r>
  <r>
    <s v="TRX0012"/>
    <s v="P020"/>
    <s v="C008"/>
    <s v="Budi Santoso"/>
    <n v="1"/>
    <x v="8"/>
    <s v="Gaming Chair"/>
    <x v="1"/>
    <s v="Semarang"/>
    <n v="2000000"/>
    <n v="3382000"/>
    <x v="7"/>
    <x v="0"/>
    <s v="Denpasar"/>
    <n v="3382000"/>
    <n v="1382000"/>
    <n v="40.86"/>
  </r>
  <r>
    <s v="TRX0006"/>
    <s v="P013"/>
    <s v="C015"/>
    <s v="Budi Santoso"/>
    <n v="7"/>
    <x v="9"/>
    <s v="Laptop Asus ROG"/>
    <x v="2"/>
    <s v="Depok"/>
    <n v="18000000"/>
    <n v="27603000"/>
    <x v="8"/>
    <x v="1"/>
    <s v="Tangerang"/>
    <n v="193221000"/>
    <n v="67221000"/>
    <n v="34.79"/>
  </r>
  <r>
    <s v="TRX0010"/>
    <s v="P013"/>
    <s v="C015"/>
    <s v="Dewi Lestari"/>
    <n v="14"/>
    <x v="10"/>
    <s v="Laptop Asus ROG"/>
    <x v="2"/>
    <s v="Depok"/>
    <n v="18000000"/>
    <n v="27603000"/>
    <x v="8"/>
    <x v="1"/>
    <s v="Tangerang"/>
    <n v="386442000"/>
    <n v="134442000"/>
    <n v="34.79"/>
  </r>
  <r>
    <s v="TRX0018"/>
    <s v="P013"/>
    <s v="C015"/>
    <s v="Ani Wijaya"/>
    <n v="1"/>
    <x v="11"/>
    <s v="Laptop Asus ROG"/>
    <x v="2"/>
    <s v="Depok"/>
    <n v="18000000"/>
    <n v="27603000"/>
    <x v="8"/>
    <x v="1"/>
    <s v="Tangerang"/>
    <n v="27603000"/>
    <n v="9603000"/>
    <n v="34.79"/>
  </r>
  <r>
    <s v="TRX0013"/>
    <s v="P014"/>
    <s v="C015"/>
    <s v="Charles Lim"/>
    <n v="8"/>
    <x v="12"/>
    <s v="Tablet Samsung Galaxy"/>
    <x v="2"/>
    <s v="Depok"/>
    <n v="4500000"/>
    <n v="5522000"/>
    <x v="8"/>
    <x v="1"/>
    <s v="Tangerang"/>
    <n v="44176000"/>
    <n v="8176000"/>
    <n v="18.510000000000002"/>
  </r>
  <r>
    <s v="TRX0002"/>
    <s v="P017"/>
    <s v="C005"/>
    <s v="Budi Santoso"/>
    <n v="14"/>
    <x v="13"/>
    <s v="Graphics Card RTX 3060"/>
    <x v="3"/>
    <s v="Depok"/>
    <n v="5000000"/>
    <n v="7546000"/>
    <x v="6"/>
    <x v="1"/>
    <s v="Jakarta"/>
    <n v="105644000"/>
    <n v="35644000"/>
    <n v="33.74"/>
  </r>
  <r>
    <s v="TRX0019"/>
    <s v="P007"/>
    <s v="C014"/>
    <s v="Dewi Lestari"/>
    <n v="7"/>
    <x v="14"/>
    <s v="SSD Samsung 1TB"/>
    <x v="3"/>
    <s v="Depok"/>
    <n v="1500000"/>
    <n v="1772000"/>
    <x v="1"/>
    <x v="0"/>
    <s v="Solo"/>
    <n v="12404000"/>
    <n v="1904000"/>
    <n v="15.35"/>
  </r>
  <r>
    <s v="TRX0016"/>
    <s v="P008"/>
    <s v="C006"/>
    <s v="Fitri Handayani"/>
    <n v="15"/>
    <x v="14"/>
    <s v="RAM DDR4 16GB"/>
    <x v="3"/>
    <s v="Jakarta"/>
    <n v="750000"/>
    <n v="971000"/>
    <x v="0"/>
    <x v="0"/>
    <s v="Semarang"/>
    <n v="14565000"/>
    <n v="3315000"/>
    <n v="22.76"/>
  </r>
  <r>
    <s v="TRX0007"/>
    <s v="P018"/>
    <s v="C006"/>
    <s v="Fitri Handayani"/>
    <n v="3"/>
    <x v="15"/>
    <s v="Motherboard ASUS"/>
    <x v="3"/>
    <s v="Jakarta"/>
    <n v="2500000"/>
    <n v="3080000"/>
    <x v="0"/>
    <x v="0"/>
    <s v="Semarang"/>
    <n v="9240000"/>
    <n v="1740000"/>
    <n v="18.829999999999998"/>
  </r>
  <r>
    <s v="TRX0017"/>
    <s v="P010"/>
    <s v="C006"/>
    <s v="Budi Santoso"/>
    <n v="1"/>
    <x v="14"/>
    <s v="Headset Gaming"/>
    <x v="4"/>
    <s v="Semarang"/>
    <n v="500000"/>
    <n v="844000"/>
    <x v="0"/>
    <x v="0"/>
    <s v="Semarang"/>
    <n v="844000"/>
    <n v="344000"/>
    <n v="40.76"/>
  </r>
  <r>
    <s v="TRX0018"/>
    <s v="P010"/>
    <s v="C015"/>
    <s v="Ani Wijaya"/>
    <n v="1"/>
    <x v="11"/>
    <s v="Headset Gaming"/>
    <x v="4"/>
    <s v="Semarang"/>
    <n v="500000"/>
    <n v="844000"/>
    <x v="8"/>
    <x v="1"/>
    <s v="Tangerang"/>
    <n v="844000"/>
    <n v="344000"/>
    <n v="40.76"/>
  </r>
  <r>
    <s v="TRX0018"/>
    <s v="P011"/>
    <s v="C015"/>
    <s v="Ani Wijaya"/>
    <n v="1"/>
    <x v="11"/>
    <s v="External HDD 2TB"/>
    <x v="3"/>
    <s v="Semarang"/>
    <n v="950000"/>
    <n v="1649000"/>
    <x v="8"/>
    <x v="1"/>
    <s v="Tangerang"/>
    <n v="1649000"/>
    <n v="699000"/>
    <n v="42.39"/>
  </r>
  <r>
    <s v="TRX0009"/>
    <s v="P019"/>
    <s v="C012"/>
    <s v="Eko Prasetyo"/>
    <n v="6"/>
    <x v="16"/>
    <s v="Cooling Fan RGB"/>
    <x v="3"/>
    <s v="Semarang"/>
    <n v="400000"/>
    <n v="623000"/>
    <x v="9"/>
    <x v="0"/>
    <s v="Malang"/>
    <n v="3738000"/>
    <n v="1338000"/>
    <n v="35.79"/>
  </r>
  <r>
    <s v="TRX0018"/>
    <s v="P012"/>
    <s v="C015"/>
    <s v="Ani Wijaya"/>
    <n v="1"/>
    <x v="11"/>
    <s v="USB Flash Drive 64GB"/>
    <x v="0"/>
    <s v="Depok"/>
    <n v="80000"/>
    <n v="92000"/>
    <x v="8"/>
    <x v="1"/>
    <s v="Tangerang"/>
    <n v="92000"/>
    <n v="12000"/>
    <n v="13.04"/>
  </r>
  <r>
    <s v="TRX0020"/>
    <s v="P019"/>
    <s v="C004"/>
    <s v="Budi Santoso"/>
    <n v="14"/>
    <x v="17"/>
    <s v="Cooling Fan RGB"/>
    <x v="3"/>
    <s v="Semarang"/>
    <n v="400000"/>
    <n v="623000"/>
    <x v="4"/>
    <x v="0"/>
    <s v="Medan"/>
    <n v="8722000"/>
    <n v="3122000"/>
    <n v="35.79"/>
  </r>
  <r>
    <s v="TRX0021"/>
    <s v="P017"/>
    <s v="C010"/>
    <s v="Budi Santoso"/>
    <n v="6"/>
    <x v="18"/>
    <s v="Graphics Card RTX 3060"/>
    <x v="3"/>
    <s v="Depok"/>
    <n v="5000000"/>
    <n v="7546000"/>
    <x v="10"/>
    <x v="0"/>
    <s v="Palembang"/>
    <n v="45276000"/>
    <n v="15276000"/>
    <n v="33.74"/>
  </r>
  <r>
    <s v="TRX0022"/>
    <s v="P018"/>
    <s v="C003"/>
    <s v="Dewi Lestari"/>
    <n v="5"/>
    <x v="19"/>
    <s v="Motherboard ASUS"/>
    <x v="3"/>
    <s v="Jakarta"/>
    <n v="2500000"/>
    <n v="3080000"/>
    <x v="3"/>
    <x v="0"/>
    <s v="Surabaya"/>
    <n v="15400000"/>
    <n v="2900000"/>
    <n v="18.829999999999998"/>
  </r>
  <r>
    <s v="TRX0023"/>
    <s v="P004"/>
    <s v="C014"/>
    <s v="Charles Lim"/>
    <n v="3"/>
    <x v="20"/>
    <s v="Monitor LG 24&quot;"/>
    <x v="2"/>
    <s v="Jakarta"/>
    <n v="2000000"/>
    <n v="2533000"/>
    <x v="1"/>
    <x v="0"/>
    <s v="Solo"/>
    <n v="7599000"/>
    <n v="1599000"/>
    <n v="21.04"/>
  </r>
  <r>
    <s v="TRX0024"/>
    <s v="P006"/>
    <s v="C001"/>
    <s v="Fitri Handayani"/>
    <n v="15"/>
    <x v="21"/>
    <s v="Printer HP LaserJet"/>
    <x v="2"/>
    <s v="Semarang"/>
    <n v="2800000"/>
    <n v="4747000"/>
    <x v="11"/>
    <x v="1"/>
    <s v="Jakarta"/>
    <n v="71205000"/>
    <n v="29205000"/>
    <n v="41.02"/>
  </r>
  <r>
    <s v="TRX0025"/>
    <s v="P001"/>
    <s v="C010"/>
    <s v="Ani Wijaya"/>
    <n v="10"/>
    <x v="22"/>
    <s v="Laptop Dell XPS 13"/>
    <x v="2"/>
    <s v="Jakarta"/>
    <n v="12000000"/>
    <n v="13963000"/>
    <x v="10"/>
    <x v="0"/>
    <s v="Palembang"/>
    <n v="139630000"/>
    <n v="19630000"/>
    <n v="14.06"/>
  </r>
  <r>
    <s v="TRX0026"/>
    <s v="P011"/>
    <s v="C014"/>
    <s v="Ani Wijaya"/>
    <n v="4"/>
    <x v="23"/>
    <s v="External HDD 2TB"/>
    <x v="3"/>
    <s v="Semarang"/>
    <n v="950000"/>
    <n v="1649000"/>
    <x v="1"/>
    <x v="0"/>
    <s v="Solo"/>
    <n v="6596000"/>
    <n v="2796000"/>
    <n v="42.39"/>
  </r>
  <r>
    <s v="TRX0027"/>
    <s v="P016"/>
    <s v="C012"/>
    <s v="Ani Wijaya"/>
    <n v="14"/>
    <x v="24"/>
    <s v="Microphone USB"/>
    <x v="4"/>
    <s v="Jakarta"/>
    <n v="1200000"/>
    <n v="1375000"/>
    <x v="9"/>
    <x v="0"/>
    <s v="Malang"/>
    <n v="19250000"/>
    <n v="2450000"/>
    <n v="12.73"/>
  </r>
  <r>
    <s v="TRX0028"/>
    <s v="P015"/>
    <s v="C010"/>
    <s v="Charles Lim"/>
    <n v="8"/>
    <x v="25"/>
    <s v="Power Bank 20000mAh"/>
    <x v="0"/>
    <s v="Depok"/>
    <n v="300000"/>
    <n v="355000"/>
    <x v="10"/>
    <x v="0"/>
    <s v="Palembang"/>
    <n v="2840000"/>
    <n v="440000"/>
    <n v="15.49"/>
  </r>
  <r>
    <s v="TRX0029"/>
    <s v="P001"/>
    <s v="C012"/>
    <s v="Charles Lim"/>
    <n v="6"/>
    <x v="26"/>
    <s v="Laptop Dell XPS 13"/>
    <x v="2"/>
    <s v="Jakarta"/>
    <n v="12000000"/>
    <n v="13963000"/>
    <x v="9"/>
    <x v="0"/>
    <s v="Malang"/>
    <n v="83778000"/>
    <n v="11778000"/>
    <n v="14.06"/>
  </r>
  <r>
    <s v="TRX0030"/>
    <s v="P014"/>
    <s v="C004"/>
    <s v="Budi Santoso"/>
    <n v="13"/>
    <x v="27"/>
    <s v="Tablet Samsung Galaxy"/>
    <x v="2"/>
    <s v="Depok"/>
    <n v="4500000"/>
    <n v="5522000"/>
    <x v="4"/>
    <x v="0"/>
    <s v="Medan"/>
    <n v="71786000"/>
    <n v="13286000"/>
    <n v="18.510000000000002"/>
  </r>
  <r>
    <s v="TRX0031"/>
    <s v="P004"/>
    <s v="C012"/>
    <s v="Budi Santoso"/>
    <n v="6"/>
    <x v="28"/>
    <s v="Monitor LG 24&quot;"/>
    <x v="2"/>
    <s v="Jakarta"/>
    <n v="2000000"/>
    <n v="2533000"/>
    <x v="9"/>
    <x v="0"/>
    <s v="Malang"/>
    <n v="15198000"/>
    <n v="3198000"/>
    <n v="21.04"/>
  </r>
  <r>
    <s v="TRX0032"/>
    <s v="P007"/>
    <s v="C013"/>
    <s v="Charles Lim"/>
    <n v="8"/>
    <x v="29"/>
    <s v="SSD Samsung 1TB"/>
    <x v="3"/>
    <s v="Depok"/>
    <n v="1500000"/>
    <n v="1772000"/>
    <x v="2"/>
    <x v="1"/>
    <s v="Bandung"/>
    <n v="14176000"/>
    <n v="2176000"/>
    <n v="15.35"/>
  </r>
  <r>
    <s v="TRX0033"/>
    <s v="P013"/>
    <s v="C009"/>
    <s v="Dewi Lestari"/>
    <n v="9"/>
    <x v="30"/>
    <s v="Laptop Asus ROG"/>
    <x v="2"/>
    <s v="Depok"/>
    <n v="18000000"/>
    <n v="27603000"/>
    <x v="12"/>
    <x v="1"/>
    <s v="Makassar"/>
    <n v="248427000"/>
    <n v="86427000"/>
    <n v="34.79"/>
  </r>
  <r>
    <s v="TRX0034"/>
    <s v="P018"/>
    <s v="C002"/>
    <s v="Charles Lim"/>
    <n v="11"/>
    <x v="31"/>
    <s v="Motherboard ASUS"/>
    <x v="3"/>
    <s v="Jakarta"/>
    <n v="2500000"/>
    <n v="3080000"/>
    <x v="13"/>
    <x v="1"/>
    <s v="Bandung"/>
    <n v="33880000"/>
    <n v="6380000"/>
    <n v="18.829999999999998"/>
  </r>
  <r>
    <s v="TRX0035"/>
    <s v="P012"/>
    <s v="C012"/>
    <s v="Eko Prasetyo"/>
    <n v="10"/>
    <x v="23"/>
    <s v="USB Flash Drive 64GB"/>
    <x v="0"/>
    <s v="Depok"/>
    <n v="80000"/>
    <n v="92000"/>
    <x v="9"/>
    <x v="0"/>
    <s v="Malang"/>
    <n v="920000"/>
    <n v="120000"/>
    <n v="13.04"/>
  </r>
  <r>
    <s v="TRX0036"/>
    <s v="P002"/>
    <s v="C007"/>
    <s v="Charles Lim"/>
    <n v="11"/>
    <x v="32"/>
    <s v="Mouse Wireless"/>
    <x v="0"/>
    <s v="Semarang"/>
    <n v="100000"/>
    <n v="169000"/>
    <x v="14"/>
    <x v="1"/>
    <s v="Yogyakarta"/>
    <n v="1859000"/>
    <n v="759000"/>
    <n v="40.83"/>
  </r>
  <r>
    <s v="TRX0037"/>
    <s v="P016"/>
    <s v="C001"/>
    <s v="Ani Wijaya"/>
    <n v="1"/>
    <x v="33"/>
    <s v="Microphone USB"/>
    <x v="4"/>
    <s v="Jakarta"/>
    <n v="1200000"/>
    <n v="1375000"/>
    <x v="11"/>
    <x v="1"/>
    <s v="Jakarta"/>
    <n v="1375000"/>
    <n v="175000"/>
    <n v="12.73"/>
  </r>
  <r>
    <s v="TRX0038"/>
    <s v="P013"/>
    <s v="C009"/>
    <s v="Fitri Handayani"/>
    <n v="10"/>
    <x v="34"/>
    <s v="Laptop Asus ROG"/>
    <x v="2"/>
    <s v="Depok"/>
    <n v="18000000"/>
    <n v="27603000"/>
    <x v="12"/>
    <x v="1"/>
    <s v="Makassar"/>
    <n v="276030000"/>
    <n v="96030000"/>
    <n v="34.79"/>
  </r>
  <r>
    <s v="TRX0039"/>
    <s v="P014"/>
    <s v="C009"/>
    <s v="Fitri Handayani"/>
    <n v="8"/>
    <x v="35"/>
    <s v="Tablet Samsung Galaxy"/>
    <x v="2"/>
    <s v="Depok"/>
    <n v="4500000"/>
    <n v="5522000"/>
    <x v="12"/>
    <x v="1"/>
    <s v="Makassar"/>
    <n v="44176000"/>
    <n v="8176000"/>
    <n v="18.510000000000002"/>
  </r>
  <r>
    <s v="TRX0040"/>
    <s v="P001"/>
    <s v="C002"/>
    <s v="Eko Prasetyo"/>
    <n v="13"/>
    <x v="36"/>
    <s v="Laptop Dell XPS 13"/>
    <x v="2"/>
    <s v="Jakarta"/>
    <n v="12000000"/>
    <n v="13963000"/>
    <x v="13"/>
    <x v="1"/>
    <s v="Bandung"/>
    <n v="181519000"/>
    <n v="25519000"/>
    <n v="14.06"/>
  </r>
  <r>
    <s v="TRX0041"/>
    <s v="P017"/>
    <s v="C014"/>
    <s v="Charles Lim"/>
    <n v="4"/>
    <x v="37"/>
    <s v="Graphics Card RTX 3060"/>
    <x v="3"/>
    <s v="Depok"/>
    <n v="5000000"/>
    <n v="7546000"/>
    <x v="1"/>
    <x v="0"/>
    <s v="Solo"/>
    <n v="30184000"/>
    <n v="10184000"/>
    <n v="33.74"/>
  </r>
  <r>
    <s v="TRX0042"/>
    <s v="P019"/>
    <s v="C013"/>
    <s v="Fitri Handayani"/>
    <n v="1"/>
    <x v="38"/>
    <s v="Cooling Fan RGB"/>
    <x v="3"/>
    <s v="Semarang"/>
    <n v="400000"/>
    <n v="623000"/>
    <x v="2"/>
    <x v="1"/>
    <s v="Bandung"/>
    <n v="623000"/>
    <n v="223000"/>
    <n v="35.79"/>
  </r>
  <r>
    <s v="TRX0043"/>
    <s v="P018"/>
    <s v="C005"/>
    <s v="Eko Prasetyo"/>
    <n v="10"/>
    <x v="39"/>
    <s v="Motherboard ASUS"/>
    <x v="3"/>
    <s v="Jakarta"/>
    <n v="2500000"/>
    <n v="3080000"/>
    <x v="6"/>
    <x v="1"/>
    <s v="Jakarta"/>
    <n v="30800000"/>
    <n v="5800000"/>
    <n v="18.829999999999998"/>
  </r>
  <r>
    <s v="TRX0044"/>
    <s v="P004"/>
    <s v="C014"/>
    <s v="Charles Lim"/>
    <n v="8"/>
    <x v="40"/>
    <s v="Monitor LG 24&quot;"/>
    <x v="2"/>
    <s v="Jakarta"/>
    <n v="2000000"/>
    <n v="2533000"/>
    <x v="1"/>
    <x v="0"/>
    <s v="Solo"/>
    <n v="20264000"/>
    <n v="4264000"/>
    <n v="21.04"/>
  </r>
  <r>
    <s v="TRX0045"/>
    <s v="P011"/>
    <s v="C002"/>
    <s v="Budi Santoso"/>
    <n v="8"/>
    <x v="41"/>
    <s v="External HDD 2TB"/>
    <x v="3"/>
    <s v="Semarang"/>
    <n v="950000"/>
    <n v="1649000"/>
    <x v="13"/>
    <x v="1"/>
    <s v="Bandung"/>
    <n v="13192000"/>
    <n v="5592000"/>
    <n v="42.39"/>
  </r>
  <r>
    <s v="TRX0046"/>
    <s v="P004"/>
    <s v="C004"/>
    <s v="Budi Santoso"/>
    <n v="4"/>
    <x v="42"/>
    <s v="Monitor LG 24&quot;"/>
    <x v="2"/>
    <s v="Jakarta"/>
    <n v="2000000"/>
    <n v="2533000"/>
    <x v="4"/>
    <x v="0"/>
    <s v="Medan"/>
    <n v="10132000"/>
    <n v="2132000"/>
    <n v="21.04"/>
  </r>
  <r>
    <s v="TRX0046"/>
    <s v="P005"/>
    <s v="C004"/>
    <s v="Budi Santoso"/>
    <n v="4"/>
    <x v="42"/>
    <s v="Webcam Logitech"/>
    <x v="0"/>
    <s v="Semarang"/>
    <n v="350000"/>
    <n v="626000"/>
    <x v="4"/>
    <x v="0"/>
    <s v="Medan"/>
    <n v="2504000"/>
    <n v="1104000"/>
    <n v="44.09"/>
  </r>
  <r>
    <s v="TRX0047"/>
    <s v="P012"/>
    <s v="C014"/>
    <s v="Eko Prasetyo"/>
    <n v="12"/>
    <x v="43"/>
    <s v="USB Flash Drive 64GB"/>
    <x v="0"/>
    <s v="Depok"/>
    <n v="80000"/>
    <n v="92000"/>
    <x v="1"/>
    <x v="0"/>
    <s v="Solo"/>
    <n v="1104000"/>
    <n v="144000"/>
    <n v="13.04"/>
  </r>
  <r>
    <s v="TRX0048"/>
    <s v="P008"/>
    <s v="C012"/>
    <s v="Charles Lim"/>
    <n v="3"/>
    <x v="44"/>
    <s v="RAM DDR4 16GB"/>
    <x v="3"/>
    <s v="Jakarta"/>
    <n v="750000"/>
    <n v="971000"/>
    <x v="9"/>
    <x v="0"/>
    <s v="Malang"/>
    <n v="2913000"/>
    <n v="663000"/>
    <n v="22.76"/>
  </r>
  <r>
    <s v="TRX0049"/>
    <s v="P009"/>
    <s v="C006"/>
    <s v="Ani Wijaya"/>
    <n v="14"/>
    <x v="41"/>
    <s v="Speaker Bluetooth"/>
    <x v="4"/>
    <s v="Semarang"/>
    <n v="250000"/>
    <n v="354000"/>
    <x v="0"/>
    <x v="0"/>
    <s v="Semarang"/>
    <n v="4956000"/>
    <n v="1456000"/>
    <n v="29.38"/>
  </r>
  <r>
    <s v="TRX0050"/>
    <s v="P001"/>
    <s v="C015"/>
    <s v="Ani Wijaya"/>
    <n v="12"/>
    <x v="45"/>
    <s v="Laptop Dell XPS 13"/>
    <x v="2"/>
    <s v="Jakarta"/>
    <n v="12000000"/>
    <n v="13963000"/>
    <x v="8"/>
    <x v="1"/>
    <s v="Tangerang"/>
    <n v="167556000"/>
    <n v="23556000"/>
    <n v="14.06"/>
  </r>
  <r>
    <s v="TRX0051"/>
    <s v="P004"/>
    <s v="C012"/>
    <s v="Charles Lim"/>
    <n v="15"/>
    <x v="30"/>
    <s v="Monitor LG 24&quot;"/>
    <x v="2"/>
    <s v="Jakarta"/>
    <n v="2000000"/>
    <n v="2533000"/>
    <x v="9"/>
    <x v="0"/>
    <s v="Malang"/>
    <n v="37995000"/>
    <n v="7995000"/>
    <n v="21.04"/>
  </r>
  <r>
    <s v="TRX0052"/>
    <s v="P020"/>
    <s v="C014"/>
    <s v="Dewi Lestari"/>
    <n v="12"/>
    <x v="46"/>
    <s v="Gaming Chair"/>
    <x v="1"/>
    <s v="Semarang"/>
    <n v="2000000"/>
    <n v="3382000"/>
    <x v="1"/>
    <x v="0"/>
    <s v="Solo"/>
    <n v="40584000"/>
    <n v="16584000"/>
    <n v="40.86"/>
  </r>
  <r>
    <s v="TRX0053"/>
    <s v="P019"/>
    <s v="C013"/>
    <s v="Dewi Lestari"/>
    <n v="4"/>
    <x v="47"/>
    <s v="Cooling Fan RGB"/>
    <x v="3"/>
    <s v="Semarang"/>
    <n v="400000"/>
    <n v="623000"/>
    <x v="2"/>
    <x v="1"/>
    <s v="Bandung"/>
    <n v="2492000"/>
    <n v="892000"/>
    <n v="35.79"/>
  </r>
  <r>
    <s v="TRX0054"/>
    <s v="P017"/>
    <s v="C004"/>
    <s v="Dewi Lestari"/>
    <n v="4"/>
    <x v="48"/>
    <s v="Graphics Card RTX 3060"/>
    <x v="3"/>
    <s v="Depok"/>
    <n v="5000000"/>
    <n v="7546000"/>
    <x v="4"/>
    <x v="0"/>
    <s v="Medan"/>
    <n v="30184000"/>
    <n v="10184000"/>
    <n v="33.74"/>
  </r>
  <r>
    <s v="TRX0055"/>
    <s v="P004"/>
    <s v="C006"/>
    <s v="Ani Wijaya"/>
    <n v="11"/>
    <x v="49"/>
    <s v="Monitor LG 24&quot;"/>
    <x v="2"/>
    <s v="Jakarta"/>
    <n v="2000000"/>
    <n v="2533000"/>
    <x v="0"/>
    <x v="0"/>
    <s v="Semarang"/>
    <n v="27863000"/>
    <n v="5863000"/>
    <n v="21.04"/>
  </r>
  <r>
    <s v="TRX0056"/>
    <s v="P005"/>
    <s v="C001"/>
    <s v="Fitri Handayani"/>
    <n v="9"/>
    <x v="50"/>
    <s v="Webcam Logitech"/>
    <x v="0"/>
    <s v="Semarang"/>
    <n v="350000"/>
    <n v="626000"/>
    <x v="11"/>
    <x v="1"/>
    <s v="Jakarta"/>
    <n v="5634000"/>
    <n v="2484000"/>
    <n v="44.09"/>
  </r>
  <r>
    <s v="TRX0057"/>
    <s v="P004"/>
    <s v="C007"/>
    <s v="Budi Santoso"/>
    <n v="10"/>
    <x v="28"/>
    <s v="Monitor LG 24&quot;"/>
    <x v="2"/>
    <s v="Jakarta"/>
    <n v="2000000"/>
    <n v="2533000"/>
    <x v="14"/>
    <x v="1"/>
    <s v="Yogyakarta"/>
    <n v="25330000"/>
    <n v="5330000"/>
    <n v="21.04"/>
  </r>
  <r>
    <s v="TRX0058"/>
    <s v="P016"/>
    <s v="C008"/>
    <s v="Charles Lim"/>
    <n v="10"/>
    <x v="51"/>
    <s v="Microphone USB"/>
    <x v="4"/>
    <s v="Jakarta"/>
    <n v="1200000"/>
    <n v="1375000"/>
    <x v="7"/>
    <x v="0"/>
    <s v="Denpasar"/>
    <n v="13750000"/>
    <n v="1750000"/>
    <n v="12.73"/>
  </r>
  <r>
    <s v="TRX0059"/>
    <s v="P008"/>
    <s v="C001"/>
    <s v="Ani Wijaya"/>
    <n v="1"/>
    <x v="52"/>
    <s v="RAM DDR4 16GB"/>
    <x v="3"/>
    <s v="Jakarta"/>
    <n v="750000"/>
    <n v="971000"/>
    <x v="11"/>
    <x v="1"/>
    <s v="Jakarta"/>
    <n v="971000"/>
    <n v="221000"/>
    <n v="22.76"/>
  </r>
  <r>
    <s v="TRX0060"/>
    <s v="P003"/>
    <s v="C007"/>
    <s v="Ani Wijaya"/>
    <n v="3"/>
    <x v="18"/>
    <s v="Keyboard Mechanical"/>
    <x v="0"/>
    <s v="Depok"/>
    <n v="650000"/>
    <n v="741000"/>
    <x v="14"/>
    <x v="1"/>
    <s v="Yogyakarta"/>
    <n v="2223000"/>
    <n v="273000"/>
    <n v="12.28"/>
  </r>
  <r>
    <s v="TRX0061"/>
    <s v="P006"/>
    <s v="C013"/>
    <s v="Budi Santoso"/>
    <n v="15"/>
    <x v="53"/>
    <s v="Printer HP LaserJet"/>
    <x v="2"/>
    <s v="Semarang"/>
    <n v="2800000"/>
    <n v="4747000"/>
    <x v="2"/>
    <x v="1"/>
    <s v="Bandung"/>
    <n v="71205000"/>
    <n v="29205000"/>
    <n v="41.02"/>
  </r>
  <r>
    <s v="TRX0062"/>
    <s v="P013"/>
    <s v="C012"/>
    <s v="Ani Wijaya"/>
    <n v="4"/>
    <x v="54"/>
    <s v="Laptop Asus ROG"/>
    <x v="2"/>
    <s v="Depok"/>
    <n v="18000000"/>
    <n v="27603000"/>
    <x v="9"/>
    <x v="0"/>
    <s v="Malang"/>
    <n v="110412000"/>
    <n v="38412000"/>
    <n v="34.79"/>
  </r>
  <r>
    <s v="TRX0063"/>
    <s v="P007"/>
    <s v="C003"/>
    <s v="Dewi Lestari"/>
    <n v="13"/>
    <x v="55"/>
    <s v="SSD Samsung 1TB"/>
    <x v="3"/>
    <s v="Depok"/>
    <n v="1500000"/>
    <n v="1772000"/>
    <x v="3"/>
    <x v="0"/>
    <s v="Surabaya"/>
    <n v="23036000"/>
    <n v="3536000"/>
    <n v="15.35"/>
  </r>
  <r>
    <s v="TRX0063"/>
    <s v="P008"/>
    <s v="C003"/>
    <s v="Dewi Lestari"/>
    <n v="13"/>
    <x v="55"/>
    <s v="RAM DDR4 16GB"/>
    <x v="3"/>
    <s v="Jakarta"/>
    <n v="750000"/>
    <n v="971000"/>
    <x v="3"/>
    <x v="0"/>
    <s v="Surabaya"/>
    <n v="12623000"/>
    <n v="2873000"/>
    <n v="22.76"/>
  </r>
  <r>
    <s v="TRX0063"/>
    <s v="P009"/>
    <s v="C003"/>
    <s v="Dewi Lestari"/>
    <n v="13"/>
    <x v="55"/>
    <s v="Speaker Bluetooth"/>
    <x v="4"/>
    <s v="Semarang"/>
    <n v="250000"/>
    <n v="354000"/>
    <x v="3"/>
    <x v="0"/>
    <s v="Surabaya"/>
    <n v="4602000"/>
    <n v="1352000"/>
    <n v="29.38"/>
  </r>
  <r>
    <s v="TRX0064"/>
    <s v="P007"/>
    <s v="C002"/>
    <s v="Eko Prasetyo"/>
    <n v="12"/>
    <x v="56"/>
    <s v="SSD Samsung 1TB"/>
    <x v="3"/>
    <s v="Depok"/>
    <n v="1500000"/>
    <n v="1772000"/>
    <x v="13"/>
    <x v="1"/>
    <s v="Bandung"/>
    <n v="21264000"/>
    <n v="3264000"/>
    <n v="15.35"/>
  </r>
  <r>
    <s v="TRX0065"/>
    <s v="P016"/>
    <s v="C013"/>
    <s v="Dewi Lestari"/>
    <n v="4"/>
    <x v="57"/>
    <s v="Microphone USB"/>
    <x v="4"/>
    <s v="Jakarta"/>
    <n v="1200000"/>
    <n v="1375000"/>
    <x v="2"/>
    <x v="1"/>
    <s v="Bandung"/>
    <n v="5500000"/>
    <n v="700000"/>
    <n v="12.73"/>
  </r>
  <r>
    <s v="TRX0066"/>
    <s v="P010"/>
    <s v="C009"/>
    <s v="Dewi Lestari"/>
    <n v="11"/>
    <x v="58"/>
    <s v="Headset Gaming"/>
    <x v="4"/>
    <s v="Semarang"/>
    <n v="500000"/>
    <n v="844000"/>
    <x v="12"/>
    <x v="1"/>
    <s v="Makassar"/>
    <n v="9284000"/>
    <n v="3784000"/>
    <n v="40.76"/>
  </r>
  <r>
    <s v="TRX0067"/>
    <s v="P015"/>
    <s v="C012"/>
    <s v="Fitri Handayani"/>
    <n v="4"/>
    <x v="59"/>
    <s v="Power Bank 20000mAh"/>
    <x v="0"/>
    <s v="Depok"/>
    <n v="300000"/>
    <n v="355000"/>
    <x v="9"/>
    <x v="0"/>
    <s v="Malang"/>
    <n v="1420000"/>
    <n v="220000"/>
    <n v="15.49"/>
  </r>
  <r>
    <s v="TRX0068"/>
    <s v="P018"/>
    <s v="C007"/>
    <s v="Budi Santoso"/>
    <n v="11"/>
    <x v="21"/>
    <s v="Motherboard ASUS"/>
    <x v="3"/>
    <s v="Jakarta"/>
    <n v="2500000"/>
    <n v="3080000"/>
    <x v="14"/>
    <x v="1"/>
    <s v="Yogyakarta"/>
    <n v="33880000"/>
    <n v="6380000"/>
    <n v="18.829999999999998"/>
  </r>
  <r>
    <s v="TRX0069"/>
    <s v="P010"/>
    <s v="C005"/>
    <s v="Charles Lim"/>
    <n v="3"/>
    <x v="58"/>
    <s v="Headset Gaming"/>
    <x v="4"/>
    <s v="Semarang"/>
    <n v="500000"/>
    <n v="844000"/>
    <x v="6"/>
    <x v="1"/>
    <s v="Jakarta"/>
    <n v="2532000"/>
    <n v="1032000"/>
    <n v="40.76"/>
  </r>
  <r>
    <s v="TRX0070"/>
    <s v="P016"/>
    <s v="C006"/>
    <s v="Dewi Lestari"/>
    <n v="7"/>
    <x v="3"/>
    <s v="Microphone USB"/>
    <x v="4"/>
    <s v="Jakarta"/>
    <n v="1200000"/>
    <n v="1375000"/>
    <x v="0"/>
    <x v="0"/>
    <s v="Semarang"/>
    <n v="9625000"/>
    <n v="1225000"/>
    <n v="12.73"/>
  </r>
  <r>
    <s v="TRX0071"/>
    <s v="P007"/>
    <s v="C015"/>
    <s v="Fitri Handayani"/>
    <n v="11"/>
    <x v="60"/>
    <s v="SSD Samsung 1TB"/>
    <x v="3"/>
    <s v="Depok"/>
    <n v="1500000"/>
    <n v="1772000"/>
    <x v="8"/>
    <x v="1"/>
    <s v="Tangerang"/>
    <n v="19492000"/>
    <n v="2992000"/>
    <n v="15.35"/>
  </r>
  <r>
    <s v="TRX0072"/>
    <s v="P003"/>
    <s v="C015"/>
    <s v="Budi Santoso"/>
    <n v="14"/>
    <x v="61"/>
    <s v="Keyboard Mechanical"/>
    <x v="0"/>
    <s v="Depok"/>
    <n v="650000"/>
    <n v="741000"/>
    <x v="8"/>
    <x v="1"/>
    <s v="Tangerang"/>
    <n v="10374000"/>
    <n v="1274000"/>
    <n v="12.28"/>
  </r>
  <r>
    <s v="TRX0073"/>
    <s v="P013"/>
    <s v="C008"/>
    <s v="Ani Wijaya"/>
    <n v="14"/>
    <x v="62"/>
    <s v="Laptop Asus ROG"/>
    <x v="2"/>
    <s v="Depok"/>
    <n v="18000000"/>
    <n v="27603000"/>
    <x v="7"/>
    <x v="0"/>
    <s v="Denpasar"/>
    <n v="386442000"/>
    <n v="134442000"/>
    <n v="34.79"/>
  </r>
  <r>
    <s v="TRX0074"/>
    <s v="P020"/>
    <s v="C010"/>
    <s v="Fitri Handayani"/>
    <n v="6"/>
    <x v="63"/>
    <s v="Gaming Chair"/>
    <x v="1"/>
    <s v="Semarang"/>
    <n v="2000000"/>
    <n v="3382000"/>
    <x v="10"/>
    <x v="0"/>
    <s v="Palembang"/>
    <n v="20292000"/>
    <n v="8292000"/>
    <n v="40.86"/>
  </r>
  <r>
    <s v="TRX0075"/>
    <s v="P015"/>
    <s v="C007"/>
    <s v="Eko Prasetyo"/>
    <n v="10"/>
    <x v="64"/>
    <s v="Power Bank 20000mAh"/>
    <x v="0"/>
    <s v="Depok"/>
    <n v="300000"/>
    <n v="355000"/>
    <x v="14"/>
    <x v="1"/>
    <s v="Yogyakarta"/>
    <n v="3550000"/>
    <n v="550000"/>
    <n v="15.49"/>
  </r>
  <r>
    <s v="TRX0076"/>
    <s v="P008"/>
    <s v="C005"/>
    <s v="Charles Lim"/>
    <n v="6"/>
    <x v="65"/>
    <s v="RAM DDR4 16GB"/>
    <x v="3"/>
    <s v="Jakarta"/>
    <n v="750000"/>
    <n v="971000"/>
    <x v="6"/>
    <x v="1"/>
    <s v="Jakarta"/>
    <n v="5826000"/>
    <n v="1326000"/>
    <n v="22.76"/>
  </r>
  <r>
    <s v="TRX0077"/>
    <s v="P001"/>
    <s v="C008"/>
    <s v="Budi Santoso"/>
    <n v="11"/>
    <x v="66"/>
    <s v="Laptop Dell XPS 13"/>
    <x v="2"/>
    <s v="Jakarta"/>
    <n v="12000000"/>
    <n v="13963000"/>
    <x v="7"/>
    <x v="0"/>
    <s v="Denpasar"/>
    <n v="153593000"/>
    <n v="21593000"/>
    <n v="14.06"/>
  </r>
  <r>
    <s v="TRX0078"/>
    <s v="P003"/>
    <s v="C010"/>
    <s v="Eko Prasetyo"/>
    <n v="8"/>
    <x v="67"/>
    <s v="Keyboard Mechanical"/>
    <x v="0"/>
    <s v="Depok"/>
    <n v="650000"/>
    <n v="741000"/>
    <x v="10"/>
    <x v="0"/>
    <s v="Palembang"/>
    <n v="5928000"/>
    <n v="728000"/>
    <n v="12.28"/>
  </r>
  <r>
    <s v="TRX0079"/>
    <s v="P014"/>
    <s v="C001"/>
    <s v="Ani Wijaya"/>
    <n v="8"/>
    <x v="44"/>
    <s v="Tablet Samsung Galaxy"/>
    <x v="2"/>
    <s v="Depok"/>
    <n v="4500000"/>
    <n v="5522000"/>
    <x v="11"/>
    <x v="1"/>
    <s v="Jakarta"/>
    <n v="44176000"/>
    <n v="8176000"/>
    <n v="18.510000000000002"/>
  </r>
  <r>
    <s v="TRX0080"/>
    <s v="P019"/>
    <s v="C011"/>
    <s v="Fitri Handayani"/>
    <n v="6"/>
    <x v="38"/>
    <s v="Cooling Fan RGB"/>
    <x v="3"/>
    <s v="Semarang"/>
    <n v="400000"/>
    <n v="623000"/>
    <x v="5"/>
    <x v="1"/>
    <s v="Jakarta"/>
    <n v="3738000"/>
    <n v="1338000"/>
    <n v="35.79"/>
  </r>
  <r>
    <s v="TRX0081"/>
    <s v="P005"/>
    <s v="C005"/>
    <s v="Charles Lim"/>
    <n v="3"/>
    <x v="68"/>
    <s v="Webcam Logitech"/>
    <x v="0"/>
    <s v="Semarang"/>
    <n v="350000"/>
    <n v="626000"/>
    <x v="6"/>
    <x v="1"/>
    <s v="Jakarta"/>
    <n v="1878000"/>
    <n v="828000"/>
    <n v="44.09"/>
  </r>
  <r>
    <s v="TRX0082"/>
    <s v="P011"/>
    <s v="C005"/>
    <s v="Ani Wijaya"/>
    <n v="10"/>
    <x v="69"/>
    <s v="External HDD 2TB"/>
    <x v="3"/>
    <s v="Semarang"/>
    <n v="950000"/>
    <n v="1649000"/>
    <x v="6"/>
    <x v="1"/>
    <s v="Jakarta"/>
    <n v="16490000"/>
    <n v="6990000"/>
    <n v="42.39"/>
  </r>
  <r>
    <s v="TRX0083"/>
    <s v="P001"/>
    <s v="C009"/>
    <s v="Eko Prasetyo"/>
    <n v="14"/>
    <x v="70"/>
    <s v="Laptop Dell XPS 13"/>
    <x v="2"/>
    <s v="Jakarta"/>
    <n v="12000000"/>
    <n v="13963000"/>
    <x v="12"/>
    <x v="1"/>
    <s v="Makassar"/>
    <n v="195482000"/>
    <n v="27482000"/>
    <n v="14.06"/>
  </r>
  <r>
    <s v="TRX0084"/>
    <s v="P013"/>
    <s v="C003"/>
    <s v="Eko Prasetyo"/>
    <n v="5"/>
    <x v="71"/>
    <s v="Laptop Asus ROG"/>
    <x v="2"/>
    <s v="Depok"/>
    <n v="18000000"/>
    <n v="27603000"/>
    <x v="3"/>
    <x v="0"/>
    <s v="Surabaya"/>
    <n v="138015000"/>
    <n v="48015000"/>
    <n v="34.79"/>
  </r>
  <r>
    <s v="TRX0085"/>
    <s v="P005"/>
    <s v="C002"/>
    <s v="Ani Wijaya"/>
    <n v="2"/>
    <x v="72"/>
    <s v="Webcam Logitech"/>
    <x v="0"/>
    <s v="Semarang"/>
    <n v="350000"/>
    <n v="626000"/>
    <x v="13"/>
    <x v="1"/>
    <s v="Bandung"/>
    <n v="1252000"/>
    <n v="552000"/>
    <n v="44.09"/>
  </r>
  <r>
    <s v="TRX0086"/>
    <s v="P019"/>
    <s v="C001"/>
    <s v="Eko Prasetyo"/>
    <n v="15"/>
    <x v="3"/>
    <s v="Cooling Fan RGB"/>
    <x v="3"/>
    <s v="Semarang"/>
    <n v="400000"/>
    <n v="623000"/>
    <x v="11"/>
    <x v="1"/>
    <s v="Jakarta"/>
    <n v="9345000"/>
    <n v="3345000"/>
    <n v="35.79"/>
  </r>
  <r>
    <s v="TRX0087"/>
    <s v="P006"/>
    <s v="C003"/>
    <s v="Ani Wijaya"/>
    <n v="9"/>
    <x v="73"/>
    <s v="Printer HP LaserJet"/>
    <x v="2"/>
    <s v="Semarang"/>
    <n v="2800000"/>
    <n v="4747000"/>
    <x v="3"/>
    <x v="0"/>
    <s v="Surabaya"/>
    <n v="42723000"/>
    <n v="17523000"/>
    <n v="41.02"/>
  </r>
  <r>
    <s v="TRX0088"/>
    <s v="P011"/>
    <s v="C013"/>
    <s v="Ani Wijaya"/>
    <n v="6"/>
    <x v="74"/>
    <s v="External HDD 2TB"/>
    <x v="3"/>
    <s v="Semarang"/>
    <n v="950000"/>
    <n v="1649000"/>
    <x v="2"/>
    <x v="1"/>
    <s v="Bandung"/>
    <n v="9894000"/>
    <n v="4194000"/>
    <n v="42.39"/>
  </r>
  <r>
    <s v="TRX0089"/>
    <s v="P001"/>
    <s v="C009"/>
    <s v="Dewi Lestari"/>
    <n v="10"/>
    <x v="75"/>
    <s v="Laptop Dell XPS 13"/>
    <x v="2"/>
    <s v="Jakarta"/>
    <n v="12000000"/>
    <n v="13963000"/>
    <x v="12"/>
    <x v="1"/>
    <s v="Makassar"/>
    <n v="139630000"/>
    <n v="19630000"/>
    <n v="14.06"/>
  </r>
  <r>
    <s v="TRX0090"/>
    <s v="P006"/>
    <s v="C003"/>
    <s v="Budi Santoso"/>
    <n v="7"/>
    <x v="41"/>
    <s v="Printer HP LaserJet"/>
    <x v="2"/>
    <s v="Semarang"/>
    <n v="2800000"/>
    <n v="4747000"/>
    <x v="3"/>
    <x v="0"/>
    <s v="Surabaya"/>
    <n v="33229000"/>
    <n v="13629000"/>
    <n v="41.02"/>
  </r>
  <r>
    <s v="TRX0091"/>
    <s v="P011"/>
    <s v="C009"/>
    <s v="Dewi Lestari"/>
    <n v="12"/>
    <x v="76"/>
    <s v="External HDD 2TB"/>
    <x v="3"/>
    <s v="Semarang"/>
    <n v="950000"/>
    <n v="1649000"/>
    <x v="12"/>
    <x v="1"/>
    <s v="Makassar"/>
    <n v="19788000"/>
    <n v="8388000"/>
    <n v="42.39"/>
  </r>
  <r>
    <s v="TRX0092"/>
    <s v="P006"/>
    <s v="C009"/>
    <s v="Charles Lim"/>
    <n v="3"/>
    <x v="77"/>
    <s v="Printer HP LaserJet"/>
    <x v="2"/>
    <s v="Semarang"/>
    <n v="2800000"/>
    <n v="4747000"/>
    <x v="12"/>
    <x v="1"/>
    <s v="Makassar"/>
    <n v="14241000"/>
    <n v="5841000"/>
    <n v="41.02"/>
  </r>
  <r>
    <s v="TRX0093"/>
    <s v="P011"/>
    <s v="C013"/>
    <s v="Eko Prasetyo"/>
    <n v="4"/>
    <x v="78"/>
    <s v="External HDD 2TB"/>
    <x v="3"/>
    <s v="Semarang"/>
    <n v="950000"/>
    <n v="1649000"/>
    <x v="2"/>
    <x v="1"/>
    <s v="Bandung"/>
    <n v="6596000"/>
    <n v="2796000"/>
    <n v="42.39"/>
  </r>
  <r>
    <s v="TRX0094"/>
    <s v="P020"/>
    <s v="C005"/>
    <s v="Charles Lim"/>
    <n v="4"/>
    <x v="79"/>
    <s v="Gaming Chair"/>
    <x v="1"/>
    <s v="Semarang"/>
    <n v="2000000"/>
    <n v="3382000"/>
    <x v="6"/>
    <x v="1"/>
    <s v="Jakarta"/>
    <n v="13528000"/>
    <n v="5528000"/>
    <n v="40.86"/>
  </r>
  <r>
    <s v="TRX0095"/>
    <s v="P012"/>
    <s v="C006"/>
    <s v="Ani Wijaya"/>
    <n v="2"/>
    <x v="80"/>
    <s v="USB Flash Drive 64GB"/>
    <x v="0"/>
    <s v="Depok"/>
    <n v="80000"/>
    <n v="92000"/>
    <x v="0"/>
    <x v="0"/>
    <s v="Semarang"/>
    <n v="184000"/>
    <n v="24000"/>
    <n v="13.04"/>
  </r>
  <r>
    <s v="TRX0096"/>
    <s v="P017"/>
    <s v="C006"/>
    <s v="Fitri Handayani"/>
    <n v="15"/>
    <x v="81"/>
    <s v="Graphics Card RTX 3060"/>
    <x v="3"/>
    <s v="Depok"/>
    <n v="5000000"/>
    <n v="7546000"/>
    <x v="0"/>
    <x v="0"/>
    <s v="Semarang"/>
    <n v="113190000"/>
    <n v="38190000"/>
    <n v="33.74"/>
  </r>
  <r>
    <s v="TRX0097"/>
    <s v="P005"/>
    <s v="C006"/>
    <s v="Fitri Handayani"/>
    <n v="14"/>
    <x v="82"/>
    <s v="Webcam Logitech"/>
    <x v="0"/>
    <s v="Semarang"/>
    <n v="350000"/>
    <n v="626000"/>
    <x v="0"/>
    <x v="0"/>
    <s v="Semarang"/>
    <n v="8764000"/>
    <n v="3864000"/>
    <n v="44.09"/>
  </r>
  <r>
    <s v="TRX0098"/>
    <s v="P002"/>
    <s v="C010"/>
    <s v="Fitri Handayani"/>
    <n v="10"/>
    <x v="83"/>
    <s v="Mouse Wireless"/>
    <x v="0"/>
    <s v="Semarang"/>
    <n v="100000"/>
    <n v="169000"/>
    <x v="10"/>
    <x v="0"/>
    <s v="Palembang"/>
    <n v="1690000"/>
    <n v="690000"/>
    <n v="40.83"/>
  </r>
  <r>
    <s v="TRX0099"/>
    <s v="P010"/>
    <s v="C011"/>
    <s v="Eko Prasetyo"/>
    <n v="14"/>
    <x v="84"/>
    <s v="Headset Gaming"/>
    <x v="4"/>
    <s v="Semarang"/>
    <n v="500000"/>
    <n v="844000"/>
    <x v="5"/>
    <x v="1"/>
    <s v="Jakarta"/>
    <n v="11816000"/>
    <n v="4816000"/>
    <n v="40.76"/>
  </r>
  <r>
    <s v="TRX0100"/>
    <s v="P016"/>
    <s v="C001"/>
    <s v="Budi Santoso"/>
    <n v="12"/>
    <x v="85"/>
    <s v="Microphone USB"/>
    <x v="4"/>
    <s v="Jakarta"/>
    <n v="1200000"/>
    <n v="1375000"/>
    <x v="11"/>
    <x v="1"/>
    <s v="Jakarta"/>
    <n v="16500000"/>
    <n v="2100000"/>
    <n v="12.73"/>
  </r>
  <r>
    <s v="TRX0101"/>
    <s v="P015"/>
    <s v="C010"/>
    <s v="Charles Lim"/>
    <n v="13"/>
    <x v="86"/>
    <s v="Power Bank 20000mAh"/>
    <x v="0"/>
    <s v="Depok"/>
    <n v="300000"/>
    <n v="355000"/>
    <x v="10"/>
    <x v="0"/>
    <s v="Palembang"/>
    <n v="4615000"/>
    <n v="715000"/>
    <n v="15.49"/>
  </r>
  <r>
    <s v="TRX0102"/>
    <s v="P011"/>
    <s v="C003"/>
    <s v="Fitri Handayani"/>
    <n v="10"/>
    <x v="48"/>
    <s v="External HDD 2TB"/>
    <x v="3"/>
    <s v="Semarang"/>
    <n v="950000"/>
    <n v="1649000"/>
    <x v="3"/>
    <x v="0"/>
    <s v="Surabaya"/>
    <n v="16490000"/>
    <n v="6990000"/>
    <n v="42.39"/>
  </r>
  <r>
    <s v="TRX0103"/>
    <s v="P002"/>
    <s v="C014"/>
    <s v="Eko Prasetyo"/>
    <n v="7"/>
    <x v="87"/>
    <s v="Mouse Wireless"/>
    <x v="0"/>
    <s v="Semarang"/>
    <n v="100000"/>
    <n v="169000"/>
    <x v="1"/>
    <x v="0"/>
    <s v="Solo"/>
    <n v="1183000"/>
    <n v="483000"/>
    <n v="40.83"/>
  </r>
  <r>
    <s v="TRX0104"/>
    <s v="P020"/>
    <s v="C001"/>
    <s v="Dewi Lestari"/>
    <n v="15"/>
    <x v="88"/>
    <s v="Gaming Chair"/>
    <x v="1"/>
    <s v="Semarang"/>
    <n v="2000000"/>
    <n v="3382000"/>
    <x v="11"/>
    <x v="1"/>
    <s v="Jakarta"/>
    <n v="50730000"/>
    <n v="20730000"/>
    <n v="40.86"/>
  </r>
  <r>
    <s v="TRX0105"/>
    <s v="P004"/>
    <s v="C011"/>
    <s v="Fitri Handayani"/>
    <n v="13"/>
    <x v="89"/>
    <s v="Monitor LG 24&quot;"/>
    <x v="2"/>
    <s v="Jakarta"/>
    <n v="2000000"/>
    <n v="2533000"/>
    <x v="5"/>
    <x v="1"/>
    <s v="Jakarta"/>
    <n v="32929000"/>
    <n v="6929000"/>
    <n v="21.04"/>
  </r>
  <r>
    <s v="TRX0106"/>
    <s v="P015"/>
    <s v="C007"/>
    <s v="Charles Lim"/>
    <n v="4"/>
    <x v="90"/>
    <s v="Power Bank 20000mAh"/>
    <x v="0"/>
    <s v="Depok"/>
    <n v="300000"/>
    <n v="355000"/>
    <x v="14"/>
    <x v="1"/>
    <s v="Yogyakarta"/>
    <n v="1420000"/>
    <n v="220000"/>
    <n v="15.49"/>
  </r>
  <r>
    <s v="TRX0107"/>
    <s v="P009"/>
    <s v="C009"/>
    <s v="Dewi Lestari"/>
    <n v="7"/>
    <x v="91"/>
    <s v="Speaker Bluetooth"/>
    <x v="4"/>
    <s v="Semarang"/>
    <n v="250000"/>
    <n v="354000"/>
    <x v="12"/>
    <x v="1"/>
    <s v="Makassar"/>
    <n v="2478000"/>
    <n v="728000"/>
    <n v="29.38"/>
  </r>
  <r>
    <s v="TRX0108"/>
    <s v="P010"/>
    <s v="C009"/>
    <s v="Ani Wijaya"/>
    <n v="9"/>
    <x v="92"/>
    <s v="Headset Gaming"/>
    <x v="4"/>
    <s v="Semarang"/>
    <n v="500000"/>
    <n v="844000"/>
    <x v="12"/>
    <x v="1"/>
    <s v="Makassar"/>
    <n v="7596000"/>
    <n v="3096000"/>
    <n v="40.76"/>
  </r>
  <r>
    <s v="TRX0109"/>
    <s v="P016"/>
    <s v="C008"/>
    <s v="Budi Santoso"/>
    <n v="9"/>
    <x v="93"/>
    <s v="Microphone USB"/>
    <x v="4"/>
    <s v="Jakarta"/>
    <n v="1200000"/>
    <n v="1375000"/>
    <x v="7"/>
    <x v="0"/>
    <s v="Denpasar"/>
    <n v="12375000"/>
    <n v="1575000"/>
    <n v="12.73"/>
  </r>
  <r>
    <s v="TRX0109"/>
    <s v="P017"/>
    <s v="C008"/>
    <s v="Budi Santoso"/>
    <n v="9"/>
    <x v="93"/>
    <s v="Graphics Card RTX 3060"/>
    <x v="3"/>
    <s v="Depok"/>
    <n v="5000000"/>
    <n v="7546000"/>
    <x v="7"/>
    <x v="0"/>
    <s v="Denpasar"/>
    <n v="67914000"/>
    <n v="22914000"/>
    <n v="33.74"/>
  </r>
  <r>
    <s v="TRX0109"/>
    <s v="P018"/>
    <s v="C008"/>
    <s v="Budi Santoso"/>
    <n v="9"/>
    <x v="93"/>
    <s v="Motherboard ASUS"/>
    <x v="3"/>
    <s v="Jakarta"/>
    <n v="2500000"/>
    <n v="3080000"/>
    <x v="7"/>
    <x v="0"/>
    <s v="Denpasar"/>
    <n v="27720000"/>
    <n v="5220000"/>
    <n v="18.829999999999998"/>
  </r>
  <r>
    <s v="TRX0110"/>
    <s v="P015"/>
    <s v="C013"/>
    <s v="Ani Wijaya"/>
    <n v="11"/>
    <x v="94"/>
    <s v="Power Bank 20000mAh"/>
    <x v="0"/>
    <s v="Depok"/>
    <n v="300000"/>
    <n v="355000"/>
    <x v="2"/>
    <x v="1"/>
    <s v="Bandung"/>
    <n v="3905000"/>
    <n v="605000"/>
    <n v="15.49"/>
  </r>
  <r>
    <s v="TRX0111"/>
    <s v="P006"/>
    <s v="C003"/>
    <s v="Dewi Lestari"/>
    <n v="6"/>
    <x v="66"/>
    <s v="Printer HP LaserJet"/>
    <x v="2"/>
    <s v="Semarang"/>
    <n v="2800000"/>
    <n v="4747000"/>
    <x v="3"/>
    <x v="0"/>
    <s v="Surabaya"/>
    <n v="28482000"/>
    <n v="11682000"/>
    <n v="41.02"/>
  </r>
  <r>
    <s v="TRX0112"/>
    <s v="P008"/>
    <s v="C007"/>
    <s v="Budi Santoso"/>
    <n v="2"/>
    <x v="95"/>
    <s v="RAM DDR4 16GB"/>
    <x v="3"/>
    <s v="Jakarta"/>
    <n v="750000"/>
    <n v="971000"/>
    <x v="14"/>
    <x v="1"/>
    <s v="Yogyakarta"/>
    <n v="1942000"/>
    <n v="442000"/>
    <n v="22.76"/>
  </r>
  <r>
    <s v="TRX0113"/>
    <s v="P009"/>
    <s v="C013"/>
    <s v="Budi Santoso"/>
    <n v="12"/>
    <x v="96"/>
    <s v="Speaker Bluetooth"/>
    <x v="4"/>
    <s v="Semarang"/>
    <n v="250000"/>
    <n v="354000"/>
    <x v="2"/>
    <x v="1"/>
    <s v="Bandung"/>
    <n v="4248000"/>
    <n v="1248000"/>
    <n v="29.38"/>
  </r>
  <r>
    <s v="TRX0114"/>
    <s v="P016"/>
    <s v="C008"/>
    <s v="Dewi Lestari"/>
    <n v="3"/>
    <x v="97"/>
    <s v="Microphone USB"/>
    <x v="4"/>
    <s v="Jakarta"/>
    <n v="1200000"/>
    <n v="1375000"/>
    <x v="7"/>
    <x v="0"/>
    <s v="Denpasar"/>
    <n v="4125000"/>
    <n v="525000"/>
    <n v="12.73"/>
  </r>
  <r>
    <s v="TRX0115"/>
    <s v="P012"/>
    <s v="C011"/>
    <s v="Charles Lim"/>
    <n v="6"/>
    <x v="98"/>
    <s v="USB Flash Drive 64GB"/>
    <x v="0"/>
    <s v="Depok"/>
    <n v="80000"/>
    <n v="92000"/>
    <x v="5"/>
    <x v="1"/>
    <s v="Jakarta"/>
    <n v="552000"/>
    <n v="72000"/>
    <n v="13.04"/>
  </r>
  <r>
    <s v="TRX0116"/>
    <s v="P014"/>
    <s v="C004"/>
    <s v="Fitri Handayani"/>
    <n v="1"/>
    <x v="99"/>
    <s v="Tablet Samsung Galaxy"/>
    <x v="2"/>
    <s v="Depok"/>
    <n v="4500000"/>
    <n v="5522000"/>
    <x v="4"/>
    <x v="0"/>
    <s v="Medan"/>
    <n v="5522000"/>
    <n v="1022000"/>
    <n v="18.510000000000002"/>
  </r>
  <r>
    <s v="TRX0117"/>
    <s v="P012"/>
    <s v="C004"/>
    <s v="Eko Prasetyo"/>
    <n v="10"/>
    <x v="100"/>
    <s v="USB Flash Drive 64GB"/>
    <x v="0"/>
    <s v="Depok"/>
    <n v="80000"/>
    <n v="92000"/>
    <x v="4"/>
    <x v="0"/>
    <s v="Medan"/>
    <n v="920000"/>
    <n v="120000"/>
    <n v="13.04"/>
  </r>
  <r>
    <s v="TRX0118"/>
    <s v="P014"/>
    <s v="C014"/>
    <s v="Ani Wijaya"/>
    <n v="10"/>
    <x v="101"/>
    <s v="Tablet Samsung Galaxy"/>
    <x v="2"/>
    <s v="Depok"/>
    <n v="4500000"/>
    <n v="5522000"/>
    <x v="1"/>
    <x v="0"/>
    <s v="Solo"/>
    <n v="55220000"/>
    <n v="10220000"/>
    <n v="18.510000000000002"/>
  </r>
  <r>
    <s v="TRX0119"/>
    <s v="P009"/>
    <s v="C003"/>
    <s v="Charles Lim"/>
    <n v="13"/>
    <x v="102"/>
    <s v="Speaker Bluetooth"/>
    <x v="4"/>
    <s v="Semarang"/>
    <n v="250000"/>
    <n v="354000"/>
    <x v="3"/>
    <x v="0"/>
    <s v="Surabaya"/>
    <n v="4602000"/>
    <n v="1352000"/>
    <n v="29.38"/>
  </r>
  <r>
    <s v="TRX0120"/>
    <s v="P003"/>
    <s v="C004"/>
    <s v="Ani Wijaya"/>
    <n v="9"/>
    <x v="103"/>
    <s v="Keyboard Mechanical"/>
    <x v="0"/>
    <s v="Depok"/>
    <n v="650000"/>
    <n v="741000"/>
    <x v="4"/>
    <x v="0"/>
    <s v="Medan"/>
    <n v="6669000"/>
    <n v="819000"/>
    <n v="12.28"/>
  </r>
  <r>
    <s v="TRX0121"/>
    <s v="P019"/>
    <s v="C008"/>
    <s v="Eko Prasetyo"/>
    <n v="8"/>
    <x v="49"/>
    <s v="Cooling Fan RGB"/>
    <x v="3"/>
    <s v="Semarang"/>
    <n v="400000"/>
    <n v="623000"/>
    <x v="7"/>
    <x v="0"/>
    <s v="Denpasar"/>
    <n v="4984000"/>
    <n v="1784000"/>
    <n v="35.79"/>
  </r>
  <r>
    <s v="TRX0122"/>
    <s v="P002"/>
    <s v="C015"/>
    <s v="Budi Santoso"/>
    <n v="12"/>
    <x v="104"/>
    <s v="Mouse Wireless"/>
    <x v="0"/>
    <s v="Semarang"/>
    <n v="100000"/>
    <n v="169000"/>
    <x v="8"/>
    <x v="1"/>
    <s v="Tangerang"/>
    <n v="2028000"/>
    <n v="828000"/>
    <n v="40.83"/>
  </r>
  <r>
    <s v="TRX0123"/>
    <s v="P006"/>
    <s v="C003"/>
    <s v="Charles Lim"/>
    <n v="15"/>
    <x v="61"/>
    <s v="Printer HP LaserJet"/>
    <x v="2"/>
    <s v="Semarang"/>
    <n v="2800000"/>
    <n v="4747000"/>
    <x v="3"/>
    <x v="0"/>
    <s v="Surabaya"/>
    <n v="71205000"/>
    <n v="29205000"/>
    <n v="41.02"/>
  </r>
  <r>
    <s v="TRX0124"/>
    <s v="P004"/>
    <s v="C009"/>
    <s v="Fitri Handayani"/>
    <n v="11"/>
    <x v="105"/>
    <s v="Monitor LG 24&quot;"/>
    <x v="2"/>
    <s v="Jakarta"/>
    <n v="2000000"/>
    <n v="2533000"/>
    <x v="12"/>
    <x v="1"/>
    <s v="Makassar"/>
    <n v="27863000"/>
    <n v="5863000"/>
    <n v="21.04"/>
  </r>
  <r>
    <s v="TRX0125"/>
    <s v="P019"/>
    <s v="C005"/>
    <s v="Budi Santoso"/>
    <n v="7"/>
    <x v="106"/>
    <s v="Cooling Fan RGB"/>
    <x v="3"/>
    <s v="Semarang"/>
    <n v="400000"/>
    <n v="623000"/>
    <x v="6"/>
    <x v="1"/>
    <s v="Jakarta"/>
    <n v="4361000"/>
    <n v="1561000"/>
    <n v="35.79"/>
  </r>
  <r>
    <s v="TRX0126"/>
    <s v="P013"/>
    <s v="C008"/>
    <s v="Charles Lim"/>
    <n v="13"/>
    <x v="107"/>
    <s v="Laptop Asus ROG"/>
    <x v="2"/>
    <s v="Depok"/>
    <n v="18000000"/>
    <n v="27603000"/>
    <x v="7"/>
    <x v="0"/>
    <s v="Denpasar"/>
    <n v="358839000"/>
    <n v="124839000"/>
    <n v="34.79"/>
  </r>
  <r>
    <s v="TRX0127"/>
    <s v="P008"/>
    <s v="C009"/>
    <s v="Charles Lim"/>
    <n v="3"/>
    <x v="0"/>
    <s v="RAM DDR4 16GB"/>
    <x v="3"/>
    <s v="Jakarta"/>
    <n v="750000"/>
    <n v="971000"/>
    <x v="12"/>
    <x v="1"/>
    <s v="Makassar"/>
    <n v="2913000"/>
    <n v="663000"/>
    <n v="22.76"/>
  </r>
  <r>
    <s v="TRX0128"/>
    <s v="P016"/>
    <s v="C001"/>
    <s v="Charles Lim"/>
    <n v="5"/>
    <x v="98"/>
    <s v="Microphone USB"/>
    <x v="4"/>
    <s v="Jakarta"/>
    <n v="1200000"/>
    <n v="1375000"/>
    <x v="11"/>
    <x v="1"/>
    <s v="Jakarta"/>
    <n v="6875000"/>
    <n v="875000"/>
    <n v="12.73"/>
  </r>
  <r>
    <s v="TRX0129"/>
    <s v="P011"/>
    <s v="C015"/>
    <s v="Fitri Handayani"/>
    <n v="11"/>
    <x v="108"/>
    <s v="External HDD 2TB"/>
    <x v="3"/>
    <s v="Semarang"/>
    <n v="950000"/>
    <n v="1649000"/>
    <x v="8"/>
    <x v="1"/>
    <s v="Tangerang"/>
    <n v="18139000"/>
    <n v="7689000"/>
    <n v="42.39"/>
  </r>
  <r>
    <s v="TRX0130"/>
    <s v="P003"/>
    <s v="C008"/>
    <s v="Ani Wijaya"/>
    <n v="14"/>
    <x v="109"/>
    <s v="Keyboard Mechanical"/>
    <x v="0"/>
    <s v="Depok"/>
    <n v="650000"/>
    <n v="741000"/>
    <x v="7"/>
    <x v="0"/>
    <s v="Denpasar"/>
    <n v="10374000"/>
    <n v="1274000"/>
    <n v="12.28"/>
  </r>
  <r>
    <s v="TRX0131"/>
    <s v="P011"/>
    <s v="C010"/>
    <s v="Eko Prasetyo"/>
    <n v="4"/>
    <x v="110"/>
    <s v="External HDD 2TB"/>
    <x v="3"/>
    <s v="Semarang"/>
    <n v="950000"/>
    <n v="1649000"/>
    <x v="10"/>
    <x v="0"/>
    <s v="Palembang"/>
    <n v="6596000"/>
    <n v="2796000"/>
    <n v="42.39"/>
  </r>
  <r>
    <s v="TRX0132"/>
    <s v="P012"/>
    <s v="C001"/>
    <s v="Ani Wijaya"/>
    <n v="15"/>
    <x v="111"/>
    <s v="USB Flash Drive 64GB"/>
    <x v="0"/>
    <s v="Depok"/>
    <n v="80000"/>
    <n v="92000"/>
    <x v="11"/>
    <x v="1"/>
    <s v="Jakarta"/>
    <n v="1380000"/>
    <n v="180000"/>
    <n v="13.04"/>
  </r>
  <r>
    <s v="TRX0133"/>
    <s v="P008"/>
    <s v="C008"/>
    <s v="Charles Lim"/>
    <n v="13"/>
    <x v="112"/>
    <s v="RAM DDR4 16GB"/>
    <x v="3"/>
    <s v="Jakarta"/>
    <n v="750000"/>
    <n v="971000"/>
    <x v="7"/>
    <x v="0"/>
    <s v="Denpasar"/>
    <n v="12623000"/>
    <n v="2873000"/>
    <n v="22.76"/>
  </r>
  <r>
    <s v="TRX0134"/>
    <s v="P016"/>
    <s v="C005"/>
    <s v="Fitri Handayani"/>
    <n v="4"/>
    <x v="113"/>
    <s v="Microphone USB"/>
    <x v="4"/>
    <s v="Jakarta"/>
    <n v="1200000"/>
    <n v="1375000"/>
    <x v="6"/>
    <x v="1"/>
    <s v="Jakarta"/>
    <n v="5500000"/>
    <n v="700000"/>
    <n v="12.73"/>
  </r>
  <r>
    <s v="TRX0135"/>
    <s v="P009"/>
    <s v="C010"/>
    <s v="Charles Lim"/>
    <n v="13"/>
    <x v="114"/>
    <s v="Speaker Bluetooth"/>
    <x v="4"/>
    <s v="Semarang"/>
    <n v="250000"/>
    <n v="354000"/>
    <x v="10"/>
    <x v="0"/>
    <s v="Palembang"/>
    <n v="4602000"/>
    <n v="1352000"/>
    <n v="29.38"/>
  </r>
  <r>
    <s v="TRX0136"/>
    <s v="P018"/>
    <s v="C011"/>
    <s v="Dewi Lestari"/>
    <n v="4"/>
    <x v="115"/>
    <s v="Motherboard ASUS"/>
    <x v="3"/>
    <s v="Jakarta"/>
    <n v="2500000"/>
    <n v="3080000"/>
    <x v="5"/>
    <x v="1"/>
    <s v="Jakarta"/>
    <n v="12320000"/>
    <n v="2320000"/>
    <n v="18.829999999999998"/>
  </r>
  <r>
    <s v="TRX0137"/>
    <s v="P002"/>
    <s v="C008"/>
    <s v="Fitri Handayani"/>
    <n v="3"/>
    <x v="116"/>
    <s v="Mouse Wireless"/>
    <x v="0"/>
    <s v="Semarang"/>
    <n v="100000"/>
    <n v="169000"/>
    <x v="7"/>
    <x v="0"/>
    <s v="Denpasar"/>
    <n v="507000"/>
    <n v="207000"/>
    <n v="40.83"/>
  </r>
  <r>
    <s v="TRX0138"/>
    <s v="P004"/>
    <s v="C010"/>
    <s v="Budi Santoso"/>
    <n v="10"/>
    <x v="117"/>
    <s v="Monitor LG 24&quot;"/>
    <x v="2"/>
    <s v="Jakarta"/>
    <n v="2000000"/>
    <n v="2533000"/>
    <x v="10"/>
    <x v="0"/>
    <s v="Palembang"/>
    <n v="25330000"/>
    <n v="5330000"/>
    <n v="21.04"/>
  </r>
  <r>
    <s v="TRX0139"/>
    <s v="P008"/>
    <s v="C008"/>
    <s v="Charles Lim"/>
    <n v="1"/>
    <x v="33"/>
    <s v="RAM DDR4 16GB"/>
    <x v="3"/>
    <s v="Jakarta"/>
    <n v="750000"/>
    <n v="971000"/>
    <x v="7"/>
    <x v="0"/>
    <s v="Denpasar"/>
    <n v="971000"/>
    <n v="221000"/>
    <n v="22.76"/>
  </r>
  <r>
    <s v="TRX0140"/>
    <s v="P004"/>
    <s v="C005"/>
    <s v="Fitri Handayani"/>
    <n v="11"/>
    <x v="118"/>
    <s v="Monitor LG 24&quot;"/>
    <x v="2"/>
    <s v="Jakarta"/>
    <n v="2000000"/>
    <n v="2533000"/>
    <x v="6"/>
    <x v="1"/>
    <s v="Jakarta"/>
    <n v="27863000"/>
    <n v="5863000"/>
    <n v="21.04"/>
  </r>
  <r>
    <s v="TRX0141"/>
    <s v="P006"/>
    <s v="C010"/>
    <s v="Charles Lim"/>
    <n v="13"/>
    <x v="119"/>
    <s v="Printer HP LaserJet"/>
    <x v="2"/>
    <s v="Semarang"/>
    <n v="2800000"/>
    <n v="4747000"/>
    <x v="10"/>
    <x v="0"/>
    <s v="Palembang"/>
    <n v="61711000"/>
    <n v="25311000"/>
    <n v="41.02"/>
  </r>
  <r>
    <s v="TRX0142"/>
    <s v="P002"/>
    <s v="C006"/>
    <s v="Eko Prasetyo"/>
    <n v="1"/>
    <x v="120"/>
    <s v="Mouse Wireless"/>
    <x v="0"/>
    <s v="Semarang"/>
    <n v="100000"/>
    <n v="169000"/>
    <x v="0"/>
    <x v="0"/>
    <s v="Semarang"/>
    <n v="169000"/>
    <n v="69000"/>
    <n v="40.83"/>
  </r>
  <r>
    <s v="TRX0143"/>
    <s v="P005"/>
    <s v="C012"/>
    <s v="Dewi Lestari"/>
    <n v="3"/>
    <x v="121"/>
    <s v="Webcam Logitech"/>
    <x v="0"/>
    <s v="Semarang"/>
    <n v="350000"/>
    <n v="626000"/>
    <x v="9"/>
    <x v="0"/>
    <s v="Malang"/>
    <n v="1878000"/>
    <n v="828000"/>
    <n v="44.09"/>
  </r>
  <r>
    <s v="TRX0144"/>
    <s v="P015"/>
    <s v="C007"/>
    <s v="Charles Lim"/>
    <n v="15"/>
    <x v="122"/>
    <s v="Power Bank 20000mAh"/>
    <x v="0"/>
    <s v="Depok"/>
    <n v="300000"/>
    <n v="355000"/>
    <x v="14"/>
    <x v="1"/>
    <s v="Yogyakarta"/>
    <n v="5325000"/>
    <n v="825000"/>
    <n v="15.49"/>
  </r>
  <r>
    <s v="TRX0145"/>
    <s v="P011"/>
    <s v="C006"/>
    <s v="Eko Prasetyo"/>
    <n v="1"/>
    <x v="123"/>
    <s v="External HDD 2TB"/>
    <x v="3"/>
    <s v="Semarang"/>
    <n v="950000"/>
    <n v="1649000"/>
    <x v="0"/>
    <x v="0"/>
    <s v="Semarang"/>
    <n v="1649000"/>
    <n v="699000"/>
    <n v="42.39"/>
  </r>
  <r>
    <s v="TRX0146"/>
    <s v="P019"/>
    <s v="C010"/>
    <s v="Budi Santoso"/>
    <n v="6"/>
    <x v="124"/>
    <s v="Cooling Fan RGB"/>
    <x v="3"/>
    <s v="Semarang"/>
    <n v="400000"/>
    <n v="623000"/>
    <x v="10"/>
    <x v="0"/>
    <s v="Palembang"/>
    <n v="3738000"/>
    <n v="1338000"/>
    <n v="35.79"/>
  </r>
  <r>
    <s v="TRX0147"/>
    <s v="P011"/>
    <s v="C001"/>
    <s v="Fitri Handayani"/>
    <n v="3"/>
    <x v="58"/>
    <s v="External HDD 2TB"/>
    <x v="3"/>
    <s v="Semarang"/>
    <n v="950000"/>
    <n v="1649000"/>
    <x v="11"/>
    <x v="1"/>
    <s v="Jakarta"/>
    <n v="4947000"/>
    <n v="2097000"/>
    <n v="42.39"/>
  </r>
  <r>
    <s v="TRX0148"/>
    <s v="P014"/>
    <s v="C011"/>
    <s v="Charles Lim"/>
    <n v="1"/>
    <x v="123"/>
    <s v="Tablet Samsung Galaxy"/>
    <x v="2"/>
    <s v="Depok"/>
    <n v="4500000"/>
    <n v="5522000"/>
    <x v="5"/>
    <x v="1"/>
    <s v="Jakarta"/>
    <n v="5522000"/>
    <n v="1022000"/>
    <n v="18.510000000000002"/>
  </r>
  <r>
    <s v="TRX0149"/>
    <s v="P013"/>
    <s v="C004"/>
    <s v="Charles Lim"/>
    <n v="2"/>
    <x v="115"/>
    <s v="Laptop Asus ROG"/>
    <x v="2"/>
    <s v="Depok"/>
    <n v="18000000"/>
    <n v="27603000"/>
    <x v="4"/>
    <x v="0"/>
    <s v="Medan"/>
    <n v="55206000"/>
    <n v="19206000"/>
    <n v="34.79"/>
  </r>
  <r>
    <s v="TRX0150"/>
    <s v="P010"/>
    <s v="C006"/>
    <s v="Dewi Lestari"/>
    <n v="14"/>
    <x v="96"/>
    <s v="Headset Gaming"/>
    <x v="4"/>
    <s v="Semarang"/>
    <n v="500000"/>
    <n v="844000"/>
    <x v="0"/>
    <x v="0"/>
    <s v="Semarang"/>
    <n v="11816000"/>
    <n v="4816000"/>
    <n v="40.76"/>
  </r>
  <r>
    <s v="TRX0151"/>
    <s v="P003"/>
    <s v="C014"/>
    <s v="Eko Prasetyo"/>
    <n v="8"/>
    <x v="67"/>
    <s v="Keyboard Mechanical"/>
    <x v="0"/>
    <s v="Depok"/>
    <n v="650000"/>
    <n v="741000"/>
    <x v="1"/>
    <x v="0"/>
    <s v="Solo"/>
    <n v="5928000"/>
    <n v="728000"/>
    <n v="12.28"/>
  </r>
  <r>
    <s v="TRX0152"/>
    <s v="P002"/>
    <s v="C007"/>
    <s v="Eko Prasetyo"/>
    <n v="12"/>
    <x v="125"/>
    <s v="Mouse Wireless"/>
    <x v="0"/>
    <s v="Semarang"/>
    <n v="100000"/>
    <n v="169000"/>
    <x v="14"/>
    <x v="1"/>
    <s v="Yogyakarta"/>
    <n v="2028000"/>
    <n v="828000"/>
    <n v="40.83"/>
  </r>
  <r>
    <s v="TRX0153"/>
    <s v="P013"/>
    <s v="C002"/>
    <s v="Fitri Handayani"/>
    <n v="4"/>
    <x v="126"/>
    <s v="Laptop Asus ROG"/>
    <x v="2"/>
    <s v="Depok"/>
    <n v="18000000"/>
    <n v="27603000"/>
    <x v="13"/>
    <x v="1"/>
    <s v="Bandung"/>
    <n v="110412000"/>
    <n v="38412000"/>
    <n v="34.79"/>
  </r>
  <r>
    <s v="TRX0154"/>
    <s v="P019"/>
    <s v="C007"/>
    <s v="Fitri Handayani"/>
    <n v="3"/>
    <x v="11"/>
    <s v="Cooling Fan RGB"/>
    <x v="3"/>
    <s v="Semarang"/>
    <n v="400000"/>
    <n v="623000"/>
    <x v="14"/>
    <x v="1"/>
    <s v="Yogyakarta"/>
    <n v="1869000"/>
    <n v="669000"/>
    <n v="35.79"/>
  </r>
  <r>
    <s v="TRX0155"/>
    <s v="P011"/>
    <s v="C004"/>
    <s v="Eko Prasetyo"/>
    <n v="11"/>
    <x v="85"/>
    <s v="External HDD 2TB"/>
    <x v="3"/>
    <s v="Semarang"/>
    <n v="950000"/>
    <n v="1649000"/>
    <x v="4"/>
    <x v="0"/>
    <s v="Medan"/>
    <n v="18139000"/>
    <n v="7689000"/>
    <n v="42.39"/>
  </r>
  <r>
    <s v="TRX0156"/>
    <s v="P002"/>
    <s v="C001"/>
    <s v="Eko Prasetyo"/>
    <n v="9"/>
    <x v="48"/>
    <s v="Mouse Wireless"/>
    <x v="0"/>
    <s v="Semarang"/>
    <n v="100000"/>
    <n v="169000"/>
    <x v="11"/>
    <x v="1"/>
    <s v="Jakarta"/>
    <n v="1521000"/>
    <n v="621000"/>
    <n v="40.83"/>
  </r>
  <r>
    <s v="TRX0157"/>
    <s v="P003"/>
    <s v="C006"/>
    <s v="Fitri Handayani"/>
    <n v="13"/>
    <x v="127"/>
    <s v="Keyboard Mechanical"/>
    <x v="0"/>
    <s v="Depok"/>
    <n v="650000"/>
    <n v="741000"/>
    <x v="0"/>
    <x v="0"/>
    <s v="Semarang"/>
    <n v="9633000"/>
    <n v="1183000"/>
    <n v="12.28"/>
  </r>
  <r>
    <s v="TRX0158"/>
    <s v="P007"/>
    <s v="C010"/>
    <s v="Ani Wijaya"/>
    <n v="14"/>
    <x v="128"/>
    <s v="SSD Samsung 1TB"/>
    <x v="3"/>
    <s v="Depok"/>
    <n v="1500000"/>
    <n v="1772000"/>
    <x v="10"/>
    <x v="0"/>
    <s v="Palembang"/>
    <n v="24808000"/>
    <n v="3808000"/>
    <n v="15.35"/>
  </r>
  <r>
    <s v="TRX0159"/>
    <s v="P010"/>
    <s v="C008"/>
    <s v="Fitri Handayani"/>
    <n v="12"/>
    <x v="79"/>
    <s v="Headset Gaming"/>
    <x v="4"/>
    <s v="Semarang"/>
    <n v="500000"/>
    <n v="844000"/>
    <x v="7"/>
    <x v="0"/>
    <s v="Denpasar"/>
    <n v="10128000"/>
    <n v="4128000"/>
    <n v="40.76"/>
  </r>
  <r>
    <s v="TRX0160"/>
    <s v="P015"/>
    <s v="C013"/>
    <s v="Eko Prasetyo"/>
    <n v="1"/>
    <x v="63"/>
    <s v="Power Bank 20000mAh"/>
    <x v="0"/>
    <s v="Depok"/>
    <n v="300000"/>
    <n v="355000"/>
    <x v="2"/>
    <x v="1"/>
    <s v="Bandung"/>
    <n v="355000"/>
    <n v="55000"/>
    <n v="15.49"/>
  </r>
  <r>
    <s v="TRX0161"/>
    <s v="P011"/>
    <s v="C010"/>
    <s v="Budi Santoso"/>
    <n v="11"/>
    <x v="129"/>
    <s v="External HDD 2TB"/>
    <x v="3"/>
    <s v="Semarang"/>
    <n v="950000"/>
    <n v="1649000"/>
    <x v="10"/>
    <x v="0"/>
    <s v="Palembang"/>
    <n v="18139000"/>
    <n v="7689000"/>
    <n v="42.39"/>
  </r>
  <r>
    <s v="TRX0162"/>
    <s v="P017"/>
    <s v="C005"/>
    <s v="Dewi Lestari"/>
    <n v="11"/>
    <x v="130"/>
    <s v="Graphics Card RTX 3060"/>
    <x v="3"/>
    <s v="Depok"/>
    <n v="5000000"/>
    <n v="7546000"/>
    <x v="6"/>
    <x v="1"/>
    <s v="Jakarta"/>
    <n v="83006000"/>
    <n v="28006000"/>
    <n v="33.74"/>
  </r>
  <r>
    <s v="TRX0163"/>
    <s v="P011"/>
    <s v="C013"/>
    <s v="Charles Lim"/>
    <n v="8"/>
    <x v="131"/>
    <s v="External HDD 2TB"/>
    <x v="3"/>
    <s v="Semarang"/>
    <n v="950000"/>
    <n v="1649000"/>
    <x v="2"/>
    <x v="1"/>
    <s v="Bandung"/>
    <n v="13192000"/>
    <n v="5592000"/>
    <n v="42.39"/>
  </r>
  <r>
    <s v="TRX0164"/>
    <s v="P005"/>
    <s v="C002"/>
    <s v="Ani Wijaya"/>
    <n v="5"/>
    <x v="132"/>
    <s v="Webcam Logitech"/>
    <x v="0"/>
    <s v="Semarang"/>
    <n v="350000"/>
    <n v="626000"/>
    <x v="13"/>
    <x v="1"/>
    <s v="Bandung"/>
    <n v="3130000"/>
    <n v="1380000"/>
    <n v="44.09"/>
  </r>
  <r>
    <s v="TRX0165"/>
    <s v="P016"/>
    <s v="C015"/>
    <s v="Ani Wijaya"/>
    <n v="3"/>
    <x v="87"/>
    <s v="Microphone USB"/>
    <x v="4"/>
    <s v="Jakarta"/>
    <n v="1200000"/>
    <n v="1375000"/>
    <x v="8"/>
    <x v="1"/>
    <s v="Tangerang"/>
    <n v="4125000"/>
    <n v="525000"/>
    <n v="12.73"/>
  </r>
  <r>
    <s v="TRX0166"/>
    <s v="P016"/>
    <s v="C004"/>
    <s v="Dewi Lestari"/>
    <n v="8"/>
    <x v="133"/>
    <s v="Microphone USB"/>
    <x v="4"/>
    <s v="Jakarta"/>
    <n v="1200000"/>
    <n v="1375000"/>
    <x v="4"/>
    <x v="0"/>
    <s v="Medan"/>
    <n v="11000000"/>
    <n v="1400000"/>
    <n v="12.73"/>
  </r>
  <r>
    <s v="TRX0167"/>
    <s v="P019"/>
    <s v="C001"/>
    <s v="Eko Prasetyo"/>
    <n v="10"/>
    <x v="134"/>
    <s v="Cooling Fan RGB"/>
    <x v="3"/>
    <s v="Semarang"/>
    <n v="400000"/>
    <n v="623000"/>
    <x v="11"/>
    <x v="1"/>
    <s v="Jakarta"/>
    <n v="6230000"/>
    <n v="2230000"/>
    <n v="35.79"/>
  </r>
  <r>
    <s v="TRX0168"/>
    <s v="P013"/>
    <s v="C014"/>
    <s v="Eko Prasetyo"/>
    <n v="10"/>
    <x v="135"/>
    <s v="Laptop Asus ROG"/>
    <x v="2"/>
    <s v="Depok"/>
    <n v="18000000"/>
    <n v="27603000"/>
    <x v="1"/>
    <x v="0"/>
    <s v="Solo"/>
    <n v="276030000"/>
    <n v="96030000"/>
    <n v="34.79"/>
  </r>
  <r>
    <s v="TRX0169"/>
    <s v="P008"/>
    <s v="C002"/>
    <s v="Ani Wijaya"/>
    <n v="6"/>
    <x v="136"/>
    <s v="RAM DDR4 16GB"/>
    <x v="3"/>
    <s v="Jakarta"/>
    <n v="750000"/>
    <n v="971000"/>
    <x v="13"/>
    <x v="1"/>
    <s v="Bandung"/>
    <n v="5826000"/>
    <n v="1326000"/>
    <n v="22.76"/>
  </r>
  <r>
    <s v="TRX0170"/>
    <s v="P008"/>
    <s v="C014"/>
    <s v="Ani Wijaya"/>
    <n v="10"/>
    <x v="137"/>
    <s v="RAM DDR4 16GB"/>
    <x v="3"/>
    <s v="Jakarta"/>
    <n v="750000"/>
    <n v="971000"/>
    <x v="1"/>
    <x v="0"/>
    <s v="Solo"/>
    <n v="9710000"/>
    <n v="2210000"/>
    <n v="22.76"/>
  </r>
  <r>
    <s v="TRX0171"/>
    <s v="P013"/>
    <s v="C005"/>
    <s v="Dewi Lestari"/>
    <n v="13"/>
    <x v="8"/>
    <s v="Laptop Asus ROG"/>
    <x v="2"/>
    <s v="Depok"/>
    <n v="18000000"/>
    <n v="27603000"/>
    <x v="6"/>
    <x v="1"/>
    <s v="Jakarta"/>
    <n v="358839000"/>
    <n v="124839000"/>
    <n v="34.79"/>
  </r>
  <r>
    <s v="TRX0172"/>
    <s v="P017"/>
    <s v="C002"/>
    <s v="Charles Lim"/>
    <n v="1"/>
    <x v="21"/>
    <s v="Graphics Card RTX 3060"/>
    <x v="3"/>
    <s v="Depok"/>
    <n v="5000000"/>
    <n v="7546000"/>
    <x v="13"/>
    <x v="1"/>
    <s v="Bandung"/>
    <n v="7546000"/>
    <n v="2546000"/>
    <n v="33.74"/>
  </r>
  <r>
    <s v="TRX0173"/>
    <s v="P002"/>
    <s v="C001"/>
    <s v="Eko Prasetyo"/>
    <n v="15"/>
    <x v="19"/>
    <s v="Mouse Wireless"/>
    <x v="0"/>
    <s v="Semarang"/>
    <n v="100000"/>
    <n v="169000"/>
    <x v="11"/>
    <x v="1"/>
    <s v="Jakarta"/>
    <n v="2535000"/>
    <n v="1035000"/>
    <n v="40.83"/>
  </r>
  <r>
    <s v="TRX0174"/>
    <s v="P006"/>
    <s v="C015"/>
    <s v="Eko Prasetyo"/>
    <n v="1"/>
    <x v="125"/>
    <s v="Printer HP LaserJet"/>
    <x v="2"/>
    <s v="Semarang"/>
    <n v="2800000"/>
    <n v="4747000"/>
    <x v="8"/>
    <x v="1"/>
    <s v="Tangerang"/>
    <n v="4747000"/>
    <n v="1947000"/>
    <n v="41.02"/>
  </r>
  <r>
    <s v="TRX0175"/>
    <s v="P008"/>
    <s v="C014"/>
    <s v="Dewi Lestari"/>
    <n v="5"/>
    <x v="45"/>
    <s v="RAM DDR4 16GB"/>
    <x v="3"/>
    <s v="Jakarta"/>
    <n v="750000"/>
    <n v="971000"/>
    <x v="1"/>
    <x v="0"/>
    <s v="Solo"/>
    <n v="4855000"/>
    <n v="1105000"/>
    <n v="22.76"/>
  </r>
  <r>
    <s v="TRX0176"/>
    <s v="P001"/>
    <s v="C010"/>
    <s v="Dewi Lestari"/>
    <n v="15"/>
    <x v="138"/>
    <s v="Laptop Dell XPS 13"/>
    <x v="2"/>
    <s v="Jakarta"/>
    <n v="12000000"/>
    <n v="13963000"/>
    <x v="10"/>
    <x v="0"/>
    <s v="Palembang"/>
    <n v="209445000"/>
    <n v="29445000"/>
    <n v="14.06"/>
  </r>
  <r>
    <s v="TRX0177"/>
    <s v="P013"/>
    <s v="C013"/>
    <s v="Ani Wijaya"/>
    <n v="5"/>
    <x v="108"/>
    <s v="Laptop Asus ROG"/>
    <x v="2"/>
    <s v="Depok"/>
    <n v="18000000"/>
    <n v="27603000"/>
    <x v="2"/>
    <x v="1"/>
    <s v="Bandung"/>
    <n v="138015000"/>
    <n v="48015000"/>
    <n v="34.79"/>
  </r>
  <r>
    <s v="TRX0178"/>
    <s v="P017"/>
    <s v="C011"/>
    <s v="Eko Prasetyo"/>
    <n v="10"/>
    <x v="139"/>
    <s v="Graphics Card RTX 3060"/>
    <x v="3"/>
    <s v="Depok"/>
    <n v="5000000"/>
    <n v="7546000"/>
    <x v="5"/>
    <x v="1"/>
    <s v="Jakarta"/>
    <n v="75460000"/>
    <n v="25460000"/>
    <n v="33.74"/>
  </r>
  <r>
    <s v="TRX0179"/>
    <s v="P019"/>
    <s v="C008"/>
    <s v="Dewi Lestari"/>
    <n v="1"/>
    <x v="140"/>
    <s v="Cooling Fan RGB"/>
    <x v="3"/>
    <s v="Semarang"/>
    <n v="400000"/>
    <n v="623000"/>
    <x v="7"/>
    <x v="0"/>
    <s v="Denpasar"/>
    <n v="623000"/>
    <n v="223000"/>
    <n v="35.79"/>
  </r>
  <r>
    <s v="TRX0180"/>
    <s v="P019"/>
    <s v="C008"/>
    <s v="Budi Santoso"/>
    <n v="1"/>
    <x v="141"/>
    <s v="Cooling Fan RGB"/>
    <x v="3"/>
    <s v="Semarang"/>
    <n v="400000"/>
    <n v="623000"/>
    <x v="7"/>
    <x v="0"/>
    <s v="Denpasar"/>
    <n v="623000"/>
    <n v="223000"/>
    <n v="35.79"/>
  </r>
  <r>
    <s v="TRX0181"/>
    <s v="P010"/>
    <s v="C015"/>
    <s v="Budi Santoso"/>
    <n v="7"/>
    <x v="142"/>
    <s v="Headset Gaming"/>
    <x v="4"/>
    <s v="Semarang"/>
    <n v="500000"/>
    <n v="844000"/>
    <x v="8"/>
    <x v="1"/>
    <s v="Tangerang"/>
    <n v="5908000"/>
    <n v="2408000"/>
    <n v="40.76"/>
  </r>
  <r>
    <s v="TRX0182"/>
    <s v="P006"/>
    <s v="C002"/>
    <s v="Ani Wijaya"/>
    <n v="9"/>
    <x v="143"/>
    <s v="Printer HP LaserJet"/>
    <x v="2"/>
    <s v="Semarang"/>
    <n v="2800000"/>
    <n v="4747000"/>
    <x v="13"/>
    <x v="1"/>
    <s v="Bandung"/>
    <n v="42723000"/>
    <n v="17523000"/>
    <n v="41.02"/>
  </r>
  <r>
    <s v="TRX0183"/>
    <s v="P004"/>
    <s v="C014"/>
    <s v="Ani Wijaya"/>
    <n v="9"/>
    <x v="144"/>
    <s v="Monitor LG 24&quot;"/>
    <x v="2"/>
    <s v="Jakarta"/>
    <n v="2000000"/>
    <n v="2533000"/>
    <x v="1"/>
    <x v="0"/>
    <s v="Solo"/>
    <n v="22797000"/>
    <n v="4797000"/>
    <n v="21.04"/>
  </r>
  <r>
    <s v="TRX0184"/>
    <s v="P013"/>
    <s v="C001"/>
    <s v="Dewi Lestari"/>
    <n v="11"/>
    <x v="145"/>
    <s v="Laptop Asus ROG"/>
    <x v="2"/>
    <s v="Depok"/>
    <n v="18000000"/>
    <n v="27603000"/>
    <x v="11"/>
    <x v="1"/>
    <s v="Jakarta"/>
    <n v="303633000"/>
    <n v="105633000"/>
    <n v="34.79"/>
  </r>
  <r>
    <s v="TRX0185"/>
    <s v="P010"/>
    <s v="C015"/>
    <s v="Budi Santoso"/>
    <n v="1"/>
    <x v="146"/>
    <s v="Headset Gaming"/>
    <x v="4"/>
    <s v="Semarang"/>
    <n v="500000"/>
    <n v="844000"/>
    <x v="8"/>
    <x v="1"/>
    <s v="Tangerang"/>
    <n v="844000"/>
    <n v="344000"/>
    <n v="40.76"/>
  </r>
  <r>
    <s v="TRX0186"/>
    <s v="P001"/>
    <s v="C008"/>
    <s v="Fitri Handayani"/>
    <n v="7"/>
    <x v="45"/>
    <s v="Laptop Dell XPS 13"/>
    <x v="2"/>
    <s v="Jakarta"/>
    <n v="12000000"/>
    <n v="13963000"/>
    <x v="7"/>
    <x v="0"/>
    <s v="Denpasar"/>
    <n v="97741000"/>
    <n v="13741000"/>
    <n v="14.06"/>
  </r>
  <r>
    <s v="TRX0187"/>
    <s v="P010"/>
    <s v="C013"/>
    <s v="Charles Lim"/>
    <n v="12"/>
    <x v="147"/>
    <s v="Headset Gaming"/>
    <x v="4"/>
    <s v="Semarang"/>
    <n v="500000"/>
    <n v="844000"/>
    <x v="2"/>
    <x v="1"/>
    <s v="Bandung"/>
    <n v="10128000"/>
    <n v="4128000"/>
    <n v="40.76"/>
  </r>
  <r>
    <s v="TRX0188"/>
    <s v="P012"/>
    <s v="C015"/>
    <s v="Eko Prasetyo"/>
    <n v="13"/>
    <x v="148"/>
    <s v="USB Flash Drive 64GB"/>
    <x v="0"/>
    <s v="Depok"/>
    <n v="80000"/>
    <n v="92000"/>
    <x v="8"/>
    <x v="1"/>
    <s v="Tangerang"/>
    <n v="1196000"/>
    <n v="156000"/>
    <n v="13.04"/>
  </r>
  <r>
    <s v="TRX0189"/>
    <s v="P002"/>
    <s v="C010"/>
    <s v="Budi Santoso"/>
    <n v="2"/>
    <x v="149"/>
    <s v="Mouse Wireless"/>
    <x v="0"/>
    <s v="Semarang"/>
    <n v="100000"/>
    <n v="169000"/>
    <x v="10"/>
    <x v="0"/>
    <s v="Palembang"/>
    <n v="338000"/>
    <n v="138000"/>
    <n v="40.83"/>
  </r>
  <r>
    <s v="TRX0190"/>
    <s v="P003"/>
    <s v="C006"/>
    <s v="Fitri Handayani"/>
    <n v="15"/>
    <x v="150"/>
    <s v="Keyboard Mechanical"/>
    <x v="0"/>
    <s v="Depok"/>
    <n v="650000"/>
    <n v="741000"/>
    <x v="0"/>
    <x v="0"/>
    <s v="Semarang"/>
    <n v="11115000"/>
    <n v="1365000"/>
    <n v="12.28"/>
  </r>
  <r>
    <s v="TRX0191"/>
    <s v="P010"/>
    <s v="C014"/>
    <s v="Ani Wijaya"/>
    <n v="14"/>
    <x v="148"/>
    <s v="Headset Gaming"/>
    <x v="4"/>
    <s v="Semarang"/>
    <n v="500000"/>
    <n v="844000"/>
    <x v="1"/>
    <x v="0"/>
    <s v="Solo"/>
    <n v="11816000"/>
    <n v="4816000"/>
    <n v="40.76"/>
  </r>
  <r>
    <s v="TRX0192"/>
    <s v="P008"/>
    <s v="C015"/>
    <s v="Dewi Lestari"/>
    <n v="8"/>
    <x v="3"/>
    <s v="RAM DDR4 16GB"/>
    <x v="3"/>
    <s v="Jakarta"/>
    <n v="750000"/>
    <n v="971000"/>
    <x v="8"/>
    <x v="1"/>
    <s v="Tangerang"/>
    <n v="7768000"/>
    <n v="1768000"/>
    <n v="22.76"/>
  </r>
  <r>
    <s v="TRX0193"/>
    <s v="P013"/>
    <s v="C001"/>
    <s v="Eko Prasetyo"/>
    <n v="15"/>
    <x v="111"/>
    <s v="Laptop Asus ROG"/>
    <x v="2"/>
    <s v="Depok"/>
    <n v="18000000"/>
    <n v="27603000"/>
    <x v="11"/>
    <x v="1"/>
    <s v="Jakarta"/>
    <n v="414045000"/>
    <n v="144045000"/>
    <n v="34.79"/>
  </r>
  <r>
    <s v="TRX0194"/>
    <s v="P001"/>
    <s v="C001"/>
    <s v="Charles Lim"/>
    <n v="15"/>
    <x v="151"/>
    <s v="Laptop Dell XPS 13"/>
    <x v="2"/>
    <s v="Jakarta"/>
    <n v="12000000"/>
    <n v="13963000"/>
    <x v="11"/>
    <x v="1"/>
    <s v="Jakarta"/>
    <n v="209445000"/>
    <n v="29445000"/>
    <n v="14.06"/>
  </r>
  <r>
    <s v="TRX0195"/>
    <s v="P003"/>
    <s v="C012"/>
    <s v="Charles Lim"/>
    <n v="9"/>
    <x v="152"/>
    <s v="Keyboard Mechanical"/>
    <x v="0"/>
    <s v="Depok"/>
    <n v="650000"/>
    <n v="741000"/>
    <x v="9"/>
    <x v="0"/>
    <s v="Malang"/>
    <n v="6669000"/>
    <n v="819000"/>
    <n v="12.28"/>
  </r>
  <r>
    <s v="TRX0196"/>
    <s v="P018"/>
    <s v="C011"/>
    <s v="Charles Lim"/>
    <n v="9"/>
    <x v="153"/>
    <s v="Motherboard ASUS"/>
    <x v="3"/>
    <s v="Jakarta"/>
    <n v="2500000"/>
    <n v="3080000"/>
    <x v="5"/>
    <x v="1"/>
    <s v="Jakarta"/>
    <n v="27720000"/>
    <n v="5220000"/>
    <n v="18.829999999999998"/>
  </r>
  <r>
    <s v="TRX0197"/>
    <s v="P001"/>
    <s v="C013"/>
    <s v="Dewi Lestari"/>
    <n v="7"/>
    <x v="154"/>
    <s v="Laptop Dell XPS 13"/>
    <x v="2"/>
    <s v="Jakarta"/>
    <n v="12000000"/>
    <n v="13963000"/>
    <x v="2"/>
    <x v="1"/>
    <s v="Bandung"/>
    <n v="97741000"/>
    <n v="13741000"/>
    <n v="14.06"/>
  </r>
  <r>
    <s v="TRX0198"/>
    <s v="P017"/>
    <s v="C014"/>
    <s v="Charles Lim"/>
    <n v="2"/>
    <x v="155"/>
    <s v="Graphics Card RTX 3060"/>
    <x v="3"/>
    <s v="Depok"/>
    <n v="5000000"/>
    <n v="7546000"/>
    <x v="1"/>
    <x v="0"/>
    <s v="Solo"/>
    <n v="15092000"/>
    <n v="5092000"/>
    <n v="33.74"/>
  </r>
  <r>
    <s v="TRX0199"/>
    <s v="P011"/>
    <s v="C008"/>
    <s v="Charles Lim"/>
    <n v="12"/>
    <x v="156"/>
    <s v="External HDD 2TB"/>
    <x v="3"/>
    <s v="Semarang"/>
    <n v="950000"/>
    <n v="1649000"/>
    <x v="7"/>
    <x v="0"/>
    <s v="Denpasar"/>
    <n v="19788000"/>
    <n v="8388000"/>
    <n v="42.39"/>
  </r>
  <r>
    <s v="TRX0200"/>
    <s v="P017"/>
    <s v="C005"/>
    <s v="Budi Santoso"/>
    <n v="11"/>
    <x v="83"/>
    <s v="Graphics Card RTX 3060"/>
    <x v="3"/>
    <s v="Depok"/>
    <n v="5000000"/>
    <n v="7546000"/>
    <x v="6"/>
    <x v="1"/>
    <s v="Jakarta"/>
    <n v="83006000"/>
    <n v="28006000"/>
    <n v="33.74"/>
  </r>
  <r>
    <s v="TRX0201"/>
    <s v="P016"/>
    <s v="C015"/>
    <s v="Ani Wijaya"/>
    <n v="12"/>
    <x v="40"/>
    <s v="Microphone USB"/>
    <x v="4"/>
    <s v="Jakarta"/>
    <n v="1200000"/>
    <n v="1375000"/>
    <x v="8"/>
    <x v="1"/>
    <s v="Tangerang"/>
    <n v="16500000"/>
    <n v="2100000"/>
    <n v="12.73"/>
  </r>
  <r>
    <s v="TRX0202"/>
    <s v="P001"/>
    <s v="C002"/>
    <s v="Budi Santoso"/>
    <n v="12"/>
    <x v="63"/>
    <s v="Laptop Dell XPS 13"/>
    <x v="2"/>
    <s v="Jakarta"/>
    <n v="12000000"/>
    <n v="13963000"/>
    <x v="13"/>
    <x v="1"/>
    <s v="Bandung"/>
    <n v="167556000"/>
    <n v="23556000"/>
    <n v="14.06"/>
  </r>
  <r>
    <s v="TRX0203"/>
    <s v="P012"/>
    <s v="C011"/>
    <s v="Charles Lim"/>
    <n v="8"/>
    <x v="157"/>
    <s v="USB Flash Drive 64GB"/>
    <x v="0"/>
    <s v="Depok"/>
    <n v="80000"/>
    <n v="92000"/>
    <x v="5"/>
    <x v="1"/>
    <s v="Jakarta"/>
    <n v="736000"/>
    <n v="96000"/>
    <n v="13.04"/>
  </r>
  <r>
    <s v="TRX0204"/>
    <s v="P006"/>
    <s v="C001"/>
    <s v="Budi Santoso"/>
    <n v="13"/>
    <x v="158"/>
    <s v="Printer HP LaserJet"/>
    <x v="2"/>
    <s v="Semarang"/>
    <n v="2800000"/>
    <n v="4747000"/>
    <x v="11"/>
    <x v="1"/>
    <s v="Jakarta"/>
    <n v="61711000"/>
    <n v="25311000"/>
    <n v="41.02"/>
  </r>
  <r>
    <s v="TRX0205"/>
    <s v="P019"/>
    <s v="C002"/>
    <s v="Ani Wijaya"/>
    <n v="10"/>
    <x v="76"/>
    <s v="Cooling Fan RGB"/>
    <x v="3"/>
    <s v="Semarang"/>
    <n v="400000"/>
    <n v="623000"/>
    <x v="13"/>
    <x v="1"/>
    <s v="Bandung"/>
    <n v="6230000"/>
    <n v="2230000"/>
    <n v="35.79"/>
  </r>
  <r>
    <s v="TRX0206"/>
    <s v="P001"/>
    <s v="C008"/>
    <s v="Ani Wijaya"/>
    <n v="13"/>
    <x v="159"/>
    <s v="Laptop Dell XPS 13"/>
    <x v="2"/>
    <s v="Jakarta"/>
    <n v="12000000"/>
    <n v="13963000"/>
    <x v="7"/>
    <x v="0"/>
    <s v="Denpasar"/>
    <n v="181519000"/>
    <n v="25519000"/>
    <n v="14.06"/>
  </r>
  <r>
    <s v="TRX0207"/>
    <s v="P012"/>
    <s v="C006"/>
    <s v="Budi Santoso"/>
    <n v="8"/>
    <x v="160"/>
    <s v="USB Flash Drive 64GB"/>
    <x v="0"/>
    <s v="Depok"/>
    <n v="80000"/>
    <n v="92000"/>
    <x v="0"/>
    <x v="0"/>
    <s v="Semarang"/>
    <n v="736000"/>
    <n v="96000"/>
    <n v="13.04"/>
  </r>
  <r>
    <s v="TRX0208"/>
    <s v="P011"/>
    <s v="C005"/>
    <s v="Budi Santoso"/>
    <n v="12"/>
    <x v="161"/>
    <s v="External HDD 2TB"/>
    <x v="3"/>
    <s v="Semarang"/>
    <n v="950000"/>
    <n v="1649000"/>
    <x v="6"/>
    <x v="1"/>
    <s v="Jakarta"/>
    <n v="19788000"/>
    <n v="8388000"/>
    <n v="42.39"/>
  </r>
  <r>
    <s v="TRX0209"/>
    <s v="P014"/>
    <s v="C013"/>
    <s v="Eko Prasetyo"/>
    <n v="2"/>
    <x v="147"/>
    <s v="Tablet Samsung Galaxy"/>
    <x v="2"/>
    <s v="Depok"/>
    <n v="4500000"/>
    <n v="5522000"/>
    <x v="2"/>
    <x v="1"/>
    <s v="Bandung"/>
    <n v="11044000"/>
    <n v="2044000"/>
    <n v="18.510000000000002"/>
  </r>
  <r>
    <s v="TRX0210"/>
    <s v="P010"/>
    <s v="C012"/>
    <s v="Budi Santoso"/>
    <n v="8"/>
    <x v="162"/>
    <s v="Headset Gaming"/>
    <x v="4"/>
    <s v="Semarang"/>
    <n v="500000"/>
    <n v="844000"/>
    <x v="9"/>
    <x v="0"/>
    <s v="Malang"/>
    <n v="6752000"/>
    <n v="2752000"/>
    <n v="40.76"/>
  </r>
  <r>
    <s v="TRX0211"/>
    <s v="P020"/>
    <s v="C002"/>
    <s v="Dewi Lestari"/>
    <n v="5"/>
    <x v="163"/>
    <s v="Gaming Chair"/>
    <x v="1"/>
    <s v="Semarang"/>
    <n v="2000000"/>
    <n v="3382000"/>
    <x v="13"/>
    <x v="1"/>
    <s v="Bandung"/>
    <n v="16910000"/>
    <n v="6910000"/>
    <n v="40.86"/>
  </r>
  <r>
    <s v="TRX0212"/>
    <s v="P012"/>
    <s v="C001"/>
    <s v="Fitri Handayani"/>
    <n v="5"/>
    <x v="65"/>
    <s v="USB Flash Drive 64GB"/>
    <x v="0"/>
    <s v="Depok"/>
    <n v="80000"/>
    <n v="92000"/>
    <x v="11"/>
    <x v="1"/>
    <s v="Jakarta"/>
    <n v="460000"/>
    <n v="60000"/>
    <n v="13.04"/>
  </r>
  <r>
    <s v="TRX0213"/>
    <s v="P001"/>
    <s v="C002"/>
    <s v="Eko Prasetyo"/>
    <n v="5"/>
    <x v="164"/>
    <s v="Laptop Dell XPS 13"/>
    <x v="2"/>
    <s v="Jakarta"/>
    <n v="12000000"/>
    <n v="13963000"/>
    <x v="13"/>
    <x v="1"/>
    <s v="Bandung"/>
    <n v="69815000"/>
    <n v="9815000"/>
    <n v="14.06"/>
  </r>
  <r>
    <s v="TRX0214"/>
    <s v="P017"/>
    <s v="C002"/>
    <s v="Ani Wijaya"/>
    <n v="10"/>
    <x v="43"/>
    <s v="Graphics Card RTX 3060"/>
    <x v="3"/>
    <s v="Depok"/>
    <n v="5000000"/>
    <n v="7546000"/>
    <x v="13"/>
    <x v="1"/>
    <s v="Bandung"/>
    <n v="75460000"/>
    <n v="25460000"/>
    <n v="33.74"/>
  </r>
  <r>
    <s v="TRX0215"/>
    <s v="P016"/>
    <s v="C007"/>
    <s v="Eko Prasetyo"/>
    <n v="9"/>
    <x v="131"/>
    <s v="Microphone USB"/>
    <x v="4"/>
    <s v="Jakarta"/>
    <n v="1200000"/>
    <n v="1375000"/>
    <x v="14"/>
    <x v="1"/>
    <s v="Yogyakarta"/>
    <n v="12375000"/>
    <n v="1575000"/>
    <n v="12.73"/>
  </r>
  <r>
    <s v="TRX0216"/>
    <s v="P014"/>
    <s v="C014"/>
    <s v="Ani Wijaya"/>
    <n v="10"/>
    <x v="165"/>
    <s v="Tablet Samsung Galaxy"/>
    <x v="2"/>
    <s v="Depok"/>
    <n v="4500000"/>
    <n v="5522000"/>
    <x v="1"/>
    <x v="0"/>
    <s v="Solo"/>
    <n v="55220000"/>
    <n v="10220000"/>
    <n v="18.510000000000002"/>
  </r>
  <r>
    <s v="TRX0217"/>
    <s v="P020"/>
    <s v="C014"/>
    <s v="Ani Wijaya"/>
    <n v="5"/>
    <x v="166"/>
    <s v="Gaming Chair"/>
    <x v="1"/>
    <s v="Semarang"/>
    <n v="2000000"/>
    <n v="3382000"/>
    <x v="1"/>
    <x v="0"/>
    <s v="Solo"/>
    <n v="16910000"/>
    <n v="6910000"/>
    <n v="40.86"/>
  </r>
  <r>
    <s v="TRX0218"/>
    <s v="P010"/>
    <s v="C005"/>
    <s v="Dewi Lestari"/>
    <n v="2"/>
    <x v="167"/>
    <s v="Headset Gaming"/>
    <x v="4"/>
    <s v="Semarang"/>
    <n v="500000"/>
    <n v="844000"/>
    <x v="6"/>
    <x v="1"/>
    <s v="Jakarta"/>
    <n v="1688000"/>
    <n v="688000"/>
    <n v="40.76"/>
  </r>
  <r>
    <s v="TRX0219"/>
    <s v="P002"/>
    <s v="C015"/>
    <s v="Fitri Handayani"/>
    <n v="13"/>
    <x v="168"/>
    <s v="Mouse Wireless"/>
    <x v="0"/>
    <s v="Semarang"/>
    <n v="100000"/>
    <n v="169000"/>
    <x v="8"/>
    <x v="1"/>
    <s v="Tangerang"/>
    <n v="2197000"/>
    <n v="897000"/>
    <n v="40.83"/>
  </r>
  <r>
    <s v="TRX0220"/>
    <s v="P016"/>
    <s v="C002"/>
    <s v="Charles Lim"/>
    <n v="2"/>
    <x v="66"/>
    <s v="Microphone USB"/>
    <x v="4"/>
    <s v="Jakarta"/>
    <n v="1200000"/>
    <n v="1375000"/>
    <x v="13"/>
    <x v="1"/>
    <s v="Bandung"/>
    <n v="2750000"/>
    <n v="350000"/>
    <n v="12.73"/>
  </r>
  <r>
    <s v="TRX0221"/>
    <s v="P016"/>
    <s v="C005"/>
    <s v="Fitri Handayani"/>
    <n v="9"/>
    <x v="169"/>
    <s v="Microphone USB"/>
    <x v="4"/>
    <s v="Jakarta"/>
    <n v="1200000"/>
    <n v="1375000"/>
    <x v="6"/>
    <x v="1"/>
    <s v="Jakarta"/>
    <n v="12375000"/>
    <n v="1575000"/>
    <n v="12.73"/>
  </r>
  <r>
    <s v="TRX0222"/>
    <s v="P015"/>
    <s v="C006"/>
    <s v="Eko Prasetyo"/>
    <n v="13"/>
    <x v="117"/>
    <s v="Power Bank 20000mAh"/>
    <x v="0"/>
    <s v="Depok"/>
    <n v="300000"/>
    <n v="355000"/>
    <x v="0"/>
    <x v="0"/>
    <s v="Semarang"/>
    <n v="4615000"/>
    <n v="715000"/>
    <n v="15.49"/>
  </r>
  <r>
    <s v="TRX0223"/>
    <s v="P019"/>
    <s v="C015"/>
    <s v="Eko Prasetyo"/>
    <n v="4"/>
    <x v="170"/>
    <s v="Cooling Fan RGB"/>
    <x v="3"/>
    <s v="Semarang"/>
    <n v="400000"/>
    <n v="623000"/>
    <x v="8"/>
    <x v="1"/>
    <s v="Tangerang"/>
    <n v="2492000"/>
    <n v="892000"/>
    <n v="35.79"/>
  </r>
  <r>
    <s v="TRX0224"/>
    <s v="P012"/>
    <s v="C009"/>
    <s v="Fitri Handayani"/>
    <n v="6"/>
    <x v="171"/>
    <s v="USB Flash Drive 64GB"/>
    <x v="0"/>
    <s v="Depok"/>
    <n v="80000"/>
    <n v="92000"/>
    <x v="12"/>
    <x v="1"/>
    <s v="Makassar"/>
    <n v="552000"/>
    <n v="72000"/>
    <n v="13.04"/>
  </r>
  <r>
    <s v="TRX0225"/>
    <s v="P010"/>
    <s v="C011"/>
    <s v="Charles Lim"/>
    <n v="2"/>
    <x v="77"/>
    <s v="Headset Gaming"/>
    <x v="4"/>
    <s v="Semarang"/>
    <n v="500000"/>
    <n v="844000"/>
    <x v="5"/>
    <x v="1"/>
    <s v="Jakarta"/>
    <n v="1688000"/>
    <n v="688000"/>
    <n v="40.76"/>
  </r>
  <r>
    <s v="TRX0226"/>
    <s v="P018"/>
    <s v="C014"/>
    <s v="Ani Wijaya"/>
    <n v="1"/>
    <x v="172"/>
    <s v="Motherboard ASUS"/>
    <x v="3"/>
    <s v="Jakarta"/>
    <n v="2500000"/>
    <n v="3080000"/>
    <x v="1"/>
    <x v="0"/>
    <s v="Solo"/>
    <n v="3080000"/>
    <n v="580000"/>
    <n v="18.829999999999998"/>
  </r>
  <r>
    <s v="TRX0227"/>
    <s v="P006"/>
    <s v="C001"/>
    <s v="Fitri Handayani"/>
    <n v="2"/>
    <x v="173"/>
    <s v="Printer HP LaserJet"/>
    <x v="2"/>
    <s v="Semarang"/>
    <n v="2800000"/>
    <n v="4747000"/>
    <x v="11"/>
    <x v="1"/>
    <s v="Jakarta"/>
    <n v="9494000"/>
    <n v="3894000"/>
    <n v="41.02"/>
  </r>
  <r>
    <s v="TRX0228"/>
    <s v="P001"/>
    <s v="C014"/>
    <s v="Fitri Handayani"/>
    <n v="4"/>
    <x v="99"/>
    <s v="Laptop Dell XPS 13"/>
    <x v="2"/>
    <s v="Jakarta"/>
    <n v="12000000"/>
    <n v="13963000"/>
    <x v="1"/>
    <x v="0"/>
    <s v="Solo"/>
    <n v="55852000"/>
    <n v="7852000"/>
    <n v="14.06"/>
  </r>
  <r>
    <s v="TRX0229"/>
    <s v="P011"/>
    <s v="C002"/>
    <s v="Eko Prasetyo"/>
    <n v="7"/>
    <x v="174"/>
    <s v="External HDD 2TB"/>
    <x v="3"/>
    <s v="Semarang"/>
    <n v="950000"/>
    <n v="1649000"/>
    <x v="13"/>
    <x v="1"/>
    <s v="Bandung"/>
    <n v="11543000"/>
    <n v="4893000"/>
    <n v="42.39"/>
  </r>
  <r>
    <s v="TRX0230"/>
    <s v="P004"/>
    <s v="C015"/>
    <s v="Dewi Lestari"/>
    <n v="8"/>
    <x v="148"/>
    <s v="Monitor LG 24&quot;"/>
    <x v="2"/>
    <s v="Jakarta"/>
    <n v="2000000"/>
    <n v="2533000"/>
    <x v="8"/>
    <x v="1"/>
    <s v="Tangerang"/>
    <n v="20264000"/>
    <n v="4264000"/>
    <n v="21.04"/>
  </r>
  <r>
    <s v="TRX0231"/>
    <s v="P008"/>
    <s v="C010"/>
    <s v="Dewi Lestari"/>
    <n v="3"/>
    <x v="83"/>
    <s v="RAM DDR4 16GB"/>
    <x v="3"/>
    <s v="Jakarta"/>
    <n v="750000"/>
    <n v="971000"/>
    <x v="10"/>
    <x v="0"/>
    <s v="Palembang"/>
    <n v="2913000"/>
    <n v="663000"/>
    <n v="22.76"/>
  </r>
  <r>
    <s v="TRX0232"/>
    <s v="P015"/>
    <s v="C001"/>
    <s v="Dewi Lestari"/>
    <n v="15"/>
    <x v="80"/>
    <s v="Power Bank 20000mAh"/>
    <x v="0"/>
    <s v="Depok"/>
    <n v="300000"/>
    <n v="355000"/>
    <x v="11"/>
    <x v="1"/>
    <s v="Jakarta"/>
    <n v="5325000"/>
    <n v="825000"/>
    <n v="15.49"/>
  </r>
  <r>
    <s v="TRX0233"/>
    <s v="P010"/>
    <s v="C003"/>
    <s v="Ani Wijaya"/>
    <n v="9"/>
    <x v="172"/>
    <s v="Headset Gaming"/>
    <x v="4"/>
    <s v="Semarang"/>
    <n v="500000"/>
    <n v="844000"/>
    <x v="3"/>
    <x v="0"/>
    <s v="Surabaya"/>
    <n v="7596000"/>
    <n v="3096000"/>
    <n v="40.76"/>
  </r>
  <r>
    <s v="TRX0234"/>
    <s v="P002"/>
    <s v="C014"/>
    <s v="Dewi Lestari"/>
    <n v="14"/>
    <x v="175"/>
    <s v="Mouse Wireless"/>
    <x v="0"/>
    <s v="Semarang"/>
    <n v="100000"/>
    <n v="169000"/>
    <x v="1"/>
    <x v="0"/>
    <s v="Solo"/>
    <n v="2366000"/>
    <n v="966000"/>
    <n v="40.83"/>
  </r>
  <r>
    <s v="TRX0235"/>
    <s v="P002"/>
    <s v="C001"/>
    <s v="Charles Lim"/>
    <n v="15"/>
    <x v="109"/>
    <s v="Mouse Wireless"/>
    <x v="0"/>
    <s v="Semarang"/>
    <n v="100000"/>
    <n v="169000"/>
    <x v="11"/>
    <x v="1"/>
    <s v="Jakarta"/>
    <n v="2535000"/>
    <n v="1035000"/>
    <n v="40.83"/>
  </r>
  <r>
    <s v="TRX0236"/>
    <s v="P012"/>
    <s v="C008"/>
    <s v="Budi Santoso"/>
    <n v="1"/>
    <x v="176"/>
    <s v="USB Flash Drive 64GB"/>
    <x v="0"/>
    <s v="Depok"/>
    <n v="80000"/>
    <n v="92000"/>
    <x v="7"/>
    <x v="0"/>
    <s v="Denpasar"/>
    <n v="92000"/>
    <n v="12000"/>
    <n v="13.04"/>
  </r>
  <r>
    <s v="TRX0237"/>
    <s v="P007"/>
    <s v="C009"/>
    <s v="Charles Lim"/>
    <n v="5"/>
    <x v="146"/>
    <s v="SSD Samsung 1TB"/>
    <x v="3"/>
    <s v="Depok"/>
    <n v="1500000"/>
    <n v="1772000"/>
    <x v="12"/>
    <x v="1"/>
    <s v="Makassar"/>
    <n v="8860000"/>
    <n v="1360000"/>
    <n v="15.35"/>
  </r>
  <r>
    <s v="TRX0238"/>
    <s v="P014"/>
    <s v="C008"/>
    <s v="Charles Lim"/>
    <n v="5"/>
    <x v="177"/>
    <s v="Tablet Samsung Galaxy"/>
    <x v="2"/>
    <s v="Depok"/>
    <n v="4500000"/>
    <n v="5522000"/>
    <x v="7"/>
    <x v="0"/>
    <s v="Denpasar"/>
    <n v="27610000"/>
    <n v="5110000"/>
    <n v="18.510000000000002"/>
  </r>
  <r>
    <s v="TRX0239"/>
    <s v="P007"/>
    <s v="C006"/>
    <s v="Ani Wijaya"/>
    <n v="14"/>
    <x v="121"/>
    <s v="SSD Samsung 1TB"/>
    <x v="3"/>
    <s v="Depok"/>
    <n v="1500000"/>
    <n v="1772000"/>
    <x v="0"/>
    <x v="0"/>
    <s v="Semarang"/>
    <n v="24808000"/>
    <n v="3808000"/>
    <n v="15.35"/>
  </r>
  <r>
    <s v="TRX0240"/>
    <s v="P015"/>
    <s v="C010"/>
    <s v="Charles Lim"/>
    <n v="10"/>
    <x v="178"/>
    <s v="Power Bank 20000mAh"/>
    <x v="0"/>
    <s v="Depok"/>
    <n v="300000"/>
    <n v="355000"/>
    <x v="10"/>
    <x v="0"/>
    <s v="Palembang"/>
    <n v="3550000"/>
    <n v="550000"/>
    <n v="15.49"/>
  </r>
  <r>
    <s v="TRX0241"/>
    <s v="P007"/>
    <s v="C002"/>
    <s v="Fitri Handayani"/>
    <n v="10"/>
    <x v="104"/>
    <s v="SSD Samsung 1TB"/>
    <x v="3"/>
    <s v="Depok"/>
    <n v="1500000"/>
    <n v="1772000"/>
    <x v="13"/>
    <x v="1"/>
    <s v="Bandung"/>
    <n v="17720000"/>
    <n v="2720000"/>
    <n v="15.35"/>
  </r>
  <r>
    <s v="TRX0242"/>
    <s v="P018"/>
    <s v="C007"/>
    <s v="Eko Prasetyo"/>
    <n v="14"/>
    <x v="179"/>
    <s v="Motherboard ASUS"/>
    <x v="3"/>
    <s v="Jakarta"/>
    <n v="2500000"/>
    <n v="3080000"/>
    <x v="14"/>
    <x v="1"/>
    <s v="Yogyakarta"/>
    <n v="43120000"/>
    <n v="8120000"/>
    <n v="18.829999999999998"/>
  </r>
  <r>
    <s v="TRX0243"/>
    <s v="P004"/>
    <s v="C003"/>
    <s v="Fitri Handayani"/>
    <n v="8"/>
    <x v="55"/>
    <s v="Monitor LG 24&quot;"/>
    <x v="2"/>
    <s v="Jakarta"/>
    <n v="2000000"/>
    <n v="2533000"/>
    <x v="3"/>
    <x v="0"/>
    <s v="Surabaya"/>
    <n v="20264000"/>
    <n v="4264000"/>
    <n v="21.04"/>
  </r>
  <r>
    <s v="TRX0244"/>
    <s v="P005"/>
    <s v="C013"/>
    <s v="Budi Santoso"/>
    <n v="11"/>
    <x v="63"/>
    <s v="Webcam Logitech"/>
    <x v="0"/>
    <s v="Semarang"/>
    <n v="350000"/>
    <n v="626000"/>
    <x v="2"/>
    <x v="1"/>
    <s v="Bandung"/>
    <n v="6886000"/>
    <n v="3036000"/>
    <n v="44.09"/>
  </r>
  <r>
    <s v="TRX0245"/>
    <s v="P019"/>
    <s v="C009"/>
    <s v="Eko Prasetyo"/>
    <n v="10"/>
    <x v="180"/>
    <s v="Cooling Fan RGB"/>
    <x v="3"/>
    <s v="Semarang"/>
    <n v="400000"/>
    <n v="623000"/>
    <x v="12"/>
    <x v="1"/>
    <s v="Makassar"/>
    <n v="6230000"/>
    <n v="2230000"/>
    <n v="35.79"/>
  </r>
  <r>
    <s v="TRX0245"/>
    <s v="P020"/>
    <s v="C009"/>
    <s v="Eko Prasetyo"/>
    <n v="10"/>
    <x v="180"/>
    <s v="Gaming Chair"/>
    <x v="1"/>
    <s v="Semarang"/>
    <n v="2000000"/>
    <n v="3382000"/>
    <x v="12"/>
    <x v="1"/>
    <s v="Makassar"/>
    <n v="33820000"/>
    <n v="13820000"/>
    <n v="40.86"/>
  </r>
  <r>
    <s v="TRX0245"/>
    <s v="P021"/>
    <s v="C009"/>
    <s v="Eko Prasetyo"/>
    <n v="10"/>
    <x v="180"/>
    <s v="Macbook Air 256GB"/>
    <x v="2"/>
    <s v="Jakarta"/>
    <n v="7000000"/>
    <n v="10409000"/>
    <x v="12"/>
    <x v="1"/>
    <s v="Makassar"/>
    <n v="104090000"/>
    <n v="34090000"/>
    <n v="32.75"/>
  </r>
  <r>
    <s v="TRX0246"/>
    <s v="P017"/>
    <s v="C012"/>
    <s v="Budi Santoso"/>
    <n v="9"/>
    <x v="49"/>
    <s v="Graphics Card RTX 3060"/>
    <x v="3"/>
    <s v="Depok"/>
    <n v="5000000"/>
    <n v="7546000"/>
    <x v="9"/>
    <x v="0"/>
    <s v="Malang"/>
    <n v="67914000"/>
    <n v="22914000"/>
    <n v="33.74"/>
  </r>
  <r>
    <s v="TRX0247"/>
    <s v="P008"/>
    <s v="C013"/>
    <s v="Ani Wijaya"/>
    <n v="11"/>
    <x v="179"/>
    <s v="RAM DDR4 16GB"/>
    <x v="3"/>
    <s v="Jakarta"/>
    <n v="750000"/>
    <n v="971000"/>
    <x v="2"/>
    <x v="1"/>
    <s v="Bandung"/>
    <n v="10681000"/>
    <n v="2431000"/>
    <n v="22.76"/>
  </r>
  <r>
    <s v="TRX0248"/>
    <s v="P014"/>
    <s v="C005"/>
    <s v="Eko Prasetyo"/>
    <n v="15"/>
    <x v="41"/>
    <s v="Tablet Samsung Galaxy"/>
    <x v="2"/>
    <s v="Depok"/>
    <n v="4500000"/>
    <n v="5522000"/>
    <x v="6"/>
    <x v="1"/>
    <s v="Jakarta"/>
    <n v="82830000"/>
    <n v="15330000"/>
    <n v="18.510000000000002"/>
  </r>
  <r>
    <s v="TRX0249"/>
    <s v="P010"/>
    <s v="C003"/>
    <s v="Budi Santoso"/>
    <n v="15"/>
    <x v="181"/>
    <s v="Headset Gaming"/>
    <x v="4"/>
    <s v="Semarang"/>
    <n v="500000"/>
    <n v="844000"/>
    <x v="3"/>
    <x v="0"/>
    <s v="Surabaya"/>
    <n v="12660000"/>
    <n v="5160000"/>
    <n v="40.76"/>
  </r>
  <r>
    <s v="TRX0250"/>
    <s v="P008"/>
    <s v="C014"/>
    <s v="Ani Wijaya"/>
    <n v="13"/>
    <x v="41"/>
    <s v="RAM DDR4 16GB"/>
    <x v="3"/>
    <s v="Jakarta"/>
    <n v="750000"/>
    <n v="971000"/>
    <x v="1"/>
    <x v="0"/>
    <s v="Solo"/>
    <n v="12623000"/>
    <n v="2873000"/>
    <n v="22.76"/>
  </r>
  <r>
    <s v="TRX0251"/>
    <s v="P015"/>
    <s v="C001"/>
    <s v="Charles Lim"/>
    <n v="6"/>
    <x v="182"/>
    <s v="Power Bank 20000mAh"/>
    <x v="0"/>
    <s v="Depok"/>
    <n v="300000"/>
    <n v="355000"/>
    <x v="11"/>
    <x v="1"/>
    <s v="Jakarta"/>
    <n v="2130000"/>
    <n v="330000"/>
    <n v="15.49"/>
  </r>
  <r>
    <s v="TRX0252"/>
    <s v="P018"/>
    <s v="C010"/>
    <s v="Ani Wijaya"/>
    <n v="9"/>
    <x v="183"/>
    <s v="Motherboard ASUS"/>
    <x v="3"/>
    <s v="Jakarta"/>
    <n v="2500000"/>
    <n v="3080000"/>
    <x v="10"/>
    <x v="0"/>
    <s v="Palembang"/>
    <n v="27720000"/>
    <n v="5220000"/>
    <n v="18.829999999999998"/>
  </r>
  <r>
    <s v="TRX0253"/>
    <s v="P019"/>
    <s v="C008"/>
    <s v="Eko Prasetyo"/>
    <n v="4"/>
    <x v="184"/>
    <s v="Cooling Fan RGB"/>
    <x v="3"/>
    <s v="Semarang"/>
    <n v="400000"/>
    <n v="623000"/>
    <x v="7"/>
    <x v="0"/>
    <s v="Denpasar"/>
    <n v="2492000"/>
    <n v="892000"/>
    <n v="35.79"/>
  </r>
  <r>
    <s v="TRX0254"/>
    <s v="P012"/>
    <s v="C015"/>
    <s v="Eko Prasetyo"/>
    <n v="14"/>
    <x v="185"/>
    <s v="USB Flash Drive 64GB"/>
    <x v="0"/>
    <s v="Depok"/>
    <n v="80000"/>
    <n v="92000"/>
    <x v="8"/>
    <x v="1"/>
    <s v="Tangerang"/>
    <n v="1288000"/>
    <n v="168000"/>
    <n v="13.04"/>
  </r>
  <r>
    <s v="TRX0255"/>
    <s v="P011"/>
    <s v="C010"/>
    <s v="Eko Prasetyo"/>
    <n v="2"/>
    <x v="70"/>
    <s v="External HDD 2TB"/>
    <x v="3"/>
    <s v="Semarang"/>
    <n v="950000"/>
    <n v="1649000"/>
    <x v="10"/>
    <x v="0"/>
    <s v="Palembang"/>
    <n v="3298000"/>
    <n v="1398000"/>
    <n v="42.39"/>
  </r>
  <r>
    <s v="TRX0256"/>
    <s v="P009"/>
    <s v="C015"/>
    <s v="Fitri Handayani"/>
    <n v="11"/>
    <x v="59"/>
    <s v="Speaker Bluetooth"/>
    <x v="4"/>
    <s v="Semarang"/>
    <n v="250000"/>
    <n v="354000"/>
    <x v="8"/>
    <x v="1"/>
    <s v="Tangerang"/>
    <n v="3894000"/>
    <n v="1144000"/>
    <n v="29.38"/>
  </r>
  <r>
    <s v="TRX0257"/>
    <s v="P011"/>
    <s v="C001"/>
    <s v="Dewi Lestari"/>
    <n v="3"/>
    <x v="186"/>
    <s v="External HDD 2TB"/>
    <x v="3"/>
    <s v="Semarang"/>
    <n v="950000"/>
    <n v="1649000"/>
    <x v="11"/>
    <x v="1"/>
    <s v="Jakarta"/>
    <n v="4947000"/>
    <n v="2097000"/>
    <n v="42.39"/>
  </r>
  <r>
    <s v="TRX0258"/>
    <s v="P016"/>
    <s v="C015"/>
    <s v="Fitri Handayani"/>
    <n v="8"/>
    <x v="82"/>
    <s v="Microphone USB"/>
    <x v="4"/>
    <s v="Jakarta"/>
    <n v="1200000"/>
    <n v="1375000"/>
    <x v="8"/>
    <x v="1"/>
    <s v="Tangerang"/>
    <n v="11000000"/>
    <n v="1400000"/>
    <n v="12.73"/>
  </r>
  <r>
    <s v="TRX0259"/>
    <s v="P008"/>
    <s v="C012"/>
    <s v="Eko Prasetyo"/>
    <n v="2"/>
    <x v="187"/>
    <s v="RAM DDR4 16GB"/>
    <x v="3"/>
    <s v="Jakarta"/>
    <n v="750000"/>
    <n v="971000"/>
    <x v="9"/>
    <x v="0"/>
    <s v="Malang"/>
    <n v="1942000"/>
    <n v="442000"/>
    <n v="22.76"/>
  </r>
  <r>
    <s v="TRX0260"/>
    <s v="P007"/>
    <s v="C004"/>
    <s v="Charles Lim"/>
    <n v="2"/>
    <x v="188"/>
    <s v="SSD Samsung 1TB"/>
    <x v="3"/>
    <s v="Depok"/>
    <n v="1500000"/>
    <n v="1772000"/>
    <x v="4"/>
    <x v="0"/>
    <s v="Medan"/>
    <n v="3544000"/>
    <n v="544000"/>
    <n v="15.35"/>
  </r>
  <r>
    <s v="TRX0261"/>
    <s v="P012"/>
    <s v="C010"/>
    <s v="Budi Santoso"/>
    <n v="11"/>
    <x v="189"/>
    <s v="USB Flash Drive 64GB"/>
    <x v="0"/>
    <s v="Depok"/>
    <n v="80000"/>
    <n v="92000"/>
    <x v="10"/>
    <x v="0"/>
    <s v="Palembang"/>
    <n v="1012000"/>
    <n v="132000"/>
    <n v="13.04"/>
  </r>
  <r>
    <s v="TRX0262"/>
    <s v="P010"/>
    <s v="C009"/>
    <s v="Dewi Lestari"/>
    <n v="10"/>
    <x v="190"/>
    <s v="Headset Gaming"/>
    <x v="4"/>
    <s v="Semarang"/>
    <n v="500000"/>
    <n v="844000"/>
    <x v="12"/>
    <x v="1"/>
    <s v="Makassar"/>
    <n v="8440000"/>
    <n v="3440000"/>
    <n v="40.76"/>
  </r>
  <r>
    <s v="TRX0263"/>
    <s v="P007"/>
    <s v="C011"/>
    <s v="Charles Lim"/>
    <n v="1"/>
    <x v="191"/>
    <s v="SSD Samsung 1TB"/>
    <x v="3"/>
    <s v="Depok"/>
    <n v="1500000"/>
    <n v="1772000"/>
    <x v="5"/>
    <x v="1"/>
    <s v="Jakarta"/>
    <n v="1772000"/>
    <n v="272000"/>
    <n v="15.35"/>
  </r>
  <r>
    <s v="TRX0264"/>
    <s v="P014"/>
    <s v="C005"/>
    <s v="Charles Lim"/>
    <n v="15"/>
    <x v="147"/>
    <s v="Tablet Samsung Galaxy"/>
    <x v="2"/>
    <s v="Depok"/>
    <n v="4500000"/>
    <n v="5522000"/>
    <x v="6"/>
    <x v="1"/>
    <s v="Jakarta"/>
    <n v="82830000"/>
    <n v="15330000"/>
    <n v="18.510000000000002"/>
  </r>
  <r>
    <s v="TRX0265"/>
    <s v="P008"/>
    <s v="C012"/>
    <s v="Fitri Handayani"/>
    <n v="9"/>
    <x v="118"/>
    <s v="RAM DDR4 16GB"/>
    <x v="3"/>
    <s v="Jakarta"/>
    <n v="750000"/>
    <n v="971000"/>
    <x v="9"/>
    <x v="0"/>
    <s v="Malang"/>
    <n v="8739000"/>
    <n v="1989000"/>
    <n v="22.76"/>
  </r>
  <r>
    <s v="TRX0266"/>
    <s v="P006"/>
    <s v="C001"/>
    <s v="Fitri Handayani"/>
    <n v="3"/>
    <x v="69"/>
    <s v="Printer HP LaserJet"/>
    <x v="2"/>
    <s v="Semarang"/>
    <n v="2800000"/>
    <n v="4747000"/>
    <x v="11"/>
    <x v="1"/>
    <s v="Jakarta"/>
    <n v="14241000"/>
    <n v="5841000"/>
    <n v="41.02"/>
  </r>
  <r>
    <s v="TRX0267"/>
    <s v="P016"/>
    <s v="C005"/>
    <s v="Dewi Lestari"/>
    <n v="6"/>
    <x v="58"/>
    <s v="Microphone USB"/>
    <x v="4"/>
    <s v="Jakarta"/>
    <n v="1200000"/>
    <n v="1375000"/>
    <x v="6"/>
    <x v="1"/>
    <s v="Jakarta"/>
    <n v="8250000"/>
    <n v="1050000"/>
    <n v="12.73"/>
  </r>
  <r>
    <s v="TRX0268"/>
    <s v="P001"/>
    <s v="C002"/>
    <s v="Eko Prasetyo"/>
    <n v="7"/>
    <x v="192"/>
    <s v="Laptop Dell XPS 13"/>
    <x v="2"/>
    <s v="Jakarta"/>
    <n v="12000000"/>
    <n v="13963000"/>
    <x v="13"/>
    <x v="1"/>
    <s v="Bandung"/>
    <n v="97741000"/>
    <n v="13741000"/>
    <n v="14.06"/>
  </r>
  <r>
    <s v="TRX0269"/>
    <s v="P004"/>
    <s v="C002"/>
    <s v="Eko Prasetyo"/>
    <n v="12"/>
    <x v="193"/>
    <s v="Monitor LG 24&quot;"/>
    <x v="2"/>
    <s v="Jakarta"/>
    <n v="2000000"/>
    <n v="2533000"/>
    <x v="13"/>
    <x v="1"/>
    <s v="Bandung"/>
    <n v="30396000"/>
    <n v="6396000"/>
    <n v="21.04"/>
  </r>
  <r>
    <s v="TRX0270"/>
    <s v="P010"/>
    <s v="C001"/>
    <s v="Budi Santoso"/>
    <n v="10"/>
    <x v="194"/>
    <s v="Headset Gaming"/>
    <x v="4"/>
    <s v="Semarang"/>
    <n v="500000"/>
    <n v="844000"/>
    <x v="11"/>
    <x v="1"/>
    <s v="Jakarta"/>
    <n v="8440000"/>
    <n v="3440000"/>
    <n v="40.76"/>
  </r>
  <r>
    <s v="TRX0271"/>
    <s v="P005"/>
    <s v="C007"/>
    <s v="Eko Prasetyo"/>
    <n v="8"/>
    <x v="195"/>
    <s v="Webcam Logitech"/>
    <x v="0"/>
    <s v="Semarang"/>
    <n v="350000"/>
    <n v="626000"/>
    <x v="14"/>
    <x v="1"/>
    <s v="Yogyakarta"/>
    <n v="5008000"/>
    <n v="2208000"/>
    <n v="44.09"/>
  </r>
  <r>
    <s v="TRX0272"/>
    <s v="P008"/>
    <s v="C008"/>
    <s v="Eko Prasetyo"/>
    <n v="4"/>
    <x v="90"/>
    <s v="RAM DDR4 16GB"/>
    <x v="3"/>
    <s v="Jakarta"/>
    <n v="750000"/>
    <n v="971000"/>
    <x v="7"/>
    <x v="0"/>
    <s v="Denpasar"/>
    <n v="3884000"/>
    <n v="884000"/>
    <n v="22.76"/>
  </r>
  <r>
    <s v="TRX0273"/>
    <s v="P015"/>
    <s v="C006"/>
    <s v="Dewi Lestari"/>
    <n v="2"/>
    <x v="196"/>
    <s v="Power Bank 20000mAh"/>
    <x v="0"/>
    <s v="Depok"/>
    <n v="300000"/>
    <n v="355000"/>
    <x v="0"/>
    <x v="0"/>
    <s v="Semarang"/>
    <n v="710000"/>
    <n v="110000"/>
    <n v="15.49"/>
  </r>
  <r>
    <s v="TRX0274"/>
    <s v="P015"/>
    <s v="C004"/>
    <s v="Eko Prasetyo"/>
    <n v="10"/>
    <x v="197"/>
    <s v="Power Bank 20000mAh"/>
    <x v="0"/>
    <s v="Depok"/>
    <n v="300000"/>
    <n v="355000"/>
    <x v="4"/>
    <x v="0"/>
    <s v="Medan"/>
    <n v="3550000"/>
    <n v="550000"/>
    <n v="15.49"/>
  </r>
  <r>
    <s v="TRX0275"/>
    <s v="P018"/>
    <s v="C010"/>
    <s v="Charles Lim"/>
    <n v="4"/>
    <x v="113"/>
    <s v="Motherboard ASUS"/>
    <x v="3"/>
    <s v="Jakarta"/>
    <n v="2500000"/>
    <n v="3080000"/>
    <x v="10"/>
    <x v="0"/>
    <s v="Palembang"/>
    <n v="12320000"/>
    <n v="2320000"/>
    <n v="18.829999999999998"/>
  </r>
  <r>
    <s v="TRX0276"/>
    <s v="P005"/>
    <s v="C004"/>
    <s v="Charles Lim"/>
    <n v="2"/>
    <x v="187"/>
    <s v="Webcam Logitech"/>
    <x v="0"/>
    <s v="Semarang"/>
    <n v="350000"/>
    <n v="626000"/>
    <x v="4"/>
    <x v="0"/>
    <s v="Medan"/>
    <n v="1252000"/>
    <n v="552000"/>
    <n v="44.09"/>
  </r>
  <r>
    <s v="TRX0277"/>
    <s v="P010"/>
    <s v="C011"/>
    <s v="Budi Santoso"/>
    <n v="2"/>
    <x v="198"/>
    <s v="Headset Gaming"/>
    <x v="4"/>
    <s v="Semarang"/>
    <n v="500000"/>
    <n v="844000"/>
    <x v="5"/>
    <x v="1"/>
    <s v="Jakarta"/>
    <n v="1688000"/>
    <n v="688000"/>
    <n v="40.76"/>
  </r>
  <r>
    <s v="TRX0278"/>
    <s v="P008"/>
    <s v="C006"/>
    <s v="Ani Wijaya"/>
    <n v="10"/>
    <x v="199"/>
    <s v="RAM DDR4 16GB"/>
    <x v="3"/>
    <s v="Jakarta"/>
    <n v="750000"/>
    <n v="971000"/>
    <x v="0"/>
    <x v="0"/>
    <s v="Semarang"/>
    <n v="9710000"/>
    <n v="2210000"/>
    <n v="22.76"/>
  </r>
  <r>
    <s v="TRX0279"/>
    <s v="P015"/>
    <s v="C006"/>
    <s v="Fitri Handayani"/>
    <n v="2"/>
    <x v="200"/>
    <s v="Power Bank 20000mAh"/>
    <x v="0"/>
    <s v="Depok"/>
    <n v="300000"/>
    <n v="355000"/>
    <x v="0"/>
    <x v="0"/>
    <s v="Semarang"/>
    <n v="710000"/>
    <n v="110000"/>
    <n v="15.49"/>
  </r>
  <r>
    <s v="TRX0280"/>
    <s v="P012"/>
    <s v="C015"/>
    <s v="Eko Prasetyo"/>
    <n v="9"/>
    <x v="69"/>
    <s v="USB Flash Drive 64GB"/>
    <x v="0"/>
    <s v="Depok"/>
    <n v="80000"/>
    <n v="92000"/>
    <x v="8"/>
    <x v="1"/>
    <s v="Tangerang"/>
    <n v="828000"/>
    <n v="108000"/>
    <n v="13.04"/>
  </r>
  <r>
    <s v="TRX0281"/>
    <s v="P018"/>
    <s v="C012"/>
    <s v="Dewi Lestari"/>
    <n v="9"/>
    <x v="153"/>
    <s v="Motherboard ASUS"/>
    <x v="3"/>
    <s v="Jakarta"/>
    <n v="2500000"/>
    <n v="3080000"/>
    <x v="9"/>
    <x v="0"/>
    <s v="Malang"/>
    <n v="27720000"/>
    <n v="5220000"/>
    <n v="18.829999999999998"/>
  </r>
  <r>
    <s v="TRX0282"/>
    <s v="P002"/>
    <s v="C008"/>
    <s v="Dewi Lestari"/>
    <n v="12"/>
    <x v="201"/>
    <s v="Mouse Wireless"/>
    <x v="0"/>
    <s v="Semarang"/>
    <n v="100000"/>
    <n v="169000"/>
    <x v="7"/>
    <x v="0"/>
    <s v="Denpasar"/>
    <n v="2028000"/>
    <n v="828000"/>
    <n v="40.83"/>
  </r>
  <r>
    <s v="TRX0283"/>
    <s v="P015"/>
    <s v="C007"/>
    <s v="Fitri Handayani"/>
    <n v="10"/>
    <x v="202"/>
    <s v="Power Bank 20000mAh"/>
    <x v="0"/>
    <s v="Depok"/>
    <n v="300000"/>
    <n v="355000"/>
    <x v="14"/>
    <x v="1"/>
    <s v="Yogyakarta"/>
    <n v="3550000"/>
    <n v="550000"/>
    <n v="15.49"/>
  </r>
  <r>
    <s v="TRX0284"/>
    <s v="P013"/>
    <s v="C002"/>
    <s v="Ani Wijaya"/>
    <n v="10"/>
    <x v="203"/>
    <s v="Laptop Asus ROG"/>
    <x v="2"/>
    <s v="Depok"/>
    <n v="18000000"/>
    <n v="27603000"/>
    <x v="13"/>
    <x v="1"/>
    <s v="Bandung"/>
    <n v="276030000"/>
    <n v="96030000"/>
    <n v="34.79"/>
  </r>
  <r>
    <s v="TRX0285"/>
    <s v="P012"/>
    <s v="C010"/>
    <s v="Eko Prasetyo"/>
    <n v="14"/>
    <x v="72"/>
    <s v="USB Flash Drive 64GB"/>
    <x v="0"/>
    <s v="Depok"/>
    <n v="80000"/>
    <n v="92000"/>
    <x v="10"/>
    <x v="0"/>
    <s v="Palembang"/>
    <n v="1288000"/>
    <n v="168000"/>
    <n v="13.04"/>
  </r>
  <r>
    <s v="TRX0286"/>
    <s v="P012"/>
    <s v="C003"/>
    <s v="Eko Prasetyo"/>
    <n v="13"/>
    <x v="16"/>
    <s v="USB Flash Drive 64GB"/>
    <x v="0"/>
    <s v="Depok"/>
    <n v="80000"/>
    <n v="92000"/>
    <x v="3"/>
    <x v="0"/>
    <s v="Surabaya"/>
    <n v="1196000"/>
    <n v="156000"/>
    <n v="13.04"/>
  </r>
  <r>
    <s v="TRX0287"/>
    <s v="P005"/>
    <s v="C007"/>
    <s v="Dewi Lestari"/>
    <n v="15"/>
    <x v="204"/>
    <s v="Webcam Logitech"/>
    <x v="0"/>
    <s v="Semarang"/>
    <n v="350000"/>
    <n v="626000"/>
    <x v="14"/>
    <x v="1"/>
    <s v="Yogyakarta"/>
    <n v="9390000"/>
    <n v="4140000"/>
    <n v="44.09"/>
  </r>
  <r>
    <s v="TRX0288"/>
    <s v="P012"/>
    <s v="C015"/>
    <s v="Fitri Handayani"/>
    <n v="15"/>
    <x v="168"/>
    <s v="USB Flash Drive 64GB"/>
    <x v="0"/>
    <s v="Depok"/>
    <n v="80000"/>
    <n v="92000"/>
    <x v="8"/>
    <x v="1"/>
    <s v="Tangerang"/>
    <n v="1380000"/>
    <n v="180000"/>
    <n v="13.04"/>
  </r>
  <r>
    <s v="TRX0289"/>
    <s v="P017"/>
    <s v="C011"/>
    <s v="Dewi Lestari"/>
    <n v="10"/>
    <x v="205"/>
    <s v="Graphics Card RTX 3060"/>
    <x v="3"/>
    <s v="Depok"/>
    <n v="5000000"/>
    <n v="7546000"/>
    <x v="5"/>
    <x v="1"/>
    <s v="Jakarta"/>
    <n v="75460000"/>
    <n v="25460000"/>
    <n v="33.74"/>
  </r>
  <r>
    <s v="TRX0290"/>
    <s v="P010"/>
    <s v="C015"/>
    <s v="Dewi Lestari"/>
    <n v="5"/>
    <x v="17"/>
    <s v="Headset Gaming"/>
    <x v="4"/>
    <s v="Semarang"/>
    <n v="500000"/>
    <n v="844000"/>
    <x v="8"/>
    <x v="1"/>
    <s v="Tangerang"/>
    <n v="4220000"/>
    <n v="1720000"/>
    <n v="40.76"/>
  </r>
  <r>
    <s v="TRX0291"/>
    <s v="P019"/>
    <s v="C004"/>
    <s v="Dewi Lestari"/>
    <n v="4"/>
    <x v="206"/>
    <s v="Cooling Fan RGB"/>
    <x v="3"/>
    <s v="Semarang"/>
    <n v="400000"/>
    <n v="623000"/>
    <x v="4"/>
    <x v="0"/>
    <s v="Medan"/>
    <n v="2492000"/>
    <n v="892000"/>
    <n v="35.79"/>
  </r>
  <r>
    <s v="TRX0292"/>
    <s v="P012"/>
    <s v="C007"/>
    <s v="Budi Santoso"/>
    <n v="14"/>
    <x v="207"/>
    <s v="USB Flash Drive 64GB"/>
    <x v="0"/>
    <s v="Depok"/>
    <n v="80000"/>
    <n v="92000"/>
    <x v="14"/>
    <x v="1"/>
    <s v="Yogyakarta"/>
    <n v="1288000"/>
    <n v="168000"/>
    <n v="13.04"/>
  </r>
  <r>
    <s v="TRX0293"/>
    <s v="P002"/>
    <s v="C004"/>
    <s v="Dewi Lestari"/>
    <n v="6"/>
    <x v="48"/>
    <s v="Mouse Wireless"/>
    <x v="0"/>
    <s v="Semarang"/>
    <n v="100000"/>
    <n v="169000"/>
    <x v="4"/>
    <x v="0"/>
    <s v="Medan"/>
    <n v="1014000"/>
    <n v="414000"/>
    <n v="40.83"/>
  </r>
  <r>
    <s v="TRX0294"/>
    <s v="P007"/>
    <s v="C009"/>
    <s v="Eko Prasetyo"/>
    <n v="8"/>
    <x v="208"/>
    <s v="SSD Samsung 1TB"/>
    <x v="3"/>
    <s v="Depok"/>
    <n v="1500000"/>
    <n v="1772000"/>
    <x v="12"/>
    <x v="1"/>
    <s v="Makassar"/>
    <n v="14176000"/>
    <n v="2176000"/>
    <n v="15.35"/>
  </r>
  <r>
    <s v="TRX0295"/>
    <s v="P010"/>
    <s v="C009"/>
    <s v="Budi Santoso"/>
    <n v="15"/>
    <x v="209"/>
    <s v="Headset Gaming"/>
    <x v="4"/>
    <s v="Semarang"/>
    <n v="500000"/>
    <n v="844000"/>
    <x v="12"/>
    <x v="1"/>
    <s v="Makassar"/>
    <n v="12660000"/>
    <n v="5160000"/>
    <n v="40.76"/>
  </r>
  <r>
    <s v="TRX0296"/>
    <s v="P020"/>
    <s v="C007"/>
    <s v="Charles Lim"/>
    <n v="2"/>
    <x v="210"/>
    <s v="Gaming Chair"/>
    <x v="1"/>
    <s v="Semarang"/>
    <n v="2000000"/>
    <n v="3382000"/>
    <x v="14"/>
    <x v="1"/>
    <s v="Yogyakarta"/>
    <n v="6764000"/>
    <n v="2764000"/>
    <n v="40.86"/>
  </r>
  <r>
    <s v="TRX0297"/>
    <s v="P006"/>
    <s v="C009"/>
    <s v="Charles Lim"/>
    <n v="10"/>
    <x v="105"/>
    <s v="Printer HP LaserJet"/>
    <x v="2"/>
    <s v="Semarang"/>
    <n v="2800000"/>
    <n v="4747000"/>
    <x v="12"/>
    <x v="1"/>
    <s v="Makassar"/>
    <n v="47470000"/>
    <n v="19470000"/>
    <n v="41.02"/>
  </r>
  <r>
    <s v="TRX0298"/>
    <s v="P002"/>
    <s v="C011"/>
    <s v="Fitri Handayani"/>
    <n v="4"/>
    <x v="58"/>
    <s v="Mouse Wireless"/>
    <x v="0"/>
    <s v="Semarang"/>
    <n v="100000"/>
    <n v="169000"/>
    <x v="5"/>
    <x v="1"/>
    <s v="Jakarta"/>
    <n v="676000"/>
    <n v="276000"/>
    <n v="40.83"/>
  </r>
  <r>
    <s v="TRX0299"/>
    <s v="P006"/>
    <s v="C015"/>
    <s v="Eko Prasetyo"/>
    <n v="5"/>
    <x v="211"/>
    <s v="Printer HP LaserJet"/>
    <x v="2"/>
    <s v="Semarang"/>
    <n v="2800000"/>
    <n v="4747000"/>
    <x v="8"/>
    <x v="1"/>
    <s v="Tangerang"/>
    <n v="23735000"/>
    <n v="9735000"/>
    <n v="41.02"/>
  </r>
  <r>
    <s v="TRX0300"/>
    <s v="P007"/>
    <s v="C001"/>
    <s v="Ani Wijaya"/>
    <n v="9"/>
    <x v="39"/>
    <s v="SSD Samsung 1TB"/>
    <x v="3"/>
    <s v="Depok"/>
    <n v="1500000"/>
    <n v="1772000"/>
    <x v="11"/>
    <x v="1"/>
    <s v="Jakarta"/>
    <n v="15948000"/>
    <n v="2448000"/>
    <n v="15.35"/>
  </r>
  <r>
    <s v="TRX0301"/>
    <s v="P002"/>
    <s v="C003"/>
    <s v="Eko Prasetyo"/>
    <n v="6"/>
    <x v="212"/>
    <s v="Mouse Wireless"/>
    <x v="0"/>
    <s v="Semarang"/>
    <n v="100000"/>
    <n v="169000"/>
    <x v="3"/>
    <x v="0"/>
    <s v="Surabaya"/>
    <n v="1014000"/>
    <n v="414000"/>
    <n v="40.83"/>
  </r>
  <r>
    <s v="TRX0302"/>
    <s v="P019"/>
    <s v="C009"/>
    <s v="Ani Wijaya"/>
    <n v="11"/>
    <x v="213"/>
    <s v="Cooling Fan RGB"/>
    <x v="3"/>
    <s v="Semarang"/>
    <n v="400000"/>
    <n v="623000"/>
    <x v="12"/>
    <x v="1"/>
    <s v="Makassar"/>
    <n v="6853000"/>
    <n v="2453000"/>
    <n v="35.79"/>
  </r>
  <r>
    <s v="TRX0303"/>
    <s v="P006"/>
    <s v="C013"/>
    <s v="Ani Wijaya"/>
    <n v="7"/>
    <x v="89"/>
    <s v="Printer HP LaserJet"/>
    <x v="2"/>
    <s v="Semarang"/>
    <n v="2800000"/>
    <n v="4747000"/>
    <x v="2"/>
    <x v="1"/>
    <s v="Bandung"/>
    <n v="33229000"/>
    <n v="13629000"/>
    <n v="41.02"/>
  </r>
  <r>
    <s v="TRX0304"/>
    <s v="P014"/>
    <s v="C003"/>
    <s v="Budi Santoso"/>
    <n v="3"/>
    <x v="100"/>
    <s v="Tablet Samsung Galaxy"/>
    <x v="2"/>
    <s v="Depok"/>
    <n v="4500000"/>
    <n v="5522000"/>
    <x v="3"/>
    <x v="0"/>
    <s v="Surabaya"/>
    <n v="16566000"/>
    <n v="3066000"/>
    <n v="18.510000000000002"/>
  </r>
  <r>
    <s v="TRX0305"/>
    <s v="P002"/>
    <s v="C001"/>
    <s v="Charles Lim"/>
    <n v="3"/>
    <x v="214"/>
    <s v="Mouse Wireless"/>
    <x v="0"/>
    <s v="Semarang"/>
    <n v="100000"/>
    <n v="169000"/>
    <x v="11"/>
    <x v="1"/>
    <s v="Jakarta"/>
    <n v="507000"/>
    <n v="207000"/>
    <n v="40.83"/>
  </r>
  <r>
    <s v="TRX0306"/>
    <s v="P005"/>
    <s v="C001"/>
    <s v="Dewi Lestari"/>
    <n v="13"/>
    <x v="215"/>
    <s v="Webcam Logitech"/>
    <x v="0"/>
    <s v="Semarang"/>
    <n v="350000"/>
    <n v="626000"/>
    <x v="11"/>
    <x v="1"/>
    <s v="Jakarta"/>
    <n v="8138000"/>
    <n v="3588000"/>
    <n v="44.09"/>
  </r>
  <r>
    <s v="TRX0307"/>
    <s v="P009"/>
    <s v="C002"/>
    <s v="Eko Prasetyo"/>
    <n v="7"/>
    <x v="46"/>
    <s v="Speaker Bluetooth"/>
    <x v="4"/>
    <s v="Semarang"/>
    <n v="250000"/>
    <n v="354000"/>
    <x v="13"/>
    <x v="1"/>
    <s v="Bandung"/>
    <n v="2478000"/>
    <n v="728000"/>
    <n v="29.38"/>
  </r>
  <r>
    <s v="TRX0308"/>
    <s v="P005"/>
    <s v="C009"/>
    <s v="Dewi Lestari"/>
    <n v="12"/>
    <x v="49"/>
    <s v="Webcam Logitech"/>
    <x v="0"/>
    <s v="Semarang"/>
    <n v="350000"/>
    <n v="626000"/>
    <x v="12"/>
    <x v="1"/>
    <s v="Makassar"/>
    <n v="7512000"/>
    <n v="3312000"/>
    <n v="44.09"/>
  </r>
  <r>
    <s v="TRX0309"/>
    <s v="P009"/>
    <s v="C011"/>
    <s v="Ani Wijaya"/>
    <n v="13"/>
    <x v="135"/>
    <s v="Speaker Bluetooth"/>
    <x v="4"/>
    <s v="Semarang"/>
    <n v="250000"/>
    <n v="354000"/>
    <x v="5"/>
    <x v="1"/>
    <s v="Jakarta"/>
    <n v="4602000"/>
    <n v="1352000"/>
    <n v="29.38"/>
  </r>
  <r>
    <s v="TRX0310"/>
    <s v="P005"/>
    <s v="C002"/>
    <s v="Dewi Lestari"/>
    <n v="13"/>
    <x v="216"/>
    <s v="Webcam Logitech"/>
    <x v="0"/>
    <s v="Semarang"/>
    <n v="350000"/>
    <n v="626000"/>
    <x v="13"/>
    <x v="1"/>
    <s v="Bandung"/>
    <n v="8138000"/>
    <n v="3588000"/>
    <n v="44.09"/>
  </r>
  <r>
    <s v="TRX0311"/>
    <s v="P012"/>
    <s v="C002"/>
    <s v="Dewi Lestari"/>
    <n v="5"/>
    <x v="90"/>
    <s v="USB Flash Drive 64GB"/>
    <x v="0"/>
    <s v="Depok"/>
    <n v="80000"/>
    <n v="92000"/>
    <x v="13"/>
    <x v="1"/>
    <s v="Bandung"/>
    <n v="460000"/>
    <n v="60000"/>
    <n v="13.04"/>
  </r>
  <r>
    <s v="TRX0312"/>
    <s v="P007"/>
    <s v="C005"/>
    <s v="Charles Lim"/>
    <n v="15"/>
    <x v="67"/>
    <s v="SSD Samsung 1TB"/>
    <x v="3"/>
    <s v="Depok"/>
    <n v="1500000"/>
    <n v="1772000"/>
    <x v="6"/>
    <x v="1"/>
    <s v="Jakarta"/>
    <n v="26580000"/>
    <n v="4080000"/>
    <n v="15.35"/>
  </r>
  <r>
    <s v="TRX0313"/>
    <s v="P010"/>
    <s v="C013"/>
    <s v="Fitri Handayani"/>
    <n v="9"/>
    <x v="179"/>
    <s v="Headset Gaming"/>
    <x v="4"/>
    <s v="Semarang"/>
    <n v="500000"/>
    <n v="844000"/>
    <x v="2"/>
    <x v="1"/>
    <s v="Bandung"/>
    <n v="7596000"/>
    <n v="3096000"/>
    <n v="40.76"/>
  </r>
  <r>
    <s v="TRX0314"/>
    <s v="P013"/>
    <s v="C015"/>
    <s v="Eko Prasetyo"/>
    <n v="3"/>
    <x v="54"/>
    <s v="Laptop Asus ROG"/>
    <x v="2"/>
    <s v="Depok"/>
    <n v="18000000"/>
    <n v="27603000"/>
    <x v="8"/>
    <x v="1"/>
    <s v="Tangerang"/>
    <n v="82809000"/>
    <n v="28809000"/>
    <n v="34.79"/>
  </r>
  <r>
    <s v="TRX0315"/>
    <s v="P014"/>
    <s v="C003"/>
    <s v="Eko Prasetyo"/>
    <n v="11"/>
    <x v="217"/>
    <s v="Tablet Samsung Galaxy"/>
    <x v="2"/>
    <s v="Depok"/>
    <n v="4500000"/>
    <n v="5522000"/>
    <x v="3"/>
    <x v="0"/>
    <s v="Surabaya"/>
    <n v="60742000"/>
    <n v="11242000"/>
    <n v="18.510000000000002"/>
  </r>
  <r>
    <s v="TRX0316"/>
    <s v="P003"/>
    <s v="C013"/>
    <s v="Budi Santoso"/>
    <n v="6"/>
    <x v="91"/>
    <s v="Keyboard Mechanical"/>
    <x v="0"/>
    <s v="Depok"/>
    <n v="650000"/>
    <n v="741000"/>
    <x v="2"/>
    <x v="1"/>
    <s v="Bandung"/>
    <n v="4446000"/>
    <n v="546000"/>
    <n v="12.28"/>
  </r>
  <r>
    <s v="TRX0317"/>
    <s v="P009"/>
    <s v="C007"/>
    <s v="Ani Wijaya"/>
    <n v="4"/>
    <x v="24"/>
    <s v="Speaker Bluetooth"/>
    <x v="4"/>
    <s v="Semarang"/>
    <n v="250000"/>
    <n v="354000"/>
    <x v="14"/>
    <x v="1"/>
    <s v="Yogyakarta"/>
    <n v="1416000"/>
    <n v="416000"/>
    <n v="29.38"/>
  </r>
  <r>
    <s v="TRX0318"/>
    <s v="P010"/>
    <s v="C013"/>
    <s v="Dewi Lestari"/>
    <n v="6"/>
    <x v="218"/>
    <s v="Headset Gaming"/>
    <x v="4"/>
    <s v="Semarang"/>
    <n v="500000"/>
    <n v="844000"/>
    <x v="2"/>
    <x v="1"/>
    <s v="Bandung"/>
    <n v="5064000"/>
    <n v="2064000"/>
    <n v="40.76"/>
  </r>
  <r>
    <s v="TRX0319"/>
    <s v="P015"/>
    <s v="C008"/>
    <s v="Eko Prasetyo"/>
    <n v="14"/>
    <x v="65"/>
    <s v="Power Bank 20000mAh"/>
    <x v="0"/>
    <s v="Depok"/>
    <n v="300000"/>
    <n v="355000"/>
    <x v="7"/>
    <x v="0"/>
    <s v="Denpasar"/>
    <n v="4970000"/>
    <n v="770000"/>
    <n v="15.49"/>
  </r>
  <r>
    <s v="TRX0320"/>
    <s v="P013"/>
    <s v="C005"/>
    <s v="Ani Wijaya"/>
    <n v="4"/>
    <x v="219"/>
    <s v="Laptop Asus ROG"/>
    <x v="2"/>
    <s v="Depok"/>
    <n v="18000000"/>
    <n v="27603000"/>
    <x v="6"/>
    <x v="1"/>
    <s v="Jakarta"/>
    <n v="110412000"/>
    <n v="38412000"/>
    <n v="34.79"/>
  </r>
  <r>
    <s v="TRX0321"/>
    <s v="P008"/>
    <s v="C012"/>
    <s v="Charles Lim"/>
    <n v="3"/>
    <x v="191"/>
    <s v="RAM DDR4 16GB"/>
    <x v="3"/>
    <s v="Jakarta"/>
    <n v="750000"/>
    <n v="971000"/>
    <x v="9"/>
    <x v="0"/>
    <s v="Malang"/>
    <n v="2913000"/>
    <n v="663000"/>
    <n v="22.76"/>
  </r>
  <r>
    <s v="TRX0322"/>
    <s v="P004"/>
    <s v="C011"/>
    <s v="Dewi Lestari"/>
    <n v="9"/>
    <x v="83"/>
    <s v="Monitor LG 24&quot;"/>
    <x v="2"/>
    <s v="Jakarta"/>
    <n v="2000000"/>
    <n v="2533000"/>
    <x v="5"/>
    <x v="1"/>
    <s v="Jakarta"/>
    <n v="22797000"/>
    <n v="4797000"/>
    <n v="21.04"/>
  </r>
  <r>
    <s v="TRX0323"/>
    <s v="P006"/>
    <s v="C005"/>
    <s v="Dewi Lestari"/>
    <n v="15"/>
    <x v="220"/>
    <s v="Printer HP LaserJet"/>
    <x v="2"/>
    <s v="Semarang"/>
    <n v="2800000"/>
    <n v="4747000"/>
    <x v="6"/>
    <x v="1"/>
    <s v="Jakarta"/>
    <n v="71205000"/>
    <n v="29205000"/>
    <n v="41.02"/>
  </r>
  <r>
    <s v="TRX0324"/>
    <s v="P011"/>
    <s v="C012"/>
    <s v="Eko Prasetyo"/>
    <n v="5"/>
    <x v="221"/>
    <s v="External HDD 2TB"/>
    <x v="3"/>
    <s v="Semarang"/>
    <n v="950000"/>
    <n v="1649000"/>
    <x v="9"/>
    <x v="0"/>
    <s v="Malang"/>
    <n v="8245000"/>
    <n v="3495000"/>
    <n v="42.39"/>
  </r>
  <r>
    <s v="TRX0325"/>
    <s v="P006"/>
    <s v="C007"/>
    <s v="Budi Santoso"/>
    <n v="14"/>
    <x v="222"/>
    <s v="Printer HP LaserJet"/>
    <x v="2"/>
    <s v="Semarang"/>
    <n v="2800000"/>
    <n v="4747000"/>
    <x v="14"/>
    <x v="1"/>
    <s v="Yogyakarta"/>
    <n v="66458000"/>
    <n v="27258000"/>
    <n v="41.02"/>
  </r>
  <r>
    <s v="TRX0326"/>
    <s v="P019"/>
    <s v="C013"/>
    <s v="Dewi Lestari"/>
    <n v="9"/>
    <x v="127"/>
    <s v="Cooling Fan RGB"/>
    <x v="3"/>
    <s v="Semarang"/>
    <n v="400000"/>
    <n v="623000"/>
    <x v="2"/>
    <x v="1"/>
    <s v="Bandung"/>
    <n v="5607000"/>
    <n v="2007000"/>
    <n v="35.79"/>
  </r>
  <r>
    <s v="TRX0327"/>
    <s v="P017"/>
    <s v="C005"/>
    <s v="Budi Santoso"/>
    <n v="4"/>
    <x v="223"/>
    <s v="Graphics Card RTX 3060"/>
    <x v="3"/>
    <s v="Depok"/>
    <n v="5000000"/>
    <n v="7546000"/>
    <x v="6"/>
    <x v="1"/>
    <s v="Jakarta"/>
    <n v="30184000"/>
    <n v="10184000"/>
    <n v="33.74"/>
  </r>
  <r>
    <s v="TRX0328"/>
    <s v="P001"/>
    <s v="C010"/>
    <s v="Eko Prasetyo"/>
    <n v="14"/>
    <x v="129"/>
    <s v="Laptop Dell XPS 13"/>
    <x v="2"/>
    <s v="Jakarta"/>
    <n v="12000000"/>
    <n v="13963000"/>
    <x v="10"/>
    <x v="0"/>
    <s v="Palembang"/>
    <n v="195482000"/>
    <n v="27482000"/>
    <n v="14.06"/>
  </r>
  <r>
    <s v="TRX0329"/>
    <s v="P019"/>
    <s v="C001"/>
    <s v="Budi Santoso"/>
    <n v="13"/>
    <x v="108"/>
    <s v="Cooling Fan RGB"/>
    <x v="3"/>
    <s v="Semarang"/>
    <n v="400000"/>
    <n v="623000"/>
    <x v="11"/>
    <x v="1"/>
    <s v="Jakarta"/>
    <n v="8099000"/>
    <n v="2899000"/>
    <n v="35.79"/>
  </r>
  <r>
    <s v="TRX0330"/>
    <s v="P020"/>
    <s v="C010"/>
    <s v="Fitri Handayani"/>
    <n v="15"/>
    <x v="158"/>
    <s v="Gaming Chair"/>
    <x v="1"/>
    <s v="Semarang"/>
    <n v="2000000"/>
    <n v="3382000"/>
    <x v="10"/>
    <x v="0"/>
    <s v="Palembang"/>
    <n v="50730000"/>
    <n v="20730000"/>
    <n v="40.86"/>
  </r>
  <r>
    <s v="TRX0331"/>
    <s v="P014"/>
    <s v="C012"/>
    <s v="Fitri Handayani"/>
    <n v="5"/>
    <x v="174"/>
    <s v="Tablet Samsung Galaxy"/>
    <x v="2"/>
    <s v="Depok"/>
    <n v="4500000"/>
    <n v="5522000"/>
    <x v="9"/>
    <x v="0"/>
    <s v="Malang"/>
    <n v="27610000"/>
    <n v="5110000"/>
    <n v="18.510000000000002"/>
  </r>
  <r>
    <s v="TRX0332"/>
    <s v="P013"/>
    <s v="C014"/>
    <s v="Dewi Lestari"/>
    <n v="2"/>
    <x v="29"/>
    <s v="Laptop Asus ROG"/>
    <x v="2"/>
    <s v="Depok"/>
    <n v="18000000"/>
    <n v="27603000"/>
    <x v="1"/>
    <x v="0"/>
    <s v="Solo"/>
    <n v="55206000"/>
    <n v="19206000"/>
    <n v="34.79"/>
  </r>
  <r>
    <s v="TRX0333"/>
    <s v="P002"/>
    <s v="C007"/>
    <s v="Budi Santoso"/>
    <n v="14"/>
    <x v="224"/>
    <s v="Mouse Wireless"/>
    <x v="0"/>
    <s v="Semarang"/>
    <n v="100000"/>
    <n v="169000"/>
    <x v="14"/>
    <x v="1"/>
    <s v="Yogyakarta"/>
    <n v="2366000"/>
    <n v="966000"/>
    <n v="40.83"/>
  </r>
  <r>
    <s v="TRX0334"/>
    <s v="P017"/>
    <s v="C002"/>
    <s v="Fitri Handayani"/>
    <n v="11"/>
    <x v="225"/>
    <s v="Graphics Card RTX 3060"/>
    <x v="3"/>
    <s v="Depok"/>
    <n v="5000000"/>
    <n v="7546000"/>
    <x v="13"/>
    <x v="1"/>
    <s v="Bandung"/>
    <n v="83006000"/>
    <n v="28006000"/>
    <n v="33.74"/>
  </r>
  <r>
    <s v="TRX0335"/>
    <s v="P001"/>
    <s v="C013"/>
    <s v="Dewi Lestari"/>
    <n v="3"/>
    <x v="54"/>
    <s v="Laptop Dell XPS 13"/>
    <x v="2"/>
    <s v="Jakarta"/>
    <n v="12000000"/>
    <n v="13963000"/>
    <x v="2"/>
    <x v="1"/>
    <s v="Bandung"/>
    <n v="41889000"/>
    <n v="5889000"/>
    <n v="14.06"/>
  </r>
  <r>
    <s v="TRX0336"/>
    <s v="P002"/>
    <s v="C006"/>
    <s v="Fitri Handayani"/>
    <n v="10"/>
    <x v="215"/>
    <s v="Mouse Wireless"/>
    <x v="0"/>
    <s v="Semarang"/>
    <n v="100000"/>
    <n v="169000"/>
    <x v="0"/>
    <x v="0"/>
    <s v="Semarang"/>
    <n v="1690000"/>
    <n v="690000"/>
    <n v="40.83"/>
  </r>
  <r>
    <s v="TRX0337"/>
    <s v="P006"/>
    <s v="C008"/>
    <s v="Ani Wijaya"/>
    <n v="3"/>
    <x v="110"/>
    <s v="Printer HP LaserJet"/>
    <x v="2"/>
    <s v="Semarang"/>
    <n v="2800000"/>
    <n v="4747000"/>
    <x v="7"/>
    <x v="0"/>
    <s v="Denpasar"/>
    <n v="14241000"/>
    <n v="5841000"/>
    <n v="41.02"/>
  </r>
  <r>
    <s v="TRX0338"/>
    <s v="P008"/>
    <s v="C014"/>
    <s v="Ani Wijaya"/>
    <n v="3"/>
    <x v="44"/>
    <s v="RAM DDR4 16GB"/>
    <x v="3"/>
    <s v="Jakarta"/>
    <n v="750000"/>
    <n v="971000"/>
    <x v="1"/>
    <x v="0"/>
    <s v="Solo"/>
    <n v="2913000"/>
    <n v="663000"/>
    <n v="22.76"/>
  </r>
  <r>
    <s v="TRX0339"/>
    <s v="P014"/>
    <s v="C006"/>
    <s v="Budi Santoso"/>
    <n v="3"/>
    <x v="226"/>
    <s v="Tablet Samsung Galaxy"/>
    <x v="2"/>
    <s v="Depok"/>
    <n v="4500000"/>
    <n v="5522000"/>
    <x v="0"/>
    <x v="0"/>
    <s v="Semarang"/>
    <n v="16566000"/>
    <n v="3066000"/>
    <n v="18.510000000000002"/>
  </r>
  <r>
    <s v="TRX0340"/>
    <s v="P018"/>
    <s v="C012"/>
    <s v="Charles Lim"/>
    <n v="6"/>
    <x v="15"/>
    <s v="Motherboard ASUS"/>
    <x v="3"/>
    <s v="Jakarta"/>
    <n v="2500000"/>
    <n v="3080000"/>
    <x v="9"/>
    <x v="0"/>
    <s v="Malang"/>
    <n v="18480000"/>
    <n v="3480000"/>
    <n v="18.829999999999998"/>
  </r>
  <r>
    <s v="TRX0341"/>
    <s v="P011"/>
    <s v="C012"/>
    <s v="Budi Santoso"/>
    <n v="14"/>
    <x v="227"/>
    <s v="External HDD 2TB"/>
    <x v="3"/>
    <s v="Semarang"/>
    <n v="950000"/>
    <n v="1649000"/>
    <x v="9"/>
    <x v="0"/>
    <s v="Malang"/>
    <n v="23086000"/>
    <n v="9786000"/>
    <n v="42.39"/>
  </r>
  <r>
    <s v="TRX0342"/>
    <s v="P016"/>
    <s v="C007"/>
    <s v="Fitri Handayani"/>
    <n v="9"/>
    <x v="53"/>
    <s v="Microphone USB"/>
    <x v="4"/>
    <s v="Jakarta"/>
    <n v="1200000"/>
    <n v="1375000"/>
    <x v="14"/>
    <x v="1"/>
    <s v="Yogyakarta"/>
    <n v="12375000"/>
    <n v="1575000"/>
    <n v="12.73"/>
  </r>
  <r>
    <s v="TRX0343"/>
    <s v="P019"/>
    <s v="C008"/>
    <s v="Dewi Lestari"/>
    <n v="11"/>
    <x v="228"/>
    <s v="Cooling Fan RGB"/>
    <x v="3"/>
    <s v="Semarang"/>
    <n v="400000"/>
    <n v="623000"/>
    <x v="7"/>
    <x v="0"/>
    <s v="Denpasar"/>
    <n v="6853000"/>
    <n v="2453000"/>
    <n v="35.79"/>
  </r>
  <r>
    <s v="TRX0344"/>
    <s v="P015"/>
    <s v="C003"/>
    <s v="Eko Prasetyo"/>
    <n v="2"/>
    <x v="98"/>
    <s v="Power Bank 20000mAh"/>
    <x v="0"/>
    <s v="Depok"/>
    <n v="300000"/>
    <n v="355000"/>
    <x v="3"/>
    <x v="0"/>
    <s v="Surabaya"/>
    <n v="710000"/>
    <n v="110000"/>
    <n v="15.49"/>
  </r>
  <r>
    <s v="TRX0345"/>
    <s v="P004"/>
    <s v="C010"/>
    <s v="Dewi Lestari"/>
    <n v="5"/>
    <x v="18"/>
    <s v="Monitor LG 24&quot;"/>
    <x v="2"/>
    <s v="Jakarta"/>
    <n v="2000000"/>
    <n v="2533000"/>
    <x v="10"/>
    <x v="0"/>
    <s v="Palembang"/>
    <n v="12665000"/>
    <n v="2665000"/>
    <n v="21.04"/>
  </r>
  <r>
    <s v="TRX0346"/>
    <s v="P020"/>
    <s v="C012"/>
    <s v="Ani Wijaya"/>
    <n v="10"/>
    <x v="184"/>
    <s v="Gaming Chair"/>
    <x v="1"/>
    <s v="Semarang"/>
    <n v="2000000"/>
    <n v="3382000"/>
    <x v="9"/>
    <x v="0"/>
    <s v="Malang"/>
    <n v="33820000"/>
    <n v="13820000"/>
    <n v="40.86"/>
  </r>
  <r>
    <s v="TRX0347"/>
    <s v="P005"/>
    <s v="C012"/>
    <s v="Ani Wijaya"/>
    <n v="6"/>
    <x v="200"/>
    <s v="Webcam Logitech"/>
    <x v="0"/>
    <s v="Semarang"/>
    <n v="350000"/>
    <n v="626000"/>
    <x v="9"/>
    <x v="0"/>
    <s v="Malang"/>
    <n v="3756000"/>
    <n v="1656000"/>
    <n v="44.09"/>
  </r>
  <r>
    <s v="TRX0348"/>
    <s v="P011"/>
    <s v="C012"/>
    <s v="Charles Lim"/>
    <n v="6"/>
    <x v="219"/>
    <s v="External HDD 2TB"/>
    <x v="3"/>
    <s v="Semarang"/>
    <n v="950000"/>
    <n v="1649000"/>
    <x v="9"/>
    <x v="0"/>
    <s v="Malang"/>
    <n v="9894000"/>
    <n v="4194000"/>
    <n v="42.39"/>
  </r>
  <r>
    <s v="TRX0349"/>
    <s v="P007"/>
    <s v="C006"/>
    <s v="Ani Wijaya"/>
    <n v="8"/>
    <x v="202"/>
    <s v="SSD Samsung 1TB"/>
    <x v="3"/>
    <s v="Depok"/>
    <n v="1500000"/>
    <n v="1772000"/>
    <x v="0"/>
    <x v="0"/>
    <s v="Semarang"/>
    <n v="14176000"/>
    <n v="2176000"/>
    <n v="15.35"/>
  </r>
  <r>
    <s v="TRX0350"/>
    <s v="P018"/>
    <s v="C007"/>
    <s v="Fitri Handayani"/>
    <n v="9"/>
    <x v="229"/>
    <s v="Motherboard ASUS"/>
    <x v="3"/>
    <s v="Jakarta"/>
    <n v="2500000"/>
    <n v="3080000"/>
    <x v="14"/>
    <x v="1"/>
    <s v="Yogyakarta"/>
    <n v="27720000"/>
    <n v="5220000"/>
    <n v="18.829999999999998"/>
  </r>
  <r>
    <s v="TRX0351"/>
    <s v="P006"/>
    <s v="C011"/>
    <s v="Ani Wijaya"/>
    <n v="12"/>
    <x v="62"/>
    <s v="Printer HP LaserJet"/>
    <x v="2"/>
    <s v="Semarang"/>
    <n v="2800000"/>
    <n v="4747000"/>
    <x v="5"/>
    <x v="1"/>
    <s v="Jakarta"/>
    <n v="56964000"/>
    <n v="23364000"/>
    <n v="41.02"/>
  </r>
  <r>
    <s v="TRX0352"/>
    <s v="P005"/>
    <s v="C007"/>
    <s v="Charles Lim"/>
    <n v="3"/>
    <x v="88"/>
    <s v="Webcam Logitech"/>
    <x v="0"/>
    <s v="Semarang"/>
    <n v="350000"/>
    <n v="626000"/>
    <x v="14"/>
    <x v="1"/>
    <s v="Yogyakarta"/>
    <n v="1878000"/>
    <n v="828000"/>
    <n v="44.09"/>
  </r>
  <r>
    <s v="TRX0353"/>
    <s v="P019"/>
    <s v="C013"/>
    <s v="Dewi Lestari"/>
    <n v="2"/>
    <x v="178"/>
    <s v="Cooling Fan RGB"/>
    <x v="3"/>
    <s v="Semarang"/>
    <n v="400000"/>
    <n v="623000"/>
    <x v="2"/>
    <x v="1"/>
    <s v="Bandung"/>
    <n v="1246000"/>
    <n v="446000"/>
    <n v="35.79"/>
  </r>
  <r>
    <s v="TRX0354"/>
    <s v="P020"/>
    <s v="C003"/>
    <s v="Ani Wijaya"/>
    <n v="13"/>
    <x v="62"/>
    <s v="Gaming Chair"/>
    <x v="1"/>
    <s v="Semarang"/>
    <n v="2000000"/>
    <n v="3382000"/>
    <x v="3"/>
    <x v="0"/>
    <s v="Surabaya"/>
    <n v="43966000"/>
    <n v="17966000"/>
    <n v="40.86"/>
  </r>
  <r>
    <s v="TRX0355"/>
    <s v="P016"/>
    <s v="C008"/>
    <s v="Eko Prasetyo"/>
    <n v="12"/>
    <x v="230"/>
    <s v="Microphone USB"/>
    <x v="4"/>
    <s v="Jakarta"/>
    <n v="1200000"/>
    <n v="1375000"/>
    <x v="7"/>
    <x v="0"/>
    <s v="Denpasar"/>
    <n v="16500000"/>
    <n v="2100000"/>
    <n v="12.73"/>
  </r>
  <r>
    <s v="TRX0356"/>
    <s v="P002"/>
    <s v="C011"/>
    <s v="Dewi Lestari"/>
    <n v="1"/>
    <x v="32"/>
    <s v="Mouse Wireless"/>
    <x v="0"/>
    <s v="Semarang"/>
    <n v="100000"/>
    <n v="169000"/>
    <x v="5"/>
    <x v="1"/>
    <s v="Jakarta"/>
    <n v="169000"/>
    <n v="69000"/>
    <n v="40.83"/>
  </r>
  <r>
    <s v="TRX0357"/>
    <s v="P005"/>
    <s v="C005"/>
    <s v="Eko Prasetyo"/>
    <n v="1"/>
    <x v="231"/>
    <s v="Webcam Logitech"/>
    <x v="0"/>
    <s v="Semarang"/>
    <n v="350000"/>
    <n v="626000"/>
    <x v="6"/>
    <x v="1"/>
    <s v="Jakarta"/>
    <n v="626000"/>
    <n v="276000"/>
    <n v="44.09"/>
  </r>
  <r>
    <s v="TRX0358"/>
    <s v="P018"/>
    <s v="C015"/>
    <s v="Charles Lim"/>
    <n v="7"/>
    <x v="207"/>
    <s v="Motherboard ASUS"/>
    <x v="3"/>
    <s v="Jakarta"/>
    <n v="2500000"/>
    <n v="3080000"/>
    <x v="8"/>
    <x v="1"/>
    <s v="Tangerang"/>
    <n v="21560000"/>
    <n v="4060000"/>
    <n v="18.829999999999998"/>
  </r>
  <r>
    <s v="TRX0359"/>
    <s v="P008"/>
    <s v="C011"/>
    <s v="Ani Wijaya"/>
    <n v="5"/>
    <x v="232"/>
    <s v="RAM DDR4 16GB"/>
    <x v="3"/>
    <s v="Jakarta"/>
    <n v="750000"/>
    <n v="971000"/>
    <x v="5"/>
    <x v="1"/>
    <s v="Jakarta"/>
    <n v="4855000"/>
    <n v="1105000"/>
    <n v="22.76"/>
  </r>
  <r>
    <s v="TRX0360"/>
    <s v="P016"/>
    <s v="C007"/>
    <s v="Ani Wijaya"/>
    <n v="7"/>
    <x v="216"/>
    <s v="Microphone USB"/>
    <x v="4"/>
    <s v="Jakarta"/>
    <n v="1200000"/>
    <n v="1375000"/>
    <x v="14"/>
    <x v="1"/>
    <s v="Yogyakarta"/>
    <n v="9625000"/>
    <n v="1225000"/>
    <n v="12.73"/>
  </r>
  <r>
    <s v="TRX0361"/>
    <s v="P001"/>
    <s v="C003"/>
    <s v="Ani Wijaya"/>
    <n v="10"/>
    <x v="50"/>
    <s v="Laptop Dell XPS 13"/>
    <x v="2"/>
    <s v="Jakarta"/>
    <n v="12000000"/>
    <n v="13963000"/>
    <x v="3"/>
    <x v="0"/>
    <s v="Surabaya"/>
    <n v="139630000"/>
    <n v="19630000"/>
    <n v="14.06"/>
  </r>
  <r>
    <s v="TRX0362"/>
    <s v="P011"/>
    <s v="C012"/>
    <s v="Budi Santoso"/>
    <n v="3"/>
    <x v="197"/>
    <s v="External HDD 2TB"/>
    <x v="3"/>
    <s v="Semarang"/>
    <n v="950000"/>
    <n v="1649000"/>
    <x v="9"/>
    <x v="0"/>
    <s v="Malang"/>
    <n v="4947000"/>
    <n v="2097000"/>
    <n v="42.39"/>
  </r>
  <r>
    <s v="TRX0363"/>
    <s v="P002"/>
    <s v="C010"/>
    <s v="Charles Lim"/>
    <n v="15"/>
    <x v="111"/>
    <s v="Mouse Wireless"/>
    <x v="0"/>
    <s v="Semarang"/>
    <n v="100000"/>
    <n v="169000"/>
    <x v="10"/>
    <x v="0"/>
    <s v="Palembang"/>
    <n v="2535000"/>
    <n v="1035000"/>
    <n v="40.83"/>
  </r>
  <r>
    <s v="TRX0364"/>
    <s v="P007"/>
    <s v="C004"/>
    <s v="Charles Lim"/>
    <n v="5"/>
    <x v="19"/>
    <s v="SSD Samsung 1TB"/>
    <x v="3"/>
    <s v="Depok"/>
    <n v="1500000"/>
    <n v="1772000"/>
    <x v="4"/>
    <x v="0"/>
    <s v="Medan"/>
    <n v="8860000"/>
    <n v="1360000"/>
    <n v="15.35"/>
  </r>
  <r>
    <s v="TRX0365"/>
    <s v="P002"/>
    <s v="C013"/>
    <s v="Eko Prasetyo"/>
    <n v="2"/>
    <x v="126"/>
    <s v="Mouse Wireless"/>
    <x v="0"/>
    <s v="Semarang"/>
    <n v="100000"/>
    <n v="169000"/>
    <x v="2"/>
    <x v="1"/>
    <s v="Bandung"/>
    <n v="338000"/>
    <n v="138000"/>
    <n v="40.83"/>
  </r>
  <r>
    <s v="TRX0366"/>
    <s v="P016"/>
    <s v="C004"/>
    <s v="Dewi Lestari"/>
    <n v="6"/>
    <x v="28"/>
    <s v="Microphone USB"/>
    <x v="4"/>
    <s v="Jakarta"/>
    <n v="1200000"/>
    <n v="1375000"/>
    <x v="4"/>
    <x v="0"/>
    <s v="Medan"/>
    <n v="8250000"/>
    <n v="1050000"/>
    <n v="12.73"/>
  </r>
  <r>
    <s v="TRX0367"/>
    <s v="P018"/>
    <s v="C005"/>
    <s v="Eko Prasetyo"/>
    <n v="10"/>
    <x v="213"/>
    <s v="Motherboard ASUS"/>
    <x v="3"/>
    <s v="Jakarta"/>
    <n v="2500000"/>
    <n v="3080000"/>
    <x v="6"/>
    <x v="1"/>
    <s v="Jakarta"/>
    <n v="30800000"/>
    <n v="5800000"/>
    <n v="18.829999999999998"/>
  </r>
  <r>
    <s v="TRX0368"/>
    <s v="P007"/>
    <s v="C005"/>
    <s v="Eko Prasetyo"/>
    <n v="13"/>
    <x v="233"/>
    <s v="SSD Samsung 1TB"/>
    <x v="3"/>
    <s v="Depok"/>
    <n v="1500000"/>
    <n v="1772000"/>
    <x v="6"/>
    <x v="1"/>
    <s v="Jakarta"/>
    <n v="23036000"/>
    <n v="3536000"/>
    <n v="15.35"/>
  </r>
  <r>
    <s v="TRX0369"/>
    <s v="P008"/>
    <s v="C001"/>
    <s v="Eko Prasetyo"/>
    <n v="1"/>
    <x v="234"/>
    <s v="RAM DDR4 16GB"/>
    <x v="3"/>
    <s v="Jakarta"/>
    <n v="750000"/>
    <n v="971000"/>
    <x v="11"/>
    <x v="1"/>
    <s v="Jakarta"/>
    <n v="971000"/>
    <n v="221000"/>
    <n v="22.76"/>
  </r>
  <r>
    <s v="TRX0370"/>
    <s v="P006"/>
    <s v="C015"/>
    <s v="Fitri Handayani"/>
    <n v="9"/>
    <x v="76"/>
    <s v="Printer HP LaserJet"/>
    <x v="2"/>
    <s v="Semarang"/>
    <n v="2800000"/>
    <n v="4747000"/>
    <x v="8"/>
    <x v="1"/>
    <s v="Tangerang"/>
    <n v="42723000"/>
    <n v="17523000"/>
    <n v="41.02"/>
  </r>
  <r>
    <s v="TRX0371"/>
    <s v="P013"/>
    <s v="C003"/>
    <s v="Budi Santoso"/>
    <n v="5"/>
    <x v="235"/>
    <s v="Laptop Asus ROG"/>
    <x v="2"/>
    <s v="Depok"/>
    <n v="18000000"/>
    <n v="27603000"/>
    <x v="3"/>
    <x v="0"/>
    <s v="Surabaya"/>
    <n v="138015000"/>
    <n v="48015000"/>
    <n v="34.79"/>
  </r>
  <r>
    <s v="TRX0372"/>
    <s v="P006"/>
    <s v="C005"/>
    <s v="Charles Lim"/>
    <n v="3"/>
    <x v="195"/>
    <s v="Printer HP LaserJet"/>
    <x v="2"/>
    <s v="Semarang"/>
    <n v="2800000"/>
    <n v="4747000"/>
    <x v="6"/>
    <x v="1"/>
    <s v="Jakarta"/>
    <n v="14241000"/>
    <n v="5841000"/>
    <n v="41.02"/>
  </r>
  <r>
    <s v="TRX0373"/>
    <s v="P018"/>
    <s v="C011"/>
    <s v="Dewi Lestari"/>
    <n v="7"/>
    <x v="1"/>
    <s v="Motherboard ASUS"/>
    <x v="3"/>
    <s v="Jakarta"/>
    <n v="2500000"/>
    <n v="3080000"/>
    <x v="5"/>
    <x v="1"/>
    <s v="Jakarta"/>
    <n v="21560000"/>
    <n v="4060000"/>
    <n v="18.829999999999998"/>
  </r>
  <r>
    <s v="TRX0374"/>
    <s v="P008"/>
    <s v="C007"/>
    <s v="Fitri Handayani"/>
    <n v="15"/>
    <x v="228"/>
    <s v="RAM DDR4 16GB"/>
    <x v="3"/>
    <s v="Jakarta"/>
    <n v="750000"/>
    <n v="971000"/>
    <x v="14"/>
    <x v="1"/>
    <s v="Yogyakarta"/>
    <n v="14565000"/>
    <n v="3315000"/>
    <n v="22.76"/>
  </r>
  <r>
    <s v="TRX0375"/>
    <s v="P015"/>
    <s v="C002"/>
    <s v="Ani Wijaya"/>
    <n v="14"/>
    <x v="75"/>
    <s v="Power Bank 20000mAh"/>
    <x v="0"/>
    <s v="Depok"/>
    <n v="300000"/>
    <n v="355000"/>
    <x v="13"/>
    <x v="1"/>
    <s v="Bandung"/>
    <n v="4970000"/>
    <n v="770000"/>
    <n v="15.49"/>
  </r>
  <r>
    <s v="TRX0376"/>
    <s v="P015"/>
    <s v="C010"/>
    <s v="Fitri Handayani"/>
    <n v="15"/>
    <x v="157"/>
    <s v="Power Bank 20000mAh"/>
    <x v="0"/>
    <s v="Depok"/>
    <n v="300000"/>
    <n v="355000"/>
    <x v="10"/>
    <x v="0"/>
    <s v="Palembang"/>
    <n v="5325000"/>
    <n v="825000"/>
    <n v="15.49"/>
  </r>
  <r>
    <s v="TRX0377"/>
    <s v="P013"/>
    <s v="C001"/>
    <s v="Eko Prasetyo"/>
    <n v="4"/>
    <x v="236"/>
    <s v="Laptop Asus ROG"/>
    <x v="2"/>
    <s v="Depok"/>
    <n v="18000000"/>
    <n v="27603000"/>
    <x v="11"/>
    <x v="1"/>
    <s v="Jakarta"/>
    <n v="110412000"/>
    <n v="38412000"/>
    <n v="34.79"/>
  </r>
  <r>
    <s v="TRX0378"/>
    <s v="P012"/>
    <s v="C012"/>
    <s v="Ani Wijaya"/>
    <n v="6"/>
    <x v="237"/>
    <s v="USB Flash Drive 64GB"/>
    <x v="0"/>
    <s v="Depok"/>
    <n v="80000"/>
    <n v="92000"/>
    <x v="9"/>
    <x v="0"/>
    <s v="Malang"/>
    <n v="552000"/>
    <n v="72000"/>
    <n v="13.04"/>
  </r>
  <r>
    <s v="TRX0379"/>
    <s v="P001"/>
    <s v="C006"/>
    <s v="Eko Prasetyo"/>
    <n v="12"/>
    <x v="58"/>
    <s v="Laptop Dell XPS 13"/>
    <x v="2"/>
    <s v="Jakarta"/>
    <n v="12000000"/>
    <n v="13963000"/>
    <x v="0"/>
    <x v="0"/>
    <s v="Semarang"/>
    <n v="167556000"/>
    <n v="23556000"/>
    <n v="14.06"/>
  </r>
  <r>
    <s v="TRX0380"/>
    <s v="P002"/>
    <s v="C005"/>
    <s v="Fitri Handayani"/>
    <n v="14"/>
    <x v="213"/>
    <s v="Mouse Wireless"/>
    <x v="0"/>
    <s v="Semarang"/>
    <n v="100000"/>
    <n v="169000"/>
    <x v="6"/>
    <x v="1"/>
    <s v="Jakarta"/>
    <n v="2366000"/>
    <n v="966000"/>
    <n v="40.83"/>
  </r>
  <r>
    <s v="TRX0381"/>
    <s v="P005"/>
    <s v="C010"/>
    <s v="Budi Santoso"/>
    <n v="11"/>
    <x v="238"/>
    <s v="Webcam Logitech"/>
    <x v="0"/>
    <s v="Semarang"/>
    <n v="350000"/>
    <n v="626000"/>
    <x v="10"/>
    <x v="0"/>
    <s v="Palembang"/>
    <n v="6886000"/>
    <n v="3036000"/>
    <n v="44.09"/>
  </r>
  <r>
    <s v="TRX0382"/>
    <s v="P001"/>
    <s v="C012"/>
    <s v="Ani Wijaya"/>
    <n v="12"/>
    <x v="165"/>
    <s v="Laptop Dell XPS 13"/>
    <x v="2"/>
    <s v="Jakarta"/>
    <n v="12000000"/>
    <n v="13963000"/>
    <x v="9"/>
    <x v="0"/>
    <s v="Malang"/>
    <n v="167556000"/>
    <n v="23556000"/>
    <n v="14.06"/>
  </r>
  <r>
    <s v="TRX0383"/>
    <s v="P001"/>
    <s v="C002"/>
    <s v="Charles Lim"/>
    <n v="2"/>
    <x v="57"/>
    <s v="Laptop Dell XPS 13"/>
    <x v="2"/>
    <s v="Jakarta"/>
    <n v="12000000"/>
    <n v="13963000"/>
    <x v="13"/>
    <x v="1"/>
    <s v="Bandung"/>
    <n v="27926000"/>
    <n v="3926000"/>
    <n v="14.06"/>
  </r>
  <r>
    <s v="TRX0384"/>
    <s v="P020"/>
    <s v="C005"/>
    <s v="Charles Lim"/>
    <n v="15"/>
    <x v="162"/>
    <s v="Gaming Chair"/>
    <x v="1"/>
    <s v="Semarang"/>
    <n v="2000000"/>
    <n v="3382000"/>
    <x v="6"/>
    <x v="1"/>
    <s v="Jakarta"/>
    <n v="50730000"/>
    <n v="20730000"/>
    <n v="40.86"/>
  </r>
  <r>
    <s v="TRX0385"/>
    <s v="P008"/>
    <s v="C015"/>
    <s v="Dewi Lestari"/>
    <n v="12"/>
    <x v="193"/>
    <s v="RAM DDR4 16GB"/>
    <x v="3"/>
    <s v="Jakarta"/>
    <n v="750000"/>
    <n v="971000"/>
    <x v="8"/>
    <x v="1"/>
    <s v="Tangerang"/>
    <n v="11652000"/>
    <n v="2652000"/>
    <n v="22.76"/>
  </r>
  <r>
    <s v="TRX0386"/>
    <s v="P003"/>
    <s v="C003"/>
    <s v="Budi Santoso"/>
    <n v="3"/>
    <x v="239"/>
    <s v="Keyboard Mechanical"/>
    <x v="0"/>
    <s v="Depok"/>
    <n v="650000"/>
    <n v="741000"/>
    <x v="3"/>
    <x v="0"/>
    <s v="Surabaya"/>
    <n v="2223000"/>
    <n v="273000"/>
    <n v="12.28"/>
  </r>
  <r>
    <s v="TRX0387"/>
    <s v="P003"/>
    <s v="C007"/>
    <s v="Budi Santoso"/>
    <n v="2"/>
    <x v="240"/>
    <s v="Keyboard Mechanical"/>
    <x v="0"/>
    <s v="Depok"/>
    <n v="650000"/>
    <n v="741000"/>
    <x v="14"/>
    <x v="1"/>
    <s v="Yogyakarta"/>
    <n v="1482000"/>
    <n v="182000"/>
    <n v="12.28"/>
  </r>
  <r>
    <s v="TRX0388"/>
    <s v="P003"/>
    <s v="C002"/>
    <s v="Fitri Handayani"/>
    <n v="8"/>
    <x v="83"/>
    <s v="Keyboard Mechanical"/>
    <x v="0"/>
    <s v="Depok"/>
    <n v="650000"/>
    <n v="741000"/>
    <x v="13"/>
    <x v="1"/>
    <s v="Bandung"/>
    <n v="5928000"/>
    <n v="728000"/>
    <n v="12.28"/>
  </r>
  <r>
    <s v="TRX0389"/>
    <s v="P004"/>
    <s v="C013"/>
    <s v="Budi Santoso"/>
    <n v="1"/>
    <x v="152"/>
    <s v="Monitor LG 24&quot;"/>
    <x v="2"/>
    <s v="Jakarta"/>
    <n v="2000000"/>
    <n v="2533000"/>
    <x v="2"/>
    <x v="1"/>
    <s v="Bandung"/>
    <n v="2533000"/>
    <n v="533000"/>
    <n v="21.04"/>
  </r>
  <r>
    <s v="TRX0390"/>
    <s v="P014"/>
    <s v="C007"/>
    <s v="Eko Prasetyo"/>
    <n v="8"/>
    <x v="241"/>
    <s v="Tablet Samsung Galaxy"/>
    <x v="2"/>
    <s v="Depok"/>
    <n v="4500000"/>
    <n v="5522000"/>
    <x v="14"/>
    <x v="1"/>
    <s v="Yogyakarta"/>
    <n v="44176000"/>
    <n v="8176000"/>
    <n v="18.510000000000002"/>
  </r>
  <r>
    <s v="TRX0391"/>
    <s v="P009"/>
    <s v="C001"/>
    <s v="Fitri Handayani"/>
    <n v="10"/>
    <x v="228"/>
    <s v="Speaker Bluetooth"/>
    <x v="4"/>
    <s v="Semarang"/>
    <n v="250000"/>
    <n v="354000"/>
    <x v="11"/>
    <x v="1"/>
    <s v="Jakarta"/>
    <n v="3540000"/>
    <n v="1040000"/>
    <n v="29.38"/>
  </r>
  <r>
    <s v="TRX0391"/>
    <s v="P010"/>
    <s v="C001"/>
    <s v="Fitri Handayani"/>
    <n v="10"/>
    <x v="228"/>
    <s v="Headset Gaming"/>
    <x v="4"/>
    <s v="Semarang"/>
    <n v="500000"/>
    <n v="844000"/>
    <x v="11"/>
    <x v="1"/>
    <s v="Jakarta"/>
    <n v="8440000"/>
    <n v="3440000"/>
    <n v="40.76"/>
  </r>
  <r>
    <s v="TRX0391"/>
    <s v="P011"/>
    <s v="C001"/>
    <s v="Fitri Handayani"/>
    <n v="10"/>
    <x v="228"/>
    <s v="External HDD 2TB"/>
    <x v="3"/>
    <s v="Semarang"/>
    <n v="950000"/>
    <n v="1649000"/>
    <x v="11"/>
    <x v="1"/>
    <s v="Jakarta"/>
    <n v="16490000"/>
    <n v="6990000"/>
    <n v="42.39"/>
  </r>
  <r>
    <s v="TRX0391"/>
    <s v="P012"/>
    <s v="C001"/>
    <s v="Fitri Handayani"/>
    <n v="10"/>
    <x v="228"/>
    <s v="USB Flash Drive 64GB"/>
    <x v="0"/>
    <s v="Depok"/>
    <n v="80000"/>
    <n v="92000"/>
    <x v="11"/>
    <x v="1"/>
    <s v="Jakarta"/>
    <n v="920000"/>
    <n v="120000"/>
    <n v="13.04"/>
  </r>
  <r>
    <s v="TRX0391"/>
    <s v="P013"/>
    <s v="C001"/>
    <s v="Fitri Handayani"/>
    <n v="10"/>
    <x v="228"/>
    <s v="Laptop Asus ROG"/>
    <x v="2"/>
    <s v="Depok"/>
    <n v="18000000"/>
    <n v="27603000"/>
    <x v="11"/>
    <x v="1"/>
    <s v="Jakarta"/>
    <n v="276030000"/>
    <n v="96030000"/>
    <n v="34.79"/>
  </r>
  <r>
    <s v="TRX0391"/>
    <s v="P014"/>
    <s v="C001"/>
    <s v="Fitri Handayani"/>
    <n v="10"/>
    <x v="228"/>
    <s v="Tablet Samsung Galaxy"/>
    <x v="2"/>
    <s v="Depok"/>
    <n v="4500000"/>
    <n v="5522000"/>
    <x v="11"/>
    <x v="1"/>
    <s v="Jakarta"/>
    <n v="55220000"/>
    <n v="10220000"/>
    <n v="18.510000000000002"/>
  </r>
  <r>
    <s v="TRX0391"/>
    <s v="P015"/>
    <s v="C001"/>
    <s v="Fitri Handayani"/>
    <n v="10"/>
    <x v="228"/>
    <s v="Power Bank 20000mAh"/>
    <x v="0"/>
    <s v="Depok"/>
    <n v="300000"/>
    <n v="355000"/>
    <x v="11"/>
    <x v="1"/>
    <s v="Jakarta"/>
    <n v="3550000"/>
    <n v="550000"/>
    <n v="15.49"/>
  </r>
  <r>
    <s v="TRX0391"/>
    <s v="P016"/>
    <s v="C001"/>
    <s v="Fitri Handayani"/>
    <n v="10"/>
    <x v="228"/>
    <s v="Microphone USB"/>
    <x v="4"/>
    <s v="Jakarta"/>
    <n v="1200000"/>
    <n v="1375000"/>
    <x v="11"/>
    <x v="1"/>
    <s v="Jakarta"/>
    <n v="13750000"/>
    <n v="1750000"/>
    <n v="12.73"/>
  </r>
  <r>
    <s v="TRX0391"/>
    <s v="P017"/>
    <s v="C001"/>
    <s v="Fitri Handayani"/>
    <n v="10"/>
    <x v="228"/>
    <s v="Graphics Card RTX 3060"/>
    <x v="3"/>
    <s v="Depok"/>
    <n v="5000000"/>
    <n v="7546000"/>
    <x v="11"/>
    <x v="1"/>
    <s v="Jakarta"/>
    <n v="75460000"/>
    <n v="25460000"/>
    <n v="33.74"/>
  </r>
  <r>
    <s v="TRX0391"/>
    <s v="P018"/>
    <s v="C001"/>
    <s v="Fitri Handayani"/>
    <n v="10"/>
    <x v="228"/>
    <s v="Motherboard ASUS"/>
    <x v="3"/>
    <s v="Jakarta"/>
    <n v="2500000"/>
    <n v="3080000"/>
    <x v="11"/>
    <x v="1"/>
    <s v="Jakarta"/>
    <n v="30800000"/>
    <n v="5800000"/>
    <n v="18.829999999999998"/>
  </r>
  <r>
    <s v="TRX0391"/>
    <s v="P019"/>
    <s v="C001"/>
    <s v="Fitri Handayani"/>
    <n v="10"/>
    <x v="228"/>
    <s v="Cooling Fan RGB"/>
    <x v="3"/>
    <s v="Semarang"/>
    <n v="400000"/>
    <n v="623000"/>
    <x v="11"/>
    <x v="1"/>
    <s v="Jakarta"/>
    <n v="6230000"/>
    <n v="2230000"/>
    <n v="35.79"/>
  </r>
  <r>
    <s v="TRX0391"/>
    <s v="P020"/>
    <s v="C001"/>
    <s v="Fitri Handayani"/>
    <n v="10"/>
    <x v="228"/>
    <s v="Gaming Chair"/>
    <x v="1"/>
    <s v="Semarang"/>
    <n v="2000000"/>
    <n v="3382000"/>
    <x v="11"/>
    <x v="1"/>
    <s v="Jakarta"/>
    <n v="33820000"/>
    <n v="13820000"/>
    <n v="40.86"/>
  </r>
  <r>
    <s v="TRX0392"/>
    <s v="P019"/>
    <s v="C008"/>
    <s v="Fitri Handayani"/>
    <n v="6"/>
    <x v="209"/>
    <s v="Cooling Fan RGB"/>
    <x v="3"/>
    <s v="Semarang"/>
    <n v="400000"/>
    <n v="623000"/>
    <x v="7"/>
    <x v="0"/>
    <s v="Denpasar"/>
    <n v="3738000"/>
    <n v="1338000"/>
    <n v="35.79"/>
  </r>
  <r>
    <s v="TRX0393"/>
    <s v="P020"/>
    <s v="C009"/>
    <s v="Eko Prasetyo"/>
    <n v="3"/>
    <x v="242"/>
    <s v="Gaming Chair"/>
    <x v="1"/>
    <s v="Semarang"/>
    <n v="2000000"/>
    <n v="3382000"/>
    <x v="12"/>
    <x v="1"/>
    <s v="Makassar"/>
    <n v="10146000"/>
    <n v="4146000"/>
    <n v="40.86"/>
  </r>
  <r>
    <s v="TRX0394"/>
    <s v="P020"/>
    <s v="C010"/>
    <s v="Ani Wijaya"/>
    <n v="14"/>
    <x v="114"/>
    <s v="Gaming Chair"/>
    <x v="1"/>
    <s v="Semarang"/>
    <n v="2000000"/>
    <n v="3382000"/>
    <x v="10"/>
    <x v="0"/>
    <s v="Palembang"/>
    <n v="47348000"/>
    <n v="19348000"/>
    <n v="40.86"/>
  </r>
  <r>
    <s v="TRX0395"/>
    <s v="P015"/>
    <s v="C013"/>
    <s v="Charles Lim"/>
    <n v="13"/>
    <x v="243"/>
    <s v="Power Bank 20000mAh"/>
    <x v="0"/>
    <s v="Depok"/>
    <n v="300000"/>
    <n v="355000"/>
    <x v="2"/>
    <x v="1"/>
    <s v="Bandung"/>
    <n v="4615000"/>
    <n v="715000"/>
    <n v="15.49"/>
  </r>
  <r>
    <s v="TRX0396"/>
    <s v="P012"/>
    <s v="C008"/>
    <s v="Dewi Lestari"/>
    <n v="14"/>
    <x v="31"/>
    <s v="USB Flash Drive 64GB"/>
    <x v="0"/>
    <s v="Depok"/>
    <n v="80000"/>
    <n v="92000"/>
    <x v="7"/>
    <x v="0"/>
    <s v="Denpasar"/>
    <n v="1288000"/>
    <n v="168000"/>
    <n v="13.04"/>
  </r>
  <r>
    <s v="TRX0397"/>
    <s v="P015"/>
    <s v="C013"/>
    <s v="Fitri Handayani"/>
    <n v="10"/>
    <x v="30"/>
    <s v="Power Bank 20000mAh"/>
    <x v="0"/>
    <s v="Depok"/>
    <n v="300000"/>
    <n v="355000"/>
    <x v="2"/>
    <x v="1"/>
    <s v="Bandung"/>
    <n v="3550000"/>
    <n v="550000"/>
    <n v="15.49"/>
  </r>
  <r>
    <s v="TRX0398"/>
    <s v="P018"/>
    <s v="C002"/>
    <s v="Fitri Handayani"/>
    <n v="4"/>
    <x v="196"/>
    <s v="Motherboard ASUS"/>
    <x v="3"/>
    <s v="Jakarta"/>
    <n v="2500000"/>
    <n v="3080000"/>
    <x v="13"/>
    <x v="1"/>
    <s v="Bandung"/>
    <n v="12320000"/>
    <n v="2320000"/>
    <n v="18.829999999999998"/>
  </r>
  <r>
    <s v="TRX0399"/>
    <s v="P019"/>
    <s v="C012"/>
    <s v="Budi Santoso"/>
    <n v="14"/>
    <x v="79"/>
    <s v="Cooling Fan RGB"/>
    <x v="3"/>
    <s v="Semarang"/>
    <n v="400000"/>
    <n v="623000"/>
    <x v="9"/>
    <x v="0"/>
    <s v="Malang"/>
    <n v="8722000"/>
    <n v="3122000"/>
    <n v="35.79"/>
  </r>
  <r>
    <s v="TRX0400"/>
    <s v="P001"/>
    <s v="C013"/>
    <s v="Charles Lim"/>
    <n v="14"/>
    <x v="175"/>
    <s v="Laptop Dell XPS 13"/>
    <x v="2"/>
    <s v="Jakarta"/>
    <n v="12000000"/>
    <n v="13963000"/>
    <x v="2"/>
    <x v="1"/>
    <s v="Bandung"/>
    <n v="195482000"/>
    <n v="27482000"/>
    <n v="14.06"/>
  </r>
  <r>
    <s v="TRX0401"/>
    <s v="P012"/>
    <s v="C010"/>
    <s v="Charles Lim"/>
    <n v="3"/>
    <x v="140"/>
    <s v="USB Flash Drive 64GB"/>
    <x v="0"/>
    <s v="Depok"/>
    <n v="80000"/>
    <n v="92000"/>
    <x v="10"/>
    <x v="0"/>
    <s v="Palembang"/>
    <n v="276000"/>
    <n v="36000"/>
    <n v="13.04"/>
  </r>
  <r>
    <s v="TRX0402"/>
    <s v="P004"/>
    <s v="C008"/>
    <s v="Charles Lim"/>
    <n v="5"/>
    <x v="97"/>
    <s v="Monitor LG 24&quot;"/>
    <x v="2"/>
    <s v="Jakarta"/>
    <n v="2000000"/>
    <n v="2533000"/>
    <x v="7"/>
    <x v="0"/>
    <s v="Denpasar"/>
    <n v="12665000"/>
    <n v="2665000"/>
    <n v="21.04"/>
  </r>
  <r>
    <s v="TRX0403"/>
    <s v="P015"/>
    <s v="C007"/>
    <s v="Ani Wijaya"/>
    <n v="13"/>
    <x v="97"/>
    <s v="Power Bank 20000mAh"/>
    <x v="0"/>
    <s v="Depok"/>
    <n v="300000"/>
    <n v="355000"/>
    <x v="14"/>
    <x v="1"/>
    <s v="Yogyakarta"/>
    <n v="4615000"/>
    <n v="715000"/>
    <n v="15.49"/>
  </r>
  <r>
    <s v="TRX0404"/>
    <s v="P008"/>
    <s v="C010"/>
    <s v="Dewi Lestari"/>
    <n v="8"/>
    <x v="190"/>
    <s v="RAM DDR4 16GB"/>
    <x v="3"/>
    <s v="Jakarta"/>
    <n v="750000"/>
    <n v="971000"/>
    <x v="10"/>
    <x v="0"/>
    <s v="Palembang"/>
    <n v="7768000"/>
    <n v="1768000"/>
    <n v="22.76"/>
  </r>
  <r>
    <s v="TRX0405"/>
    <s v="P007"/>
    <s v="C002"/>
    <s v="Charles Lim"/>
    <n v="9"/>
    <x v="76"/>
    <s v="SSD Samsung 1TB"/>
    <x v="3"/>
    <s v="Depok"/>
    <n v="1500000"/>
    <n v="1772000"/>
    <x v="13"/>
    <x v="1"/>
    <s v="Bandung"/>
    <n v="15948000"/>
    <n v="2448000"/>
    <n v="15.35"/>
  </r>
  <r>
    <s v="TRX0406"/>
    <s v="P003"/>
    <s v="C011"/>
    <s v="Dewi Lestari"/>
    <n v="14"/>
    <x v="244"/>
    <s v="Keyboard Mechanical"/>
    <x v="0"/>
    <s v="Depok"/>
    <n v="650000"/>
    <n v="741000"/>
    <x v="5"/>
    <x v="1"/>
    <s v="Jakarta"/>
    <n v="10374000"/>
    <n v="1274000"/>
    <n v="12.28"/>
  </r>
  <r>
    <s v="TRX0407"/>
    <s v="P016"/>
    <s v="C007"/>
    <s v="Eko Prasetyo"/>
    <n v="4"/>
    <x v="27"/>
    <s v="Microphone USB"/>
    <x v="4"/>
    <s v="Jakarta"/>
    <n v="1200000"/>
    <n v="1375000"/>
    <x v="14"/>
    <x v="1"/>
    <s v="Yogyakarta"/>
    <n v="5500000"/>
    <n v="700000"/>
    <n v="12.73"/>
  </r>
  <r>
    <s v="TRX0408"/>
    <s v="P002"/>
    <s v="C006"/>
    <s v="Eko Prasetyo"/>
    <n v="4"/>
    <x v="107"/>
    <s v="Mouse Wireless"/>
    <x v="0"/>
    <s v="Semarang"/>
    <n v="100000"/>
    <n v="169000"/>
    <x v="0"/>
    <x v="0"/>
    <s v="Semarang"/>
    <n v="676000"/>
    <n v="276000"/>
    <n v="40.83"/>
  </r>
  <r>
    <s v="TRX0409"/>
    <s v="P006"/>
    <s v="C004"/>
    <s v="Fitri Handayani"/>
    <n v="9"/>
    <x v="27"/>
    <s v="Printer HP LaserJet"/>
    <x v="2"/>
    <s v="Semarang"/>
    <n v="2800000"/>
    <n v="4747000"/>
    <x v="4"/>
    <x v="0"/>
    <s v="Medan"/>
    <n v="42723000"/>
    <n v="17523000"/>
    <n v="41.02"/>
  </r>
  <r>
    <s v="TRX0410"/>
    <s v="P010"/>
    <s v="C003"/>
    <s v="Charles Lim"/>
    <n v="11"/>
    <x v="134"/>
    <s v="Headset Gaming"/>
    <x v="4"/>
    <s v="Semarang"/>
    <n v="500000"/>
    <n v="844000"/>
    <x v="3"/>
    <x v="0"/>
    <s v="Surabaya"/>
    <n v="9284000"/>
    <n v="3784000"/>
    <n v="40.76"/>
  </r>
  <r>
    <s v="TRX0411"/>
    <s v="P011"/>
    <s v="C010"/>
    <s v="Fitri Handayani"/>
    <n v="2"/>
    <x v="94"/>
    <s v="External HDD 2TB"/>
    <x v="3"/>
    <s v="Semarang"/>
    <n v="950000"/>
    <n v="1649000"/>
    <x v="10"/>
    <x v="0"/>
    <s v="Palembang"/>
    <n v="3298000"/>
    <n v="1398000"/>
    <n v="42.39"/>
  </r>
  <r>
    <s v="TRX0412"/>
    <s v="P011"/>
    <s v="C003"/>
    <s v="Eko Prasetyo"/>
    <n v="7"/>
    <x v="4"/>
    <s v="External HDD 2TB"/>
    <x v="3"/>
    <s v="Semarang"/>
    <n v="950000"/>
    <n v="1649000"/>
    <x v="3"/>
    <x v="0"/>
    <s v="Surabaya"/>
    <n v="11543000"/>
    <n v="4893000"/>
    <n v="42.39"/>
  </r>
  <r>
    <s v="TRX0413"/>
    <s v="P012"/>
    <s v="C013"/>
    <s v="Fitri Handayani"/>
    <n v="6"/>
    <x v="245"/>
    <s v="USB Flash Drive 64GB"/>
    <x v="0"/>
    <s v="Depok"/>
    <n v="80000"/>
    <n v="92000"/>
    <x v="2"/>
    <x v="1"/>
    <s v="Bandung"/>
    <n v="552000"/>
    <n v="72000"/>
    <n v="13.04"/>
  </r>
  <r>
    <s v="TRX0414"/>
    <s v="P019"/>
    <s v="C003"/>
    <s v="Budi Santoso"/>
    <n v="1"/>
    <x v="219"/>
    <s v="Cooling Fan RGB"/>
    <x v="3"/>
    <s v="Semarang"/>
    <n v="400000"/>
    <n v="623000"/>
    <x v="3"/>
    <x v="0"/>
    <s v="Surabaya"/>
    <n v="623000"/>
    <n v="223000"/>
    <n v="35.79"/>
  </r>
  <r>
    <s v="TRX0415"/>
    <s v="P015"/>
    <s v="C001"/>
    <s v="Eko Prasetyo"/>
    <n v="1"/>
    <x v="246"/>
    <s v="Power Bank 20000mAh"/>
    <x v="0"/>
    <s v="Depok"/>
    <n v="300000"/>
    <n v="355000"/>
    <x v="11"/>
    <x v="1"/>
    <s v="Jakarta"/>
    <n v="355000"/>
    <n v="55000"/>
    <n v="15.49"/>
  </r>
  <r>
    <s v="TRX0416"/>
    <s v="P009"/>
    <s v="C015"/>
    <s v="Budi Santoso"/>
    <n v="6"/>
    <x v="247"/>
    <s v="Speaker Bluetooth"/>
    <x v="4"/>
    <s v="Semarang"/>
    <n v="250000"/>
    <n v="354000"/>
    <x v="8"/>
    <x v="1"/>
    <s v="Tangerang"/>
    <n v="2124000"/>
    <n v="624000"/>
    <n v="29.38"/>
  </r>
  <r>
    <s v="TRX0417"/>
    <s v="P011"/>
    <s v="C006"/>
    <s v="Eko Prasetyo"/>
    <n v="8"/>
    <x v="176"/>
    <s v="External HDD 2TB"/>
    <x v="3"/>
    <s v="Semarang"/>
    <n v="950000"/>
    <n v="1649000"/>
    <x v="0"/>
    <x v="0"/>
    <s v="Semarang"/>
    <n v="13192000"/>
    <n v="5592000"/>
    <n v="42.39"/>
  </r>
  <r>
    <s v="TRX0418"/>
    <s v="P014"/>
    <s v="C006"/>
    <s v="Ani Wijaya"/>
    <n v="15"/>
    <x v="248"/>
    <s v="Tablet Samsung Galaxy"/>
    <x v="2"/>
    <s v="Depok"/>
    <n v="4500000"/>
    <n v="5522000"/>
    <x v="0"/>
    <x v="0"/>
    <s v="Semarang"/>
    <n v="82830000"/>
    <n v="15330000"/>
    <n v="18.510000000000002"/>
  </r>
  <r>
    <s v="TRX0419"/>
    <s v="P014"/>
    <s v="C003"/>
    <s v="Ani Wijaya"/>
    <n v="15"/>
    <x v="249"/>
    <s v="Tablet Samsung Galaxy"/>
    <x v="2"/>
    <s v="Depok"/>
    <n v="4500000"/>
    <n v="5522000"/>
    <x v="3"/>
    <x v="0"/>
    <s v="Surabaya"/>
    <n v="82830000"/>
    <n v="15330000"/>
    <n v="18.510000000000002"/>
  </r>
  <r>
    <s v="TRX0420"/>
    <s v="P010"/>
    <s v="C013"/>
    <s v="Charles Lim"/>
    <n v="10"/>
    <x v="250"/>
    <s v="Headset Gaming"/>
    <x v="4"/>
    <s v="Semarang"/>
    <n v="500000"/>
    <n v="844000"/>
    <x v="2"/>
    <x v="1"/>
    <s v="Bandung"/>
    <n v="8440000"/>
    <n v="3440000"/>
    <n v="40.76"/>
  </r>
  <r>
    <s v="TRX0421"/>
    <s v="P011"/>
    <s v="C004"/>
    <s v="Fitri Handayani"/>
    <n v="12"/>
    <x v="251"/>
    <s v="External HDD 2TB"/>
    <x v="3"/>
    <s v="Semarang"/>
    <n v="950000"/>
    <n v="1649000"/>
    <x v="4"/>
    <x v="0"/>
    <s v="Medan"/>
    <n v="19788000"/>
    <n v="8388000"/>
    <n v="42.39"/>
  </r>
  <r>
    <s v="TRX0422"/>
    <s v="P015"/>
    <s v="C011"/>
    <s v="Ani Wijaya"/>
    <n v="6"/>
    <x v="252"/>
    <s v="Power Bank 20000mAh"/>
    <x v="0"/>
    <s v="Depok"/>
    <n v="300000"/>
    <n v="355000"/>
    <x v="5"/>
    <x v="1"/>
    <s v="Jakarta"/>
    <n v="2130000"/>
    <n v="330000"/>
    <n v="15.49"/>
  </r>
  <r>
    <s v="TRX0423"/>
    <s v="P015"/>
    <s v="C002"/>
    <s v="Charles Lim"/>
    <n v="12"/>
    <x v="253"/>
    <s v="Power Bank 20000mAh"/>
    <x v="0"/>
    <s v="Depok"/>
    <n v="300000"/>
    <n v="355000"/>
    <x v="13"/>
    <x v="1"/>
    <s v="Bandung"/>
    <n v="4260000"/>
    <n v="660000"/>
    <n v="15.49"/>
  </r>
  <r>
    <s v="TRX0424"/>
    <s v="P009"/>
    <s v="C004"/>
    <s v="Ani Wijaya"/>
    <n v="15"/>
    <x v="9"/>
    <s v="Speaker Bluetooth"/>
    <x v="4"/>
    <s v="Semarang"/>
    <n v="250000"/>
    <n v="354000"/>
    <x v="4"/>
    <x v="0"/>
    <s v="Medan"/>
    <n v="5310000"/>
    <n v="1560000"/>
    <n v="29.38"/>
  </r>
  <r>
    <s v="TRX0425"/>
    <s v="P019"/>
    <s v="C008"/>
    <s v="Fitri Handayani"/>
    <n v="5"/>
    <x v="254"/>
    <s v="Cooling Fan RGB"/>
    <x v="3"/>
    <s v="Semarang"/>
    <n v="400000"/>
    <n v="623000"/>
    <x v="7"/>
    <x v="0"/>
    <s v="Denpasar"/>
    <n v="3115000"/>
    <n v="1115000"/>
    <n v="35.79"/>
  </r>
  <r>
    <s v="TRX0426"/>
    <s v="P018"/>
    <s v="C011"/>
    <s v="Ani Wijaya"/>
    <n v="6"/>
    <x v="29"/>
    <s v="Motherboard ASUS"/>
    <x v="3"/>
    <s v="Jakarta"/>
    <n v="2500000"/>
    <n v="3080000"/>
    <x v="5"/>
    <x v="1"/>
    <s v="Jakarta"/>
    <n v="18480000"/>
    <n v="3480000"/>
    <n v="18.829999999999998"/>
  </r>
  <r>
    <s v="TRX0427"/>
    <s v="P013"/>
    <s v="C003"/>
    <s v="Fitri Handayani"/>
    <n v="15"/>
    <x v="187"/>
    <s v="Laptop Asus ROG"/>
    <x v="2"/>
    <s v="Depok"/>
    <n v="18000000"/>
    <n v="27603000"/>
    <x v="3"/>
    <x v="0"/>
    <s v="Surabaya"/>
    <n v="414045000"/>
    <n v="144045000"/>
    <n v="34.79"/>
  </r>
  <r>
    <s v="TRX0428"/>
    <s v="P020"/>
    <s v="C011"/>
    <s v="Dewi Lestari"/>
    <n v="12"/>
    <x v="193"/>
    <s v="Gaming Chair"/>
    <x v="1"/>
    <s v="Semarang"/>
    <n v="2000000"/>
    <n v="3382000"/>
    <x v="5"/>
    <x v="1"/>
    <s v="Jakarta"/>
    <n v="40584000"/>
    <n v="16584000"/>
    <n v="40.86"/>
  </r>
  <r>
    <s v="TRX0429"/>
    <s v="P001"/>
    <s v="C012"/>
    <s v="Charles Lim"/>
    <n v="4"/>
    <x v="158"/>
    <s v="Laptop Dell XPS 13"/>
    <x v="2"/>
    <s v="Jakarta"/>
    <n v="12000000"/>
    <n v="13963000"/>
    <x v="9"/>
    <x v="0"/>
    <s v="Malang"/>
    <n v="55852000"/>
    <n v="7852000"/>
    <n v="14.06"/>
  </r>
  <r>
    <s v="TRX0430"/>
    <s v="P015"/>
    <s v="C006"/>
    <s v="Fitri Handayani"/>
    <n v="9"/>
    <x v="103"/>
    <s v="Power Bank 20000mAh"/>
    <x v="0"/>
    <s v="Depok"/>
    <n v="300000"/>
    <n v="355000"/>
    <x v="0"/>
    <x v="0"/>
    <s v="Semarang"/>
    <n v="3195000"/>
    <n v="495000"/>
    <n v="15.49"/>
  </r>
  <r>
    <s v="TRX0431"/>
    <s v="P007"/>
    <s v="C011"/>
    <s v="Eko Prasetyo"/>
    <n v="10"/>
    <x v="117"/>
    <s v="SSD Samsung 1TB"/>
    <x v="3"/>
    <s v="Depok"/>
    <n v="1500000"/>
    <n v="1772000"/>
    <x v="5"/>
    <x v="1"/>
    <s v="Jakarta"/>
    <n v="17720000"/>
    <n v="2720000"/>
    <n v="15.35"/>
  </r>
  <r>
    <s v="TRX0432"/>
    <s v="P011"/>
    <s v="C002"/>
    <s v="Budi Santoso"/>
    <n v="10"/>
    <x v="87"/>
    <s v="External HDD 2TB"/>
    <x v="3"/>
    <s v="Semarang"/>
    <n v="950000"/>
    <n v="1649000"/>
    <x v="13"/>
    <x v="1"/>
    <s v="Bandung"/>
    <n v="16490000"/>
    <n v="6990000"/>
    <n v="42.39"/>
  </r>
  <r>
    <s v="TRX0433"/>
    <s v="P017"/>
    <s v="C014"/>
    <s v="Ani Wijaya"/>
    <n v="8"/>
    <x v="254"/>
    <s v="Graphics Card RTX 3060"/>
    <x v="3"/>
    <s v="Depok"/>
    <n v="5000000"/>
    <n v="7546000"/>
    <x v="1"/>
    <x v="0"/>
    <s v="Solo"/>
    <n v="60368000"/>
    <n v="20368000"/>
    <n v="33.74"/>
  </r>
  <r>
    <s v="TRX0434"/>
    <s v="P001"/>
    <s v="C007"/>
    <s v="Fitri Handayani"/>
    <n v="2"/>
    <x v="251"/>
    <s v="Laptop Dell XPS 13"/>
    <x v="2"/>
    <s v="Jakarta"/>
    <n v="12000000"/>
    <n v="13963000"/>
    <x v="14"/>
    <x v="1"/>
    <s v="Yogyakarta"/>
    <n v="27926000"/>
    <n v="3926000"/>
    <n v="14.06"/>
  </r>
  <r>
    <s v="TRX0435"/>
    <s v="P007"/>
    <s v="C014"/>
    <s v="Fitri Handayani"/>
    <n v="6"/>
    <x v="64"/>
    <s v="SSD Samsung 1TB"/>
    <x v="3"/>
    <s v="Depok"/>
    <n v="1500000"/>
    <n v="1772000"/>
    <x v="1"/>
    <x v="0"/>
    <s v="Solo"/>
    <n v="10632000"/>
    <n v="1632000"/>
    <n v="15.35"/>
  </r>
  <r>
    <s v="TRX0436"/>
    <s v="P018"/>
    <s v="C009"/>
    <s v="Budi Santoso"/>
    <n v="9"/>
    <x v="255"/>
    <s v="Motherboard ASUS"/>
    <x v="3"/>
    <s v="Jakarta"/>
    <n v="2500000"/>
    <n v="3080000"/>
    <x v="12"/>
    <x v="1"/>
    <s v="Makassar"/>
    <n v="27720000"/>
    <n v="5220000"/>
    <n v="18.829999999999998"/>
  </r>
  <r>
    <s v="TRX0437"/>
    <s v="P010"/>
    <s v="C005"/>
    <s v="Budi Santoso"/>
    <n v="8"/>
    <x v="172"/>
    <s v="Headset Gaming"/>
    <x v="4"/>
    <s v="Semarang"/>
    <n v="500000"/>
    <n v="844000"/>
    <x v="6"/>
    <x v="1"/>
    <s v="Jakarta"/>
    <n v="6752000"/>
    <n v="2752000"/>
    <n v="40.76"/>
  </r>
  <r>
    <s v="TRX0438"/>
    <s v="P004"/>
    <s v="C010"/>
    <s v="Fitri Handayani"/>
    <n v="14"/>
    <x v="135"/>
    <s v="Monitor LG 24&quot;"/>
    <x v="2"/>
    <s v="Jakarta"/>
    <n v="2000000"/>
    <n v="2533000"/>
    <x v="10"/>
    <x v="0"/>
    <s v="Palembang"/>
    <n v="35462000"/>
    <n v="7462000"/>
    <n v="21.04"/>
  </r>
  <r>
    <s v="TRX0439"/>
    <s v="P002"/>
    <s v="C009"/>
    <s v="Charles Lim"/>
    <n v="12"/>
    <x v="256"/>
    <s v="Mouse Wireless"/>
    <x v="0"/>
    <s v="Semarang"/>
    <n v="100000"/>
    <n v="169000"/>
    <x v="12"/>
    <x v="1"/>
    <s v="Makassar"/>
    <n v="2028000"/>
    <n v="828000"/>
    <n v="40.83"/>
  </r>
  <r>
    <s v="TRX0440"/>
    <s v="P001"/>
    <s v="C015"/>
    <s v="Eko Prasetyo"/>
    <n v="1"/>
    <x v="257"/>
    <s v="Laptop Dell XPS 13"/>
    <x v="2"/>
    <s v="Jakarta"/>
    <n v="12000000"/>
    <n v="13963000"/>
    <x v="8"/>
    <x v="1"/>
    <s v="Tangerang"/>
    <n v="13963000"/>
    <n v="1963000"/>
    <n v="14.06"/>
  </r>
  <r>
    <s v="TRX0441"/>
    <s v="P013"/>
    <s v="C002"/>
    <s v="Charles Lim"/>
    <n v="5"/>
    <x v="14"/>
    <s v="Laptop Asus ROG"/>
    <x v="2"/>
    <s v="Depok"/>
    <n v="18000000"/>
    <n v="27603000"/>
    <x v="13"/>
    <x v="1"/>
    <s v="Bandung"/>
    <n v="138015000"/>
    <n v="48015000"/>
    <n v="34.79"/>
  </r>
  <r>
    <s v="TRX0442"/>
    <s v="P017"/>
    <s v="C014"/>
    <s v="Fitri Handayani"/>
    <n v="13"/>
    <x v="59"/>
    <s v="Graphics Card RTX 3060"/>
    <x v="3"/>
    <s v="Depok"/>
    <n v="5000000"/>
    <n v="7546000"/>
    <x v="1"/>
    <x v="0"/>
    <s v="Solo"/>
    <n v="98098000"/>
    <n v="33098000"/>
    <n v="33.74"/>
  </r>
  <r>
    <s v="TRX0443"/>
    <s v="P008"/>
    <s v="C002"/>
    <s v="Eko Prasetyo"/>
    <n v="5"/>
    <x v="258"/>
    <s v="RAM DDR4 16GB"/>
    <x v="3"/>
    <s v="Jakarta"/>
    <n v="750000"/>
    <n v="971000"/>
    <x v="13"/>
    <x v="1"/>
    <s v="Bandung"/>
    <n v="4855000"/>
    <n v="1105000"/>
    <n v="22.76"/>
  </r>
  <r>
    <s v="TRX0444"/>
    <s v="P011"/>
    <s v="C002"/>
    <s v="Charles Lim"/>
    <n v="5"/>
    <x v="113"/>
    <s v="External HDD 2TB"/>
    <x v="3"/>
    <s v="Semarang"/>
    <n v="950000"/>
    <n v="1649000"/>
    <x v="13"/>
    <x v="1"/>
    <s v="Bandung"/>
    <n v="8245000"/>
    <n v="3495000"/>
    <n v="42.39"/>
  </r>
  <r>
    <s v="TRX0445"/>
    <s v="P005"/>
    <s v="C012"/>
    <s v="Ani Wijaya"/>
    <n v="1"/>
    <x v="259"/>
    <s v="Webcam Logitech"/>
    <x v="0"/>
    <s v="Semarang"/>
    <n v="350000"/>
    <n v="626000"/>
    <x v="9"/>
    <x v="0"/>
    <s v="Malang"/>
    <n v="626000"/>
    <n v="276000"/>
    <n v="44.09"/>
  </r>
  <r>
    <s v="TRX0446"/>
    <s v="P020"/>
    <s v="C001"/>
    <s v="Charles Lim"/>
    <n v="7"/>
    <x v="198"/>
    <s v="Gaming Chair"/>
    <x v="1"/>
    <s v="Semarang"/>
    <n v="2000000"/>
    <n v="3382000"/>
    <x v="11"/>
    <x v="1"/>
    <s v="Jakarta"/>
    <n v="23674000"/>
    <n v="9674000"/>
    <n v="40.86"/>
  </r>
  <r>
    <s v="TRX0447"/>
    <s v="P016"/>
    <s v="C010"/>
    <s v="Dewi Lestari"/>
    <n v="15"/>
    <x v="260"/>
    <s v="Microphone USB"/>
    <x v="4"/>
    <s v="Jakarta"/>
    <n v="1200000"/>
    <n v="1375000"/>
    <x v="10"/>
    <x v="0"/>
    <s v="Palembang"/>
    <n v="20625000"/>
    <n v="2625000"/>
    <n v="12.73"/>
  </r>
  <r>
    <s v="TRX0448"/>
    <s v="P013"/>
    <s v="C005"/>
    <s v="Budi Santoso"/>
    <n v="5"/>
    <x v="261"/>
    <s v="Laptop Asus ROG"/>
    <x v="2"/>
    <s v="Depok"/>
    <n v="18000000"/>
    <n v="27603000"/>
    <x v="6"/>
    <x v="1"/>
    <s v="Jakarta"/>
    <n v="138015000"/>
    <n v="48015000"/>
    <n v="34.79"/>
  </r>
  <r>
    <s v="TRX0449"/>
    <s v="P020"/>
    <s v="C009"/>
    <s v="Budi Santoso"/>
    <n v="6"/>
    <x v="234"/>
    <s v="Gaming Chair"/>
    <x v="1"/>
    <s v="Semarang"/>
    <n v="2000000"/>
    <n v="3382000"/>
    <x v="12"/>
    <x v="1"/>
    <s v="Makassar"/>
    <n v="20292000"/>
    <n v="8292000"/>
    <n v="40.86"/>
  </r>
  <r>
    <s v="TRX0450"/>
    <s v="P002"/>
    <s v="C010"/>
    <s v="Charles Lim"/>
    <n v="3"/>
    <x v="24"/>
    <s v="Mouse Wireless"/>
    <x v="0"/>
    <s v="Semarang"/>
    <n v="100000"/>
    <n v="169000"/>
    <x v="10"/>
    <x v="0"/>
    <s v="Palembang"/>
    <n v="507000"/>
    <n v="207000"/>
    <n v="40.83"/>
  </r>
  <r>
    <s v="TRX0451"/>
    <s v="P010"/>
    <s v="C011"/>
    <s v="Budi Santoso"/>
    <n v="3"/>
    <x v="262"/>
    <s v="Headset Gaming"/>
    <x v="4"/>
    <s v="Semarang"/>
    <n v="500000"/>
    <n v="844000"/>
    <x v="5"/>
    <x v="1"/>
    <s v="Jakarta"/>
    <n v="2532000"/>
    <n v="1032000"/>
    <n v="40.76"/>
  </r>
  <r>
    <s v="TRX0452"/>
    <s v="P016"/>
    <s v="C003"/>
    <s v="Charles Lim"/>
    <n v="1"/>
    <x v="259"/>
    <s v="Microphone USB"/>
    <x v="4"/>
    <s v="Jakarta"/>
    <n v="1200000"/>
    <n v="1375000"/>
    <x v="3"/>
    <x v="0"/>
    <s v="Surabaya"/>
    <n v="1375000"/>
    <n v="175000"/>
    <n v="12.73"/>
  </r>
  <r>
    <s v="TRX0453"/>
    <s v="P004"/>
    <s v="C006"/>
    <s v="Fitri Handayani"/>
    <n v="15"/>
    <x v="66"/>
    <s v="Monitor LG 24&quot;"/>
    <x v="2"/>
    <s v="Jakarta"/>
    <n v="2000000"/>
    <n v="2533000"/>
    <x v="0"/>
    <x v="0"/>
    <s v="Semarang"/>
    <n v="37995000"/>
    <n v="7995000"/>
    <n v="21.04"/>
  </r>
  <r>
    <s v="TRX0454"/>
    <s v="P003"/>
    <s v="C002"/>
    <s v="Ani Wijaya"/>
    <n v="5"/>
    <x v="35"/>
    <s v="Keyboard Mechanical"/>
    <x v="0"/>
    <s v="Depok"/>
    <n v="650000"/>
    <n v="741000"/>
    <x v="13"/>
    <x v="1"/>
    <s v="Bandung"/>
    <n v="3705000"/>
    <n v="455000"/>
    <n v="12.28"/>
  </r>
  <r>
    <s v="TRX0455"/>
    <s v="P004"/>
    <s v="C008"/>
    <s v="Ani Wijaya"/>
    <n v="3"/>
    <x v="38"/>
    <s v="Monitor LG 24&quot;"/>
    <x v="2"/>
    <s v="Jakarta"/>
    <n v="2000000"/>
    <n v="2533000"/>
    <x v="7"/>
    <x v="0"/>
    <s v="Denpasar"/>
    <n v="7599000"/>
    <n v="1599000"/>
    <n v="21.04"/>
  </r>
  <r>
    <s v="TRX0456"/>
    <s v="P003"/>
    <s v="C001"/>
    <s v="Budi Santoso"/>
    <n v="15"/>
    <x v="100"/>
    <s v="Keyboard Mechanical"/>
    <x v="0"/>
    <s v="Depok"/>
    <n v="650000"/>
    <n v="741000"/>
    <x v="11"/>
    <x v="1"/>
    <s v="Jakarta"/>
    <n v="11115000"/>
    <n v="1365000"/>
    <n v="12.28"/>
  </r>
  <r>
    <s v="TRX0456"/>
    <s v="P004"/>
    <s v="C001"/>
    <s v="Budi Santoso"/>
    <n v="15"/>
    <x v="100"/>
    <s v="Monitor LG 24&quot;"/>
    <x v="2"/>
    <s v="Jakarta"/>
    <n v="2000000"/>
    <n v="2533000"/>
    <x v="11"/>
    <x v="1"/>
    <s v="Jakarta"/>
    <n v="37995000"/>
    <n v="7995000"/>
    <n v="21.04"/>
  </r>
  <r>
    <s v="TRX0456"/>
    <s v="P005"/>
    <s v="C001"/>
    <s v="Budi Santoso"/>
    <n v="15"/>
    <x v="100"/>
    <s v="Webcam Logitech"/>
    <x v="0"/>
    <s v="Semarang"/>
    <n v="350000"/>
    <n v="626000"/>
    <x v="11"/>
    <x v="1"/>
    <s v="Jakarta"/>
    <n v="9390000"/>
    <n v="4140000"/>
    <n v="44.09"/>
  </r>
  <r>
    <s v="TRX0457"/>
    <s v="P013"/>
    <s v="C007"/>
    <s v="Charles Lim"/>
    <n v="8"/>
    <x v="191"/>
    <s v="Laptop Asus ROG"/>
    <x v="2"/>
    <s v="Depok"/>
    <n v="18000000"/>
    <n v="27603000"/>
    <x v="14"/>
    <x v="1"/>
    <s v="Yogyakarta"/>
    <n v="220824000"/>
    <n v="76824000"/>
    <n v="34.79"/>
  </r>
  <r>
    <s v="TRX0458"/>
    <s v="P013"/>
    <s v="C006"/>
    <s v="Charles Lim"/>
    <n v="3"/>
    <x v="201"/>
    <s v="Laptop Asus ROG"/>
    <x v="2"/>
    <s v="Depok"/>
    <n v="18000000"/>
    <n v="27603000"/>
    <x v="0"/>
    <x v="0"/>
    <s v="Semarang"/>
    <n v="82809000"/>
    <n v="28809000"/>
    <n v="34.79"/>
  </r>
  <r>
    <s v="TRX0459"/>
    <s v="P006"/>
    <s v="C015"/>
    <s v="Eko Prasetyo"/>
    <n v="3"/>
    <x v="263"/>
    <s v="Printer HP LaserJet"/>
    <x v="2"/>
    <s v="Semarang"/>
    <n v="2800000"/>
    <n v="4747000"/>
    <x v="8"/>
    <x v="1"/>
    <s v="Tangerang"/>
    <n v="14241000"/>
    <n v="5841000"/>
    <n v="41.02"/>
  </r>
  <r>
    <s v="TRX0460"/>
    <s v="P012"/>
    <s v="C005"/>
    <s v="Budi Santoso"/>
    <n v="10"/>
    <x v="8"/>
    <s v="USB Flash Drive 64GB"/>
    <x v="0"/>
    <s v="Depok"/>
    <n v="80000"/>
    <n v="92000"/>
    <x v="6"/>
    <x v="1"/>
    <s v="Jakarta"/>
    <n v="920000"/>
    <n v="120000"/>
    <n v="13.04"/>
  </r>
  <r>
    <s v="TRX0461"/>
    <s v="P005"/>
    <s v="C004"/>
    <s v="Ani Wijaya"/>
    <n v="1"/>
    <x v="264"/>
    <s v="Webcam Logitech"/>
    <x v="0"/>
    <s v="Semarang"/>
    <n v="350000"/>
    <n v="626000"/>
    <x v="4"/>
    <x v="0"/>
    <s v="Medan"/>
    <n v="626000"/>
    <n v="276000"/>
    <n v="44.09"/>
  </r>
  <r>
    <s v="TRX0462"/>
    <s v="P002"/>
    <s v="C001"/>
    <s v="Dewi Lestari"/>
    <n v="8"/>
    <x v="196"/>
    <s v="Mouse Wireless"/>
    <x v="0"/>
    <s v="Semarang"/>
    <n v="100000"/>
    <n v="169000"/>
    <x v="11"/>
    <x v="1"/>
    <s v="Jakarta"/>
    <n v="1352000"/>
    <n v="552000"/>
    <n v="40.83"/>
  </r>
  <r>
    <s v="TRX0463"/>
    <s v="P005"/>
    <s v="C009"/>
    <s v="Charles Lim"/>
    <n v="13"/>
    <x v="163"/>
    <s v="Webcam Logitech"/>
    <x v="0"/>
    <s v="Semarang"/>
    <n v="350000"/>
    <n v="626000"/>
    <x v="12"/>
    <x v="1"/>
    <s v="Makassar"/>
    <n v="8138000"/>
    <n v="3588000"/>
    <n v="44.09"/>
  </r>
  <r>
    <s v="TRX0464"/>
    <s v="P017"/>
    <s v="C007"/>
    <s v="Charles Lim"/>
    <n v="5"/>
    <x v="196"/>
    <s v="Graphics Card RTX 3060"/>
    <x v="3"/>
    <s v="Depok"/>
    <n v="5000000"/>
    <n v="7546000"/>
    <x v="14"/>
    <x v="1"/>
    <s v="Yogyakarta"/>
    <n v="37730000"/>
    <n v="12730000"/>
    <n v="33.74"/>
  </r>
  <r>
    <s v="TRX0465"/>
    <s v="P011"/>
    <s v="C012"/>
    <s v="Fitri Handayani"/>
    <n v="3"/>
    <x v="265"/>
    <s v="External HDD 2TB"/>
    <x v="3"/>
    <s v="Semarang"/>
    <n v="950000"/>
    <n v="1649000"/>
    <x v="9"/>
    <x v="0"/>
    <s v="Malang"/>
    <n v="4947000"/>
    <n v="2097000"/>
    <n v="42.39"/>
  </r>
  <r>
    <s v="TRX0466"/>
    <s v="P008"/>
    <s v="C011"/>
    <s v="Budi Santoso"/>
    <n v="12"/>
    <x v="202"/>
    <s v="RAM DDR4 16GB"/>
    <x v="3"/>
    <s v="Jakarta"/>
    <n v="750000"/>
    <n v="971000"/>
    <x v="5"/>
    <x v="1"/>
    <s v="Jakarta"/>
    <n v="11652000"/>
    <n v="2652000"/>
    <n v="22.76"/>
  </r>
  <r>
    <s v="TRX0467"/>
    <s v="P018"/>
    <s v="C004"/>
    <s v="Fitri Handayani"/>
    <n v="3"/>
    <x v="163"/>
    <s v="Motherboard ASUS"/>
    <x v="3"/>
    <s v="Jakarta"/>
    <n v="2500000"/>
    <n v="3080000"/>
    <x v="4"/>
    <x v="0"/>
    <s v="Medan"/>
    <n v="9240000"/>
    <n v="1740000"/>
    <n v="18.829999999999998"/>
  </r>
  <r>
    <s v="TRX0468"/>
    <s v="P011"/>
    <s v="C001"/>
    <s v="Eko Prasetyo"/>
    <n v="7"/>
    <x v="30"/>
    <s v="External HDD 2TB"/>
    <x v="3"/>
    <s v="Semarang"/>
    <n v="950000"/>
    <n v="1649000"/>
    <x v="11"/>
    <x v="1"/>
    <s v="Jakarta"/>
    <n v="11543000"/>
    <n v="4893000"/>
    <n v="42.39"/>
  </r>
  <r>
    <s v="TRX0469"/>
    <s v="P019"/>
    <s v="C002"/>
    <s v="Charles Lim"/>
    <n v="3"/>
    <x v="93"/>
    <s v="Cooling Fan RGB"/>
    <x v="3"/>
    <s v="Semarang"/>
    <n v="400000"/>
    <n v="623000"/>
    <x v="13"/>
    <x v="1"/>
    <s v="Bandung"/>
    <n v="1869000"/>
    <n v="669000"/>
    <n v="35.79"/>
  </r>
  <r>
    <s v="TRX0470"/>
    <s v="P015"/>
    <s v="C003"/>
    <s v="Eko Prasetyo"/>
    <n v="11"/>
    <x v="253"/>
    <s v="Power Bank 20000mAh"/>
    <x v="0"/>
    <s v="Depok"/>
    <n v="300000"/>
    <n v="355000"/>
    <x v="3"/>
    <x v="0"/>
    <s v="Surabaya"/>
    <n v="3905000"/>
    <n v="605000"/>
    <n v="15.49"/>
  </r>
  <r>
    <s v="TRX0471"/>
    <s v="P010"/>
    <s v="C011"/>
    <s v="Fitri Handayani"/>
    <n v="7"/>
    <x v="0"/>
    <s v="Headset Gaming"/>
    <x v="4"/>
    <s v="Semarang"/>
    <n v="500000"/>
    <n v="844000"/>
    <x v="5"/>
    <x v="1"/>
    <s v="Jakarta"/>
    <n v="5908000"/>
    <n v="2408000"/>
    <n v="40.76"/>
  </r>
  <r>
    <s v="TRX0472"/>
    <s v="P004"/>
    <s v="C008"/>
    <s v="Charles Lim"/>
    <n v="1"/>
    <x v="13"/>
    <s v="Monitor LG 24&quot;"/>
    <x v="2"/>
    <s v="Jakarta"/>
    <n v="2000000"/>
    <n v="2533000"/>
    <x v="7"/>
    <x v="0"/>
    <s v="Denpasar"/>
    <n v="2533000"/>
    <n v="533000"/>
    <n v="21.04"/>
  </r>
  <r>
    <s v="TRX0473"/>
    <s v="P007"/>
    <s v="C011"/>
    <s v="Dewi Lestari"/>
    <n v="4"/>
    <x v="266"/>
    <s v="SSD Samsung 1TB"/>
    <x v="3"/>
    <s v="Depok"/>
    <n v="1500000"/>
    <n v="1772000"/>
    <x v="5"/>
    <x v="1"/>
    <s v="Jakarta"/>
    <n v="7088000"/>
    <n v="1088000"/>
    <n v="15.35"/>
  </r>
  <r>
    <s v="TRX0474"/>
    <s v="P006"/>
    <s v="C002"/>
    <s v="Dewi Lestari"/>
    <n v="11"/>
    <x v="66"/>
    <s v="Printer HP LaserJet"/>
    <x v="2"/>
    <s v="Semarang"/>
    <n v="2800000"/>
    <n v="4747000"/>
    <x v="13"/>
    <x v="1"/>
    <s v="Bandung"/>
    <n v="52217000"/>
    <n v="21417000"/>
    <n v="41.02"/>
  </r>
  <r>
    <s v="TRX0475"/>
    <s v="P011"/>
    <s v="C011"/>
    <s v="Ani Wijaya"/>
    <n v="11"/>
    <x v="204"/>
    <s v="External HDD 2TB"/>
    <x v="3"/>
    <s v="Semarang"/>
    <n v="950000"/>
    <n v="1649000"/>
    <x v="5"/>
    <x v="1"/>
    <s v="Jakarta"/>
    <n v="18139000"/>
    <n v="7689000"/>
    <n v="42.39"/>
  </r>
  <r>
    <s v="TRX0476"/>
    <s v="P003"/>
    <s v="C001"/>
    <s v="Budi Santoso"/>
    <n v="2"/>
    <x v="33"/>
    <s v="Keyboard Mechanical"/>
    <x v="0"/>
    <s v="Depok"/>
    <n v="650000"/>
    <n v="741000"/>
    <x v="11"/>
    <x v="1"/>
    <s v="Jakarta"/>
    <n v="1482000"/>
    <n v="182000"/>
    <n v="12.28"/>
  </r>
  <r>
    <s v="TRX0477"/>
    <s v="P018"/>
    <s v="C002"/>
    <s v="Eko Prasetyo"/>
    <n v="11"/>
    <x v="161"/>
    <s v="Motherboard ASUS"/>
    <x v="3"/>
    <s v="Jakarta"/>
    <n v="2500000"/>
    <n v="3080000"/>
    <x v="13"/>
    <x v="1"/>
    <s v="Bandung"/>
    <n v="33880000"/>
    <n v="6380000"/>
    <n v="18.829999999999998"/>
  </r>
  <r>
    <s v="TRX0478"/>
    <s v="P019"/>
    <s v="C008"/>
    <s v="Charles Lim"/>
    <n v="3"/>
    <x v="44"/>
    <s v="Cooling Fan RGB"/>
    <x v="3"/>
    <s v="Semarang"/>
    <n v="400000"/>
    <n v="623000"/>
    <x v="7"/>
    <x v="0"/>
    <s v="Denpasar"/>
    <n v="1869000"/>
    <n v="669000"/>
    <n v="35.79"/>
  </r>
  <r>
    <s v="TRX0479"/>
    <s v="P020"/>
    <s v="C004"/>
    <s v="Eko Prasetyo"/>
    <n v="9"/>
    <x v="267"/>
    <s v="Gaming Chair"/>
    <x v="1"/>
    <s v="Semarang"/>
    <n v="2000000"/>
    <n v="3382000"/>
    <x v="4"/>
    <x v="0"/>
    <s v="Medan"/>
    <n v="30438000"/>
    <n v="12438000"/>
    <n v="40.86"/>
  </r>
  <r>
    <s v="TRX0480"/>
    <s v="P005"/>
    <s v="C010"/>
    <s v="Budi Santoso"/>
    <n v="9"/>
    <x v="138"/>
    <s v="Webcam Logitech"/>
    <x v="0"/>
    <s v="Semarang"/>
    <n v="350000"/>
    <n v="626000"/>
    <x v="10"/>
    <x v="0"/>
    <s v="Palembang"/>
    <n v="5634000"/>
    <n v="2484000"/>
    <n v="44.09"/>
  </r>
  <r>
    <s v="TRX0481"/>
    <s v="P004"/>
    <s v="C002"/>
    <s v="Ani Wijaya"/>
    <n v="7"/>
    <x v="253"/>
    <s v="Monitor LG 24&quot;"/>
    <x v="2"/>
    <s v="Jakarta"/>
    <n v="2000000"/>
    <n v="2533000"/>
    <x v="13"/>
    <x v="1"/>
    <s v="Bandung"/>
    <n v="17731000"/>
    <n v="3731000"/>
    <n v="21.04"/>
  </r>
  <r>
    <s v="TRX0482"/>
    <s v="P005"/>
    <s v="C003"/>
    <s v="Dewi Lestari"/>
    <n v="1"/>
    <x v="23"/>
    <s v="Webcam Logitech"/>
    <x v="0"/>
    <s v="Semarang"/>
    <n v="350000"/>
    <n v="626000"/>
    <x v="3"/>
    <x v="0"/>
    <s v="Surabaya"/>
    <n v="626000"/>
    <n v="276000"/>
    <n v="44.09"/>
  </r>
  <r>
    <s v="TRX0483"/>
    <s v="P015"/>
    <s v="C003"/>
    <s v="Dewi Lestari"/>
    <n v="14"/>
    <x v="268"/>
    <s v="Power Bank 20000mAh"/>
    <x v="0"/>
    <s v="Depok"/>
    <n v="300000"/>
    <n v="355000"/>
    <x v="3"/>
    <x v="0"/>
    <s v="Surabaya"/>
    <n v="4970000"/>
    <n v="770000"/>
    <n v="15.49"/>
  </r>
  <r>
    <s v="TRX0484"/>
    <s v="P019"/>
    <s v="C008"/>
    <s v="Eko Prasetyo"/>
    <n v="15"/>
    <x v="52"/>
    <s v="Cooling Fan RGB"/>
    <x v="3"/>
    <s v="Semarang"/>
    <n v="400000"/>
    <n v="623000"/>
    <x v="7"/>
    <x v="0"/>
    <s v="Denpasar"/>
    <n v="9345000"/>
    <n v="3345000"/>
    <n v="35.79"/>
  </r>
  <r>
    <s v="TRX0485"/>
    <s v="P017"/>
    <s v="C012"/>
    <s v="Eko Prasetyo"/>
    <n v="2"/>
    <x v="151"/>
    <s v="Graphics Card RTX 3060"/>
    <x v="3"/>
    <s v="Depok"/>
    <n v="5000000"/>
    <n v="7546000"/>
    <x v="9"/>
    <x v="0"/>
    <s v="Malang"/>
    <n v="15092000"/>
    <n v="5092000"/>
    <n v="33.74"/>
  </r>
  <r>
    <s v="TRX0486"/>
    <s v="P020"/>
    <s v="C002"/>
    <s v="Fitri Handayani"/>
    <n v="3"/>
    <x v="269"/>
    <s v="Gaming Chair"/>
    <x v="1"/>
    <s v="Semarang"/>
    <n v="2000000"/>
    <n v="3382000"/>
    <x v="13"/>
    <x v="1"/>
    <s v="Bandung"/>
    <n v="10146000"/>
    <n v="4146000"/>
    <n v="40.86"/>
  </r>
  <r>
    <s v="TRX0487"/>
    <s v="P011"/>
    <s v="C005"/>
    <s v="Dewi Lestari"/>
    <n v="11"/>
    <x v="84"/>
    <s v="External HDD 2TB"/>
    <x v="3"/>
    <s v="Semarang"/>
    <n v="950000"/>
    <n v="1649000"/>
    <x v="6"/>
    <x v="1"/>
    <s v="Jakarta"/>
    <n v="18139000"/>
    <n v="7689000"/>
    <n v="42.39"/>
  </r>
  <r>
    <s v="TRX0488"/>
    <s v="P012"/>
    <s v="C007"/>
    <s v="Budi Santoso"/>
    <n v="8"/>
    <x v="90"/>
    <s v="USB Flash Drive 64GB"/>
    <x v="0"/>
    <s v="Depok"/>
    <n v="80000"/>
    <n v="92000"/>
    <x v="14"/>
    <x v="1"/>
    <s v="Yogyakarta"/>
    <n v="736000"/>
    <n v="96000"/>
    <n v="13.04"/>
  </r>
  <r>
    <s v="TRX0489"/>
    <s v="P009"/>
    <s v="C014"/>
    <s v="Ani Wijaya"/>
    <n v="7"/>
    <x v="270"/>
    <s v="Speaker Bluetooth"/>
    <x v="4"/>
    <s v="Semarang"/>
    <n v="250000"/>
    <n v="354000"/>
    <x v="1"/>
    <x v="0"/>
    <s v="Solo"/>
    <n v="2478000"/>
    <n v="728000"/>
    <n v="29.38"/>
  </r>
  <r>
    <s v="TRX0490"/>
    <s v="P001"/>
    <s v="C010"/>
    <s v="Ani Wijaya"/>
    <n v="5"/>
    <x v="271"/>
    <s v="Laptop Dell XPS 13"/>
    <x v="2"/>
    <s v="Jakarta"/>
    <n v="12000000"/>
    <n v="13963000"/>
    <x v="10"/>
    <x v="0"/>
    <s v="Palembang"/>
    <n v="69815000"/>
    <n v="9815000"/>
    <n v="14.06"/>
  </r>
  <r>
    <s v="TRX0491"/>
    <s v="P019"/>
    <s v="C006"/>
    <s v="Ani Wijaya"/>
    <n v="15"/>
    <x v="81"/>
    <s v="Cooling Fan RGB"/>
    <x v="3"/>
    <s v="Semarang"/>
    <n v="400000"/>
    <n v="623000"/>
    <x v="0"/>
    <x v="0"/>
    <s v="Semarang"/>
    <n v="9345000"/>
    <n v="3345000"/>
    <n v="35.79"/>
  </r>
  <r>
    <s v="TRX0492"/>
    <s v="P018"/>
    <s v="C008"/>
    <s v="Budi Santoso"/>
    <n v="4"/>
    <x v="118"/>
    <s v="Motherboard ASUS"/>
    <x v="3"/>
    <s v="Jakarta"/>
    <n v="2500000"/>
    <n v="3080000"/>
    <x v="7"/>
    <x v="0"/>
    <s v="Denpasar"/>
    <n v="12320000"/>
    <n v="2320000"/>
    <n v="18.829999999999998"/>
  </r>
  <r>
    <s v="TRX0493"/>
    <s v="P012"/>
    <s v="C014"/>
    <s v="Dewi Lestari"/>
    <n v="15"/>
    <x v="270"/>
    <s v="USB Flash Drive 64GB"/>
    <x v="0"/>
    <s v="Depok"/>
    <n v="80000"/>
    <n v="92000"/>
    <x v="1"/>
    <x v="0"/>
    <s v="Solo"/>
    <n v="1380000"/>
    <n v="180000"/>
    <n v="13.04"/>
  </r>
  <r>
    <s v="TRX0494"/>
    <s v="P008"/>
    <s v="C003"/>
    <s v="Ani Wijaya"/>
    <n v="6"/>
    <x v="180"/>
    <s v="RAM DDR4 16GB"/>
    <x v="3"/>
    <s v="Jakarta"/>
    <n v="750000"/>
    <n v="971000"/>
    <x v="3"/>
    <x v="0"/>
    <s v="Surabaya"/>
    <n v="5826000"/>
    <n v="1326000"/>
    <n v="22.76"/>
  </r>
  <r>
    <s v="TRX0495"/>
    <s v="P015"/>
    <s v="C003"/>
    <s v="Ani Wijaya"/>
    <n v="2"/>
    <x v="202"/>
    <s v="Power Bank 20000mAh"/>
    <x v="0"/>
    <s v="Depok"/>
    <n v="300000"/>
    <n v="355000"/>
    <x v="3"/>
    <x v="0"/>
    <s v="Surabaya"/>
    <n v="710000"/>
    <n v="110000"/>
    <n v="15.49"/>
  </r>
  <r>
    <s v="TRX0496"/>
    <s v="P016"/>
    <s v="C014"/>
    <s v="Charles Lim"/>
    <n v="1"/>
    <x v="121"/>
    <s v="Microphone USB"/>
    <x v="4"/>
    <s v="Jakarta"/>
    <n v="1200000"/>
    <n v="1375000"/>
    <x v="1"/>
    <x v="0"/>
    <s v="Solo"/>
    <n v="1375000"/>
    <n v="175000"/>
    <n v="12.73"/>
  </r>
  <r>
    <s v="TRX0497"/>
    <s v="P009"/>
    <s v="C015"/>
    <s v="Charles Lim"/>
    <n v="14"/>
    <x v="272"/>
    <s v="Speaker Bluetooth"/>
    <x v="4"/>
    <s v="Semarang"/>
    <n v="250000"/>
    <n v="354000"/>
    <x v="8"/>
    <x v="1"/>
    <s v="Tangerang"/>
    <n v="4956000"/>
    <n v="1456000"/>
    <n v="29.38"/>
  </r>
  <r>
    <s v="TRX0498"/>
    <s v="P012"/>
    <s v="C010"/>
    <s v="Dewi Lestari"/>
    <n v="4"/>
    <x v="239"/>
    <s v="USB Flash Drive 64GB"/>
    <x v="0"/>
    <s v="Depok"/>
    <n v="80000"/>
    <n v="92000"/>
    <x v="10"/>
    <x v="0"/>
    <s v="Palembang"/>
    <n v="368000"/>
    <n v="48000"/>
    <n v="13.04"/>
  </r>
  <r>
    <s v="TRX0499"/>
    <s v="P013"/>
    <s v="C007"/>
    <s v="Charles Lim"/>
    <n v="15"/>
    <x v="170"/>
    <s v="Laptop Asus ROG"/>
    <x v="2"/>
    <s v="Depok"/>
    <n v="18000000"/>
    <n v="27603000"/>
    <x v="14"/>
    <x v="1"/>
    <s v="Yogyakarta"/>
    <n v="414045000"/>
    <n v="144045000"/>
    <n v="34.79"/>
  </r>
  <r>
    <s v="TRX0500"/>
    <s v="P007"/>
    <s v="C010"/>
    <s v="Eko Prasetyo"/>
    <n v="9"/>
    <x v="86"/>
    <s v="SSD Samsung 1TB"/>
    <x v="3"/>
    <s v="Depok"/>
    <n v="1500000"/>
    <n v="1772000"/>
    <x v="10"/>
    <x v="0"/>
    <s v="Palembang"/>
    <n v="15948000"/>
    <n v="2448000"/>
    <n v="15.35"/>
  </r>
  <r>
    <s v="TRX0501"/>
    <s v="P015"/>
    <s v="C002"/>
    <s v="Ani Wijaya"/>
    <n v="12"/>
    <x v="149"/>
    <s v="Power Bank 20000mAh"/>
    <x v="0"/>
    <s v="Depok"/>
    <n v="300000"/>
    <n v="355000"/>
    <x v="13"/>
    <x v="1"/>
    <s v="Bandung"/>
    <n v="4260000"/>
    <n v="660000"/>
    <n v="15.49"/>
  </r>
  <r>
    <s v="TRX0502"/>
    <s v="P010"/>
    <s v="C006"/>
    <s v="Ani Wijaya"/>
    <n v="8"/>
    <x v="3"/>
    <s v="Headset Gaming"/>
    <x v="4"/>
    <s v="Semarang"/>
    <n v="500000"/>
    <n v="844000"/>
    <x v="0"/>
    <x v="0"/>
    <s v="Semarang"/>
    <n v="6752000"/>
    <n v="2752000"/>
    <n v="40.76"/>
  </r>
  <r>
    <s v="TRX0503"/>
    <s v="P015"/>
    <s v="C014"/>
    <s v="Budi Santoso"/>
    <n v="15"/>
    <x v="77"/>
    <s v="Power Bank 20000mAh"/>
    <x v="0"/>
    <s v="Depok"/>
    <n v="300000"/>
    <n v="355000"/>
    <x v="1"/>
    <x v="0"/>
    <s v="Solo"/>
    <n v="5325000"/>
    <n v="825000"/>
    <n v="15.49"/>
  </r>
  <r>
    <s v="TRX0504"/>
    <s v="P020"/>
    <s v="C011"/>
    <s v="Dewi Lestari"/>
    <n v="1"/>
    <x v="273"/>
    <s v="Gaming Chair"/>
    <x v="1"/>
    <s v="Semarang"/>
    <n v="2000000"/>
    <n v="3382000"/>
    <x v="5"/>
    <x v="1"/>
    <s v="Jakarta"/>
    <n v="3382000"/>
    <n v="1382000"/>
    <n v="40.86"/>
  </r>
  <r>
    <s v="TRX0505"/>
    <s v="P001"/>
    <s v="C013"/>
    <s v="Fitri Handayani"/>
    <n v="15"/>
    <x v="122"/>
    <s v="Laptop Dell XPS 13"/>
    <x v="2"/>
    <s v="Jakarta"/>
    <n v="12000000"/>
    <n v="13963000"/>
    <x v="2"/>
    <x v="1"/>
    <s v="Bandung"/>
    <n v="209445000"/>
    <n v="29445000"/>
    <n v="14.06"/>
  </r>
  <r>
    <s v="TRX0506"/>
    <s v="P019"/>
    <s v="C007"/>
    <s v="Charles Lim"/>
    <n v="4"/>
    <x v="8"/>
    <s v="Cooling Fan RGB"/>
    <x v="3"/>
    <s v="Semarang"/>
    <n v="400000"/>
    <n v="623000"/>
    <x v="14"/>
    <x v="1"/>
    <s v="Yogyakarta"/>
    <n v="2492000"/>
    <n v="892000"/>
    <n v="35.79"/>
  </r>
  <r>
    <s v="TRX0507"/>
    <s v="P007"/>
    <s v="C003"/>
    <s v="Dewi Lestari"/>
    <n v="14"/>
    <x v="125"/>
    <s v="SSD Samsung 1TB"/>
    <x v="3"/>
    <s v="Depok"/>
    <n v="1500000"/>
    <n v="1772000"/>
    <x v="3"/>
    <x v="0"/>
    <s v="Surabaya"/>
    <n v="24808000"/>
    <n v="3808000"/>
    <n v="15.35"/>
  </r>
  <r>
    <s v="TRX0508"/>
    <s v="P020"/>
    <s v="C003"/>
    <s v="Fitri Handayani"/>
    <n v="15"/>
    <x v="274"/>
    <s v="Gaming Chair"/>
    <x v="1"/>
    <s v="Semarang"/>
    <n v="2000000"/>
    <n v="3382000"/>
    <x v="3"/>
    <x v="0"/>
    <s v="Surabaya"/>
    <n v="50730000"/>
    <n v="20730000"/>
    <n v="40.86"/>
  </r>
  <r>
    <s v="TRX0509"/>
    <s v="P016"/>
    <s v="C007"/>
    <s v="Dewi Lestari"/>
    <n v="11"/>
    <x v="116"/>
    <s v="Microphone USB"/>
    <x v="4"/>
    <s v="Jakarta"/>
    <n v="1200000"/>
    <n v="1375000"/>
    <x v="14"/>
    <x v="1"/>
    <s v="Yogyakarta"/>
    <n v="15125000"/>
    <n v="1925000"/>
    <n v="12.73"/>
  </r>
  <r>
    <s v="TRX0510"/>
    <s v="P003"/>
    <s v="C007"/>
    <s v="Eko Prasetyo"/>
    <n v="5"/>
    <x v="33"/>
    <s v="Keyboard Mechanical"/>
    <x v="0"/>
    <s v="Depok"/>
    <n v="650000"/>
    <n v="741000"/>
    <x v="14"/>
    <x v="1"/>
    <s v="Yogyakarta"/>
    <n v="3705000"/>
    <n v="455000"/>
    <n v="12.28"/>
  </r>
  <r>
    <s v="TRX0511"/>
    <s v="P003"/>
    <s v="C013"/>
    <s v="Charles Lim"/>
    <n v="9"/>
    <x v="161"/>
    <s v="Keyboard Mechanical"/>
    <x v="0"/>
    <s v="Depok"/>
    <n v="650000"/>
    <n v="741000"/>
    <x v="2"/>
    <x v="1"/>
    <s v="Bandung"/>
    <n v="6669000"/>
    <n v="819000"/>
    <n v="12.28"/>
  </r>
  <r>
    <s v="TRX0512"/>
    <s v="P009"/>
    <s v="C014"/>
    <s v="Eko Prasetyo"/>
    <n v="2"/>
    <x v="59"/>
    <s v="Speaker Bluetooth"/>
    <x v="4"/>
    <s v="Semarang"/>
    <n v="250000"/>
    <n v="354000"/>
    <x v="1"/>
    <x v="0"/>
    <s v="Solo"/>
    <n v="708000"/>
    <n v="208000"/>
    <n v="29.38"/>
  </r>
  <r>
    <s v="TRX0513"/>
    <s v="P011"/>
    <s v="C006"/>
    <s v="Fitri Handayani"/>
    <n v="1"/>
    <x v="275"/>
    <s v="External HDD 2TB"/>
    <x v="3"/>
    <s v="Semarang"/>
    <n v="950000"/>
    <n v="1649000"/>
    <x v="0"/>
    <x v="0"/>
    <s v="Semarang"/>
    <n v="1649000"/>
    <n v="699000"/>
    <n v="42.39"/>
  </r>
  <r>
    <s v="TRX0514"/>
    <s v="P018"/>
    <s v="C014"/>
    <s v="Fitri Handayani"/>
    <n v="11"/>
    <x v="47"/>
    <s v="Motherboard ASUS"/>
    <x v="3"/>
    <s v="Jakarta"/>
    <n v="2500000"/>
    <n v="3080000"/>
    <x v="1"/>
    <x v="0"/>
    <s v="Solo"/>
    <n v="33880000"/>
    <n v="6380000"/>
    <n v="18.829999999999998"/>
  </r>
  <r>
    <s v="TRX0515"/>
    <s v="P003"/>
    <s v="C006"/>
    <s v="Charles Lim"/>
    <n v="2"/>
    <x v="67"/>
    <s v="Keyboard Mechanical"/>
    <x v="0"/>
    <s v="Depok"/>
    <n v="650000"/>
    <n v="741000"/>
    <x v="0"/>
    <x v="0"/>
    <s v="Semarang"/>
    <n v="1482000"/>
    <n v="182000"/>
    <n v="12.28"/>
  </r>
  <r>
    <s v="TRX0516"/>
    <s v="P016"/>
    <s v="C011"/>
    <s v="Charles Lim"/>
    <n v="4"/>
    <x v="276"/>
    <s v="Microphone USB"/>
    <x v="4"/>
    <s v="Jakarta"/>
    <n v="1200000"/>
    <n v="1375000"/>
    <x v="5"/>
    <x v="1"/>
    <s v="Jakarta"/>
    <n v="5500000"/>
    <n v="700000"/>
    <n v="12.73"/>
  </r>
  <r>
    <s v="TRX0517"/>
    <s v="P015"/>
    <s v="C011"/>
    <s v="Ani Wijaya"/>
    <n v="3"/>
    <x v="27"/>
    <s v="Power Bank 20000mAh"/>
    <x v="0"/>
    <s v="Depok"/>
    <n v="300000"/>
    <n v="355000"/>
    <x v="5"/>
    <x v="1"/>
    <s v="Jakarta"/>
    <n v="1065000"/>
    <n v="165000"/>
    <n v="15.49"/>
  </r>
  <r>
    <s v="TRX0518"/>
    <s v="P002"/>
    <s v="C006"/>
    <s v="Charles Lim"/>
    <n v="14"/>
    <x v="131"/>
    <s v="Mouse Wireless"/>
    <x v="0"/>
    <s v="Semarang"/>
    <n v="100000"/>
    <n v="169000"/>
    <x v="0"/>
    <x v="0"/>
    <s v="Semarang"/>
    <n v="2366000"/>
    <n v="966000"/>
    <n v="40.83"/>
  </r>
  <r>
    <s v="TRX0519"/>
    <s v="P006"/>
    <s v="C005"/>
    <s v="Fitri Handayani"/>
    <n v="10"/>
    <x v="92"/>
    <s v="Printer HP LaserJet"/>
    <x v="2"/>
    <s v="Semarang"/>
    <n v="2800000"/>
    <n v="4747000"/>
    <x v="6"/>
    <x v="1"/>
    <s v="Jakarta"/>
    <n v="47470000"/>
    <n v="19470000"/>
    <n v="41.02"/>
  </r>
  <r>
    <s v="TRX0520"/>
    <s v="P012"/>
    <s v="C007"/>
    <s v="Charles Lim"/>
    <n v="13"/>
    <x v="271"/>
    <s v="USB Flash Drive 64GB"/>
    <x v="0"/>
    <s v="Depok"/>
    <n v="80000"/>
    <n v="92000"/>
    <x v="14"/>
    <x v="1"/>
    <s v="Yogyakarta"/>
    <n v="1196000"/>
    <n v="156000"/>
    <n v="13.04"/>
  </r>
  <r>
    <s v="TRX0521"/>
    <s v="P007"/>
    <s v="C007"/>
    <s v="Ani Wijaya"/>
    <n v="10"/>
    <x v="56"/>
    <s v="SSD Samsung 1TB"/>
    <x v="3"/>
    <s v="Depok"/>
    <n v="1500000"/>
    <n v="1772000"/>
    <x v="14"/>
    <x v="1"/>
    <s v="Yogyakarta"/>
    <n v="17720000"/>
    <n v="2720000"/>
    <n v="15.35"/>
  </r>
  <r>
    <s v="TRX0522"/>
    <s v="P006"/>
    <s v="C009"/>
    <s v="Charles Lim"/>
    <n v="1"/>
    <x v="131"/>
    <s v="Printer HP LaserJet"/>
    <x v="2"/>
    <s v="Semarang"/>
    <n v="2800000"/>
    <n v="4747000"/>
    <x v="12"/>
    <x v="1"/>
    <s v="Makassar"/>
    <n v="4747000"/>
    <n v="1947000"/>
    <n v="41.02"/>
  </r>
  <r>
    <s v="TRX0523"/>
    <s v="P017"/>
    <s v="C012"/>
    <s v="Dewi Lestari"/>
    <n v="9"/>
    <x v="43"/>
    <s v="Graphics Card RTX 3060"/>
    <x v="3"/>
    <s v="Depok"/>
    <n v="5000000"/>
    <n v="7546000"/>
    <x v="9"/>
    <x v="0"/>
    <s v="Malang"/>
    <n v="67914000"/>
    <n v="22914000"/>
    <n v="33.74"/>
  </r>
  <r>
    <s v="TRX0524"/>
    <s v="P019"/>
    <s v="C006"/>
    <s v="Budi Santoso"/>
    <n v="5"/>
    <x v="153"/>
    <s v="Cooling Fan RGB"/>
    <x v="3"/>
    <s v="Semarang"/>
    <n v="400000"/>
    <n v="623000"/>
    <x v="0"/>
    <x v="0"/>
    <s v="Semarang"/>
    <n v="3115000"/>
    <n v="1115000"/>
    <n v="35.79"/>
  </r>
  <r>
    <s v="TRX0525"/>
    <s v="P007"/>
    <s v="C014"/>
    <s v="Eko Prasetyo"/>
    <n v="8"/>
    <x v="243"/>
    <s v="SSD Samsung 1TB"/>
    <x v="3"/>
    <s v="Depok"/>
    <n v="1500000"/>
    <n v="1772000"/>
    <x v="1"/>
    <x v="0"/>
    <s v="Solo"/>
    <n v="14176000"/>
    <n v="2176000"/>
    <n v="15.35"/>
  </r>
  <r>
    <s v="TRX0525"/>
    <s v="P008"/>
    <s v="C014"/>
    <s v="Eko Prasetyo"/>
    <n v="8"/>
    <x v="243"/>
    <s v="RAM DDR4 16GB"/>
    <x v="3"/>
    <s v="Jakarta"/>
    <n v="750000"/>
    <n v="971000"/>
    <x v="1"/>
    <x v="0"/>
    <s v="Solo"/>
    <n v="7768000"/>
    <n v="1768000"/>
    <n v="22.76"/>
  </r>
  <r>
    <s v="TRX0525"/>
    <s v="P014"/>
    <s v="C014"/>
    <s v="Eko Prasetyo"/>
    <n v="16"/>
    <x v="243"/>
    <s v="Tablet Samsung Galaxy"/>
    <x v="2"/>
    <s v="Depok"/>
    <n v="4500000"/>
    <n v="5522000"/>
    <x v="1"/>
    <x v="0"/>
    <s v="Solo"/>
    <n v="88352000"/>
    <n v="16352000"/>
    <n v="18.510000000000002"/>
  </r>
  <r>
    <s v="TRX0525"/>
    <s v="P015"/>
    <s v="C014"/>
    <s v="Eko Prasetyo"/>
    <n v="8"/>
    <x v="243"/>
    <s v="Power Bank 20000mAh"/>
    <x v="0"/>
    <s v="Depok"/>
    <n v="300000"/>
    <n v="355000"/>
    <x v="1"/>
    <x v="0"/>
    <s v="Solo"/>
    <n v="2840000"/>
    <n v="440000"/>
    <n v="15.49"/>
  </r>
  <r>
    <s v="TRX0526"/>
    <s v="P019"/>
    <s v="C015"/>
    <s v="Budi Santoso"/>
    <n v="11"/>
    <x v="133"/>
    <s v="Cooling Fan RGB"/>
    <x v="3"/>
    <s v="Semarang"/>
    <n v="400000"/>
    <n v="623000"/>
    <x v="8"/>
    <x v="1"/>
    <s v="Tangerang"/>
    <n v="6853000"/>
    <n v="2453000"/>
    <n v="35.79"/>
  </r>
  <r>
    <s v="TRX0527"/>
    <s v="P020"/>
    <s v="C010"/>
    <s v="Dewi Lestari"/>
    <n v="15"/>
    <x v="180"/>
    <s v="Gaming Chair"/>
    <x v="1"/>
    <s v="Semarang"/>
    <n v="2000000"/>
    <n v="3382000"/>
    <x v="10"/>
    <x v="0"/>
    <s v="Palembang"/>
    <n v="50730000"/>
    <n v="20730000"/>
    <n v="40.86"/>
  </r>
  <r>
    <s v="TRX0528"/>
    <s v="P009"/>
    <s v="C003"/>
    <s v="Budi Santoso"/>
    <n v="14"/>
    <x v="147"/>
    <s v="Speaker Bluetooth"/>
    <x v="4"/>
    <s v="Semarang"/>
    <n v="250000"/>
    <n v="354000"/>
    <x v="3"/>
    <x v="0"/>
    <s v="Surabaya"/>
    <n v="4956000"/>
    <n v="1456000"/>
    <n v="29.38"/>
  </r>
  <r>
    <s v="TRX0529"/>
    <s v="P019"/>
    <s v="C002"/>
    <s v="Charles Lim"/>
    <n v="6"/>
    <x v="239"/>
    <s v="Cooling Fan RGB"/>
    <x v="3"/>
    <s v="Semarang"/>
    <n v="400000"/>
    <n v="623000"/>
    <x v="13"/>
    <x v="1"/>
    <s v="Bandung"/>
    <n v="3738000"/>
    <n v="1338000"/>
    <n v="35.79"/>
  </r>
  <r>
    <s v="TRX0530"/>
    <s v="P006"/>
    <s v="C001"/>
    <s v="Charles Lim"/>
    <n v="1"/>
    <x v="206"/>
    <s v="Printer HP LaserJet"/>
    <x v="2"/>
    <s v="Semarang"/>
    <n v="2800000"/>
    <n v="4747000"/>
    <x v="11"/>
    <x v="1"/>
    <s v="Jakarta"/>
    <n v="4747000"/>
    <n v="1947000"/>
    <n v="41.02"/>
  </r>
  <r>
    <s v="TRX0531"/>
    <s v="P016"/>
    <s v="C015"/>
    <s v="Ani Wijaya"/>
    <n v="12"/>
    <x v="96"/>
    <s v="Microphone USB"/>
    <x v="4"/>
    <s v="Jakarta"/>
    <n v="1200000"/>
    <n v="1375000"/>
    <x v="8"/>
    <x v="1"/>
    <s v="Tangerang"/>
    <n v="16500000"/>
    <n v="2100000"/>
    <n v="12.73"/>
  </r>
  <r>
    <s v="TRX0532"/>
    <s v="P017"/>
    <s v="C001"/>
    <s v="Eko Prasetyo"/>
    <n v="8"/>
    <x v="277"/>
    <s v="Graphics Card RTX 3060"/>
    <x v="3"/>
    <s v="Depok"/>
    <n v="5000000"/>
    <n v="7546000"/>
    <x v="11"/>
    <x v="1"/>
    <s v="Jakarta"/>
    <n v="60368000"/>
    <n v="20368000"/>
    <n v="33.74"/>
  </r>
  <r>
    <s v="TRX0533"/>
    <s v="P011"/>
    <s v="C007"/>
    <s v="Fitri Handayani"/>
    <n v="15"/>
    <x v="199"/>
    <s v="External HDD 2TB"/>
    <x v="3"/>
    <s v="Semarang"/>
    <n v="950000"/>
    <n v="1649000"/>
    <x v="14"/>
    <x v="1"/>
    <s v="Yogyakarta"/>
    <n v="24735000"/>
    <n v="10485000"/>
    <n v="42.39"/>
  </r>
  <r>
    <s v="TRX0534"/>
    <s v="P018"/>
    <s v="C010"/>
    <s v="Charles Lim"/>
    <n v="11"/>
    <x v="82"/>
    <s v="Motherboard ASUS"/>
    <x v="3"/>
    <s v="Jakarta"/>
    <n v="2500000"/>
    <n v="3080000"/>
    <x v="10"/>
    <x v="0"/>
    <s v="Palembang"/>
    <n v="33880000"/>
    <n v="6380000"/>
    <n v="18.829999999999998"/>
  </r>
  <r>
    <s v="TRX0535"/>
    <s v="P018"/>
    <s v="C013"/>
    <s v="Ani Wijaya"/>
    <n v="10"/>
    <x v="40"/>
    <s v="Motherboard ASUS"/>
    <x v="3"/>
    <s v="Jakarta"/>
    <n v="2500000"/>
    <n v="3080000"/>
    <x v="2"/>
    <x v="1"/>
    <s v="Bandung"/>
    <n v="30800000"/>
    <n v="5800000"/>
    <n v="18.829999999999998"/>
  </r>
  <r>
    <s v="TRX0536"/>
    <s v="P003"/>
    <s v="C001"/>
    <s v="Ani Wijaya"/>
    <n v="12"/>
    <x v="3"/>
    <s v="Keyboard Mechanical"/>
    <x v="0"/>
    <s v="Depok"/>
    <n v="650000"/>
    <n v="741000"/>
    <x v="11"/>
    <x v="1"/>
    <s v="Jakarta"/>
    <n v="8892000"/>
    <n v="1092000"/>
    <n v="12.28"/>
  </r>
  <r>
    <s v="TRX0537"/>
    <s v="P008"/>
    <s v="C006"/>
    <s v="Charles Lim"/>
    <n v="10"/>
    <x v="274"/>
    <s v="RAM DDR4 16GB"/>
    <x v="3"/>
    <s v="Jakarta"/>
    <n v="750000"/>
    <n v="971000"/>
    <x v="0"/>
    <x v="0"/>
    <s v="Semarang"/>
    <n v="9710000"/>
    <n v="2210000"/>
    <n v="22.76"/>
  </r>
  <r>
    <s v="TRX0538"/>
    <s v="P010"/>
    <s v="C004"/>
    <s v="Dewi Lestari"/>
    <n v="4"/>
    <x v="174"/>
    <s v="Headset Gaming"/>
    <x v="4"/>
    <s v="Semarang"/>
    <n v="500000"/>
    <n v="844000"/>
    <x v="4"/>
    <x v="0"/>
    <s v="Medan"/>
    <n v="3376000"/>
    <n v="1376000"/>
    <n v="40.76"/>
  </r>
  <r>
    <s v="TRX0539"/>
    <s v="P008"/>
    <s v="C012"/>
    <s v="Budi Santoso"/>
    <n v="13"/>
    <x v="126"/>
    <s v="RAM DDR4 16GB"/>
    <x v="3"/>
    <s v="Jakarta"/>
    <n v="750000"/>
    <n v="971000"/>
    <x v="9"/>
    <x v="0"/>
    <s v="Malang"/>
    <n v="12623000"/>
    <n v="2873000"/>
    <n v="22.76"/>
  </r>
  <r>
    <s v="TRX0540"/>
    <s v="P009"/>
    <s v="C012"/>
    <s v="Dewi Lestari"/>
    <n v="12"/>
    <x v="278"/>
    <s v="Speaker Bluetooth"/>
    <x v="4"/>
    <s v="Semarang"/>
    <n v="250000"/>
    <n v="354000"/>
    <x v="9"/>
    <x v="0"/>
    <s v="Malang"/>
    <n v="4248000"/>
    <n v="1248000"/>
    <n v="29.38"/>
  </r>
  <r>
    <s v="TRX0541"/>
    <s v="P003"/>
    <s v="C012"/>
    <s v="Fitri Handayani"/>
    <n v="14"/>
    <x v="108"/>
    <s v="Keyboard Mechanical"/>
    <x v="0"/>
    <s v="Depok"/>
    <n v="650000"/>
    <n v="741000"/>
    <x v="9"/>
    <x v="0"/>
    <s v="Malang"/>
    <n v="10374000"/>
    <n v="1274000"/>
    <n v="12.28"/>
  </r>
  <r>
    <s v="TRX0542"/>
    <s v="P001"/>
    <s v="C009"/>
    <s v="Ani Wijaya"/>
    <n v="11"/>
    <x v="193"/>
    <s v="Laptop Dell XPS 13"/>
    <x v="2"/>
    <s v="Jakarta"/>
    <n v="12000000"/>
    <n v="13963000"/>
    <x v="12"/>
    <x v="1"/>
    <s v="Makassar"/>
    <n v="153593000"/>
    <n v="21593000"/>
    <n v="14.06"/>
  </r>
  <r>
    <s v="TRX0543"/>
    <s v="P007"/>
    <s v="C001"/>
    <s v="Budi Santoso"/>
    <n v="12"/>
    <x v="218"/>
    <s v="SSD Samsung 1TB"/>
    <x v="3"/>
    <s v="Depok"/>
    <n v="1500000"/>
    <n v="1772000"/>
    <x v="11"/>
    <x v="1"/>
    <s v="Jakarta"/>
    <n v="21264000"/>
    <n v="3264000"/>
    <n v="15.35"/>
  </r>
  <r>
    <s v="TRX0544"/>
    <s v="P013"/>
    <s v="C011"/>
    <s v="Charles Lim"/>
    <n v="3"/>
    <x v="275"/>
    <s v="Laptop Asus ROG"/>
    <x v="2"/>
    <s v="Depok"/>
    <n v="18000000"/>
    <n v="27603000"/>
    <x v="5"/>
    <x v="1"/>
    <s v="Jakarta"/>
    <n v="82809000"/>
    <n v="28809000"/>
    <n v="34.79"/>
  </r>
  <r>
    <s v="TRX0545"/>
    <s v="P017"/>
    <s v="C004"/>
    <s v="Ani Wijaya"/>
    <n v="14"/>
    <x v="277"/>
    <s v="Graphics Card RTX 3060"/>
    <x v="3"/>
    <s v="Depok"/>
    <n v="5000000"/>
    <n v="7546000"/>
    <x v="4"/>
    <x v="0"/>
    <s v="Medan"/>
    <n v="105644000"/>
    <n v="35644000"/>
    <n v="33.74"/>
  </r>
  <r>
    <s v="TRX0546"/>
    <s v="P003"/>
    <s v="C001"/>
    <s v="Budi Santoso"/>
    <n v="12"/>
    <x v="97"/>
    <s v="Keyboard Mechanical"/>
    <x v="0"/>
    <s v="Depok"/>
    <n v="650000"/>
    <n v="741000"/>
    <x v="11"/>
    <x v="1"/>
    <s v="Jakarta"/>
    <n v="8892000"/>
    <n v="1092000"/>
    <n v="12.28"/>
  </r>
  <r>
    <s v="TRX0547"/>
    <s v="P002"/>
    <s v="C008"/>
    <s v="Budi Santoso"/>
    <n v="10"/>
    <x v="83"/>
    <s v="Mouse Wireless"/>
    <x v="0"/>
    <s v="Semarang"/>
    <n v="100000"/>
    <n v="169000"/>
    <x v="7"/>
    <x v="0"/>
    <s v="Denpasar"/>
    <n v="1690000"/>
    <n v="690000"/>
    <n v="40.83"/>
  </r>
  <r>
    <s v="TRX0548"/>
    <s v="P006"/>
    <s v="C015"/>
    <s v="Charles Lim"/>
    <n v="3"/>
    <x v="279"/>
    <s v="Printer HP LaserJet"/>
    <x v="2"/>
    <s v="Semarang"/>
    <n v="2800000"/>
    <n v="4747000"/>
    <x v="8"/>
    <x v="1"/>
    <s v="Tangerang"/>
    <n v="14241000"/>
    <n v="5841000"/>
    <n v="41.02"/>
  </r>
  <r>
    <s v="TRX0549"/>
    <s v="P004"/>
    <s v="C005"/>
    <s v="Fitri Handayani"/>
    <n v="2"/>
    <x v="119"/>
    <s v="Monitor LG 24&quot;"/>
    <x v="2"/>
    <s v="Jakarta"/>
    <n v="2000000"/>
    <n v="2533000"/>
    <x v="6"/>
    <x v="1"/>
    <s v="Jakarta"/>
    <n v="5066000"/>
    <n v="1066000"/>
    <n v="21.04"/>
  </r>
  <r>
    <s v="TRX0550"/>
    <s v="P006"/>
    <s v="C003"/>
    <s v="Dewi Lestari"/>
    <n v="1"/>
    <x v="69"/>
    <s v="Printer HP LaserJet"/>
    <x v="2"/>
    <s v="Semarang"/>
    <n v="2800000"/>
    <n v="4747000"/>
    <x v="3"/>
    <x v="0"/>
    <s v="Surabaya"/>
    <n v="4747000"/>
    <n v="1947000"/>
    <n v="41.02"/>
  </r>
  <r>
    <s v="TRX0551"/>
    <s v="P014"/>
    <s v="C012"/>
    <s v="Charles Lim"/>
    <n v="6"/>
    <x v="130"/>
    <s v="Tablet Samsung Galaxy"/>
    <x v="2"/>
    <s v="Depok"/>
    <n v="4500000"/>
    <n v="5522000"/>
    <x v="9"/>
    <x v="0"/>
    <s v="Malang"/>
    <n v="33132000"/>
    <n v="6132000"/>
    <n v="18.510000000000002"/>
  </r>
  <r>
    <s v="TRX0552"/>
    <s v="P015"/>
    <s v="C005"/>
    <s v="Ani Wijaya"/>
    <n v="4"/>
    <x v="280"/>
    <s v="Power Bank 20000mAh"/>
    <x v="0"/>
    <s v="Depok"/>
    <n v="300000"/>
    <n v="355000"/>
    <x v="6"/>
    <x v="1"/>
    <s v="Jakarta"/>
    <n v="1420000"/>
    <n v="220000"/>
    <n v="15.49"/>
  </r>
  <r>
    <s v="TRX0553"/>
    <s v="P011"/>
    <s v="C007"/>
    <s v="Fitri Handayani"/>
    <n v="1"/>
    <x v="237"/>
    <s v="External HDD 2TB"/>
    <x v="3"/>
    <s v="Semarang"/>
    <n v="950000"/>
    <n v="1649000"/>
    <x v="14"/>
    <x v="1"/>
    <s v="Yogyakarta"/>
    <n v="1649000"/>
    <n v="699000"/>
    <n v="42.39"/>
  </r>
  <r>
    <s v="TRX0554"/>
    <s v="P014"/>
    <s v="C006"/>
    <s v="Eko Prasetyo"/>
    <n v="7"/>
    <x v="281"/>
    <s v="Tablet Samsung Galaxy"/>
    <x v="2"/>
    <s v="Depok"/>
    <n v="4500000"/>
    <n v="5522000"/>
    <x v="0"/>
    <x v="0"/>
    <s v="Semarang"/>
    <n v="38654000"/>
    <n v="7154000"/>
    <n v="18.510000000000002"/>
  </r>
  <r>
    <s v="TRX0555"/>
    <s v="P012"/>
    <s v="C010"/>
    <s v="Charles Lim"/>
    <n v="2"/>
    <x v="276"/>
    <s v="USB Flash Drive 64GB"/>
    <x v="0"/>
    <s v="Depok"/>
    <n v="80000"/>
    <n v="92000"/>
    <x v="10"/>
    <x v="0"/>
    <s v="Palembang"/>
    <n v="184000"/>
    <n v="24000"/>
    <n v="13.04"/>
  </r>
  <r>
    <s v="TRX0556"/>
    <s v="P009"/>
    <s v="C004"/>
    <s v="Dewi Lestari"/>
    <n v="9"/>
    <x v="282"/>
    <s v="Speaker Bluetooth"/>
    <x v="4"/>
    <s v="Semarang"/>
    <n v="250000"/>
    <n v="354000"/>
    <x v="4"/>
    <x v="0"/>
    <s v="Medan"/>
    <n v="3186000"/>
    <n v="936000"/>
    <n v="29.38"/>
  </r>
  <r>
    <s v="TRX0557"/>
    <s v="P006"/>
    <s v="C001"/>
    <s v="Eko Prasetyo"/>
    <n v="3"/>
    <x v="205"/>
    <s v="Printer HP LaserJet"/>
    <x v="2"/>
    <s v="Semarang"/>
    <n v="2800000"/>
    <n v="4747000"/>
    <x v="11"/>
    <x v="1"/>
    <s v="Jakarta"/>
    <n v="14241000"/>
    <n v="5841000"/>
    <n v="41.02"/>
  </r>
  <r>
    <s v="TRX0558"/>
    <s v="P019"/>
    <s v="C014"/>
    <s v="Eko Prasetyo"/>
    <n v="8"/>
    <x v="268"/>
    <s v="Cooling Fan RGB"/>
    <x v="3"/>
    <s v="Semarang"/>
    <n v="400000"/>
    <n v="623000"/>
    <x v="1"/>
    <x v="0"/>
    <s v="Solo"/>
    <n v="4984000"/>
    <n v="1784000"/>
    <n v="35.79"/>
  </r>
  <r>
    <s v="TRX0559"/>
    <s v="P006"/>
    <s v="C007"/>
    <s v="Charles Lim"/>
    <n v="10"/>
    <x v="78"/>
    <s v="Printer HP LaserJet"/>
    <x v="2"/>
    <s v="Semarang"/>
    <n v="2800000"/>
    <n v="4747000"/>
    <x v="14"/>
    <x v="1"/>
    <s v="Yogyakarta"/>
    <n v="47470000"/>
    <n v="19470000"/>
    <n v="41.02"/>
  </r>
  <r>
    <s v="TRX0560"/>
    <s v="P019"/>
    <s v="C007"/>
    <s v="Ani Wijaya"/>
    <n v="6"/>
    <x v="73"/>
    <s v="Cooling Fan RGB"/>
    <x v="3"/>
    <s v="Semarang"/>
    <n v="400000"/>
    <n v="623000"/>
    <x v="14"/>
    <x v="1"/>
    <s v="Yogyakarta"/>
    <n v="3738000"/>
    <n v="1338000"/>
    <n v="35.79"/>
  </r>
  <r>
    <s v="TRX0561"/>
    <s v="P002"/>
    <s v="C011"/>
    <s v="Fitri Handayani"/>
    <n v="13"/>
    <x v="214"/>
    <s v="Mouse Wireless"/>
    <x v="0"/>
    <s v="Semarang"/>
    <n v="100000"/>
    <n v="169000"/>
    <x v="5"/>
    <x v="1"/>
    <s v="Jakarta"/>
    <n v="2197000"/>
    <n v="897000"/>
    <n v="40.83"/>
  </r>
  <r>
    <s v="TRX0562"/>
    <s v="P003"/>
    <s v="C010"/>
    <s v="Budi Santoso"/>
    <n v="8"/>
    <x v="2"/>
    <s v="Keyboard Mechanical"/>
    <x v="0"/>
    <s v="Depok"/>
    <n v="650000"/>
    <n v="741000"/>
    <x v="10"/>
    <x v="0"/>
    <s v="Palembang"/>
    <n v="5928000"/>
    <n v="728000"/>
    <n v="12.28"/>
  </r>
  <r>
    <s v="TRX0563"/>
    <s v="P001"/>
    <s v="C014"/>
    <s v="Budi Santoso"/>
    <n v="3"/>
    <x v="283"/>
    <s v="Laptop Dell XPS 13"/>
    <x v="2"/>
    <s v="Jakarta"/>
    <n v="12000000"/>
    <n v="13963000"/>
    <x v="1"/>
    <x v="0"/>
    <s v="Solo"/>
    <n v="41889000"/>
    <n v="5889000"/>
    <n v="14.06"/>
  </r>
  <r>
    <s v="TRX0564"/>
    <s v="P010"/>
    <s v="C011"/>
    <s v="Charles Lim"/>
    <n v="7"/>
    <x v="33"/>
    <s v="Headset Gaming"/>
    <x v="4"/>
    <s v="Semarang"/>
    <n v="500000"/>
    <n v="844000"/>
    <x v="5"/>
    <x v="1"/>
    <s v="Jakarta"/>
    <n v="5908000"/>
    <n v="2408000"/>
    <n v="40.76"/>
  </r>
  <r>
    <s v="TRX0565"/>
    <s v="P004"/>
    <s v="C012"/>
    <s v="Budi Santoso"/>
    <n v="15"/>
    <x v="13"/>
    <s v="Monitor LG 24&quot;"/>
    <x v="2"/>
    <s v="Jakarta"/>
    <n v="2000000"/>
    <n v="2533000"/>
    <x v="9"/>
    <x v="0"/>
    <s v="Malang"/>
    <n v="37995000"/>
    <n v="7995000"/>
    <n v="21.04"/>
  </r>
  <r>
    <s v="TRX0566"/>
    <s v="P019"/>
    <s v="C009"/>
    <s v="Budi Santoso"/>
    <n v="12"/>
    <x v="284"/>
    <s v="Cooling Fan RGB"/>
    <x v="3"/>
    <s v="Semarang"/>
    <n v="400000"/>
    <n v="623000"/>
    <x v="12"/>
    <x v="1"/>
    <s v="Makassar"/>
    <n v="7476000"/>
    <n v="2676000"/>
    <n v="35.79"/>
  </r>
  <r>
    <s v="TRX0567"/>
    <s v="P010"/>
    <s v="C012"/>
    <s v="Ani Wijaya"/>
    <n v="7"/>
    <x v="285"/>
    <s v="Headset Gaming"/>
    <x v="4"/>
    <s v="Semarang"/>
    <n v="500000"/>
    <n v="844000"/>
    <x v="9"/>
    <x v="0"/>
    <s v="Malang"/>
    <n v="5908000"/>
    <n v="2408000"/>
    <n v="40.76"/>
  </r>
  <r>
    <s v="TRX0568"/>
    <s v="P015"/>
    <s v="C010"/>
    <s v="Ani Wijaya"/>
    <n v="13"/>
    <x v="168"/>
    <s v="Power Bank 20000mAh"/>
    <x v="0"/>
    <s v="Depok"/>
    <n v="300000"/>
    <n v="355000"/>
    <x v="10"/>
    <x v="0"/>
    <s v="Palembang"/>
    <n v="4615000"/>
    <n v="715000"/>
    <n v="15.49"/>
  </r>
  <r>
    <s v="TRX0569"/>
    <s v="P012"/>
    <s v="C003"/>
    <s v="Fitri Handayani"/>
    <n v="3"/>
    <x v="14"/>
    <s v="USB Flash Drive 64GB"/>
    <x v="0"/>
    <s v="Depok"/>
    <n v="80000"/>
    <n v="92000"/>
    <x v="3"/>
    <x v="0"/>
    <s v="Surabaya"/>
    <n v="276000"/>
    <n v="36000"/>
    <n v="13.04"/>
  </r>
  <r>
    <s v="TRX0570"/>
    <s v="P013"/>
    <s v="C013"/>
    <s v="Dewi Lestari"/>
    <n v="8"/>
    <x v="240"/>
    <s v="Laptop Asus ROG"/>
    <x v="2"/>
    <s v="Depok"/>
    <n v="18000000"/>
    <n v="27603000"/>
    <x v="2"/>
    <x v="1"/>
    <s v="Bandung"/>
    <n v="220824000"/>
    <n v="76824000"/>
    <n v="34.79"/>
  </r>
  <r>
    <s v="TRX0571"/>
    <s v="P008"/>
    <s v="C015"/>
    <s v="Budi Santoso"/>
    <n v="15"/>
    <x v="43"/>
    <s v="RAM DDR4 16GB"/>
    <x v="3"/>
    <s v="Jakarta"/>
    <n v="750000"/>
    <n v="971000"/>
    <x v="8"/>
    <x v="1"/>
    <s v="Tangerang"/>
    <n v="14565000"/>
    <n v="3315000"/>
    <n v="22.76"/>
  </r>
  <r>
    <s v="TRX0572"/>
    <s v="P020"/>
    <s v="C001"/>
    <s v="Ani Wijaya"/>
    <n v="3"/>
    <x v="286"/>
    <s v="Gaming Chair"/>
    <x v="1"/>
    <s v="Semarang"/>
    <n v="2000000"/>
    <n v="3382000"/>
    <x v="11"/>
    <x v="1"/>
    <s v="Jakarta"/>
    <n v="10146000"/>
    <n v="4146000"/>
    <n v="40.86"/>
  </r>
  <r>
    <s v="TRX0573"/>
    <s v="P004"/>
    <s v="C006"/>
    <s v="Ani Wijaya"/>
    <n v="6"/>
    <x v="122"/>
    <s v="Monitor LG 24&quot;"/>
    <x v="2"/>
    <s v="Jakarta"/>
    <n v="2000000"/>
    <n v="2533000"/>
    <x v="0"/>
    <x v="0"/>
    <s v="Semarang"/>
    <n v="15198000"/>
    <n v="3198000"/>
    <n v="21.04"/>
  </r>
  <r>
    <s v="TRX0574"/>
    <s v="P008"/>
    <s v="C008"/>
    <s v="Dewi Lestari"/>
    <n v="4"/>
    <x v="286"/>
    <s v="RAM DDR4 16GB"/>
    <x v="3"/>
    <s v="Jakarta"/>
    <n v="750000"/>
    <n v="971000"/>
    <x v="7"/>
    <x v="0"/>
    <s v="Denpasar"/>
    <n v="3884000"/>
    <n v="884000"/>
    <n v="22.76"/>
  </r>
  <r>
    <s v="TRX0575"/>
    <s v="P017"/>
    <s v="C009"/>
    <s v="Eko Prasetyo"/>
    <n v="7"/>
    <x v="287"/>
    <s v="Graphics Card RTX 3060"/>
    <x v="3"/>
    <s v="Depok"/>
    <n v="5000000"/>
    <n v="7546000"/>
    <x v="12"/>
    <x v="1"/>
    <s v="Makassar"/>
    <n v="52822000"/>
    <n v="17822000"/>
    <n v="33.74"/>
  </r>
  <r>
    <s v="TRX0576"/>
    <s v="P019"/>
    <s v="C005"/>
    <s v="Budi Santoso"/>
    <n v="6"/>
    <x v="246"/>
    <s v="Cooling Fan RGB"/>
    <x v="3"/>
    <s v="Semarang"/>
    <n v="400000"/>
    <n v="623000"/>
    <x v="6"/>
    <x v="1"/>
    <s v="Jakarta"/>
    <n v="3738000"/>
    <n v="1338000"/>
    <n v="35.79"/>
  </r>
  <r>
    <s v="TRX0577"/>
    <s v="P011"/>
    <s v="C011"/>
    <s v="Charles Lim"/>
    <n v="13"/>
    <x v="264"/>
    <s v="External HDD 2TB"/>
    <x v="3"/>
    <s v="Semarang"/>
    <n v="950000"/>
    <n v="1649000"/>
    <x v="5"/>
    <x v="1"/>
    <s v="Jakarta"/>
    <n v="21437000"/>
    <n v="9087000"/>
    <n v="42.39"/>
  </r>
  <r>
    <s v="TRX0578"/>
    <s v="P016"/>
    <s v="C007"/>
    <s v="Ani Wijaya"/>
    <n v="13"/>
    <x v="208"/>
    <s v="Microphone USB"/>
    <x v="4"/>
    <s v="Jakarta"/>
    <n v="1200000"/>
    <n v="1375000"/>
    <x v="14"/>
    <x v="1"/>
    <s v="Yogyakarta"/>
    <n v="17875000"/>
    <n v="2275000"/>
    <n v="12.73"/>
  </r>
  <r>
    <s v="TRX0579"/>
    <s v="P010"/>
    <s v="C008"/>
    <s v="Eko Prasetyo"/>
    <n v="5"/>
    <x v="86"/>
    <s v="Headset Gaming"/>
    <x v="4"/>
    <s v="Semarang"/>
    <n v="500000"/>
    <n v="844000"/>
    <x v="7"/>
    <x v="0"/>
    <s v="Denpasar"/>
    <n v="4220000"/>
    <n v="1720000"/>
    <n v="40.76"/>
  </r>
  <r>
    <s v="TRX0580"/>
    <s v="P014"/>
    <s v="C009"/>
    <s v="Ani Wijaya"/>
    <n v="3"/>
    <x v="239"/>
    <s v="Tablet Samsung Galaxy"/>
    <x v="2"/>
    <s v="Depok"/>
    <n v="4500000"/>
    <n v="5522000"/>
    <x v="12"/>
    <x v="1"/>
    <s v="Makassar"/>
    <n v="16566000"/>
    <n v="3066000"/>
    <n v="18.510000000000002"/>
  </r>
  <r>
    <s v="TRX0581"/>
    <s v="P007"/>
    <s v="C001"/>
    <s v="Fitri Handayani"/>
    <n v="14"/>
    <x v="56"/>
    <s v="SSD Samsung 1TB"/>
    <x v="3"/>
    <s v="Depok"/>
    <n v="1500000"/>
    <n v="1772000"/>
    <x v="11"/>
    <x v="1"/>
    <s v="Jakarta"/>
    <n v="24808000"/>
    <n v="3808000"/>
    <n v="15.35"/>
  </r>
  <r>
    <s v="TRX0582"/>
    <s v="P005"/>
    <s v="C009"/>
    <s v="Dewi Lestari"/>
    <n v="7"/>
    <x v="256"/>
    <s v="Webcam Logitech"/>
    <x v="0"/>
    <s v="Semarang"/>
    <n v="350000"/>
    <n v="626000"/>
    <x v="12"/>
    <x v="1"/>
    <s v="Makassar"/>
    <n v="4382000"/>
    <n v="1932000"/>
    <n v="44.09"/>
  </r>
  <r>
    <s v="TRX0583"/>
    <s v="P008"/>
    <s v="C002"/>
    <s v="Dewi Lestari"/>
    <n v="1"/>
    <x v="56"/>
    <s v="RAM DDR4 16GB"/>
    <x v="3"/>
    <s v="Jakarta"/>
    <n v="750000"/>
    <n v="971000"/>
    <x v="13"/>
    <x v="1"/>
    <s v="Bandung"/>
    <n v="971000"/>
    <n v="221000"/>
    <n v="22.76"/>
  </r>
  <r>
    <s v="TRX0584"/>
    <s v="P010"/>
    <s v="C009"/>
    <s v="Ani Wijaya"/>
    <n v="4"/>
    <x v="111"/>
    <s v="Headset Gaming"/>
    <x v="4"/>
    <s v="Semarang"/>
    <n v="500000"/>
    <n v="844000"/>
    <x v="12"/>
    <x v="1"/>
    <s v="Makassar"/>
    <n v="3376000"/>
    <n v="1376000"/>
    <n v="40.76"/>
  </r>
  <r>
    <s v="TRX0585"/>
    <s v="P019"/>
    <s v="C010"/>
    <s v="Fitri Handayani"/>
    <n v="2"/>
    <x v="137"/>
    <s v="Cooling Fan RGB"/>
    <x v="3"/>
    <s v="Semarang"/>
    <n v="400000"/>
    <n v="623000"/>
    <x v="10"/>
    <x v="0"/>
    <s v="Palembang"/>
    <n v="1246000"/>
    <n v="446000"/>
    <n v="35.79"/>
  </r>
  <r>
    <s v="TRX0586"/>
    <s v="P017"/>
    <s v="C014"/>
    <s v="Fitri Handayani"/>
    <n v="9"/>
    <x v="229"/>
    <s v="Graphics Card RTX 3060"/>
    <x v="3"/>
    <s v="Depok"/>
    <n v="5000000"/>
    <n v="7546000"/>
    <x v="1"/>
    <x v="0"/>
    <s v="Solo"/>
    <n v="67914000"/>
    <n v="22914000"/>
    <n v="33.74"/>
  </r>
  <r>
    <s v="TRX0587"/>
    <s v="P016"/>
    <s v="C010"/>
    <s v="Fitri Handayani"/>
    <n v="6"/>
    <x v="288"/>
    <s v="Microphone USB"/>
    <x v="4"/>
    <s v="Jakarta"/>
    <n v="1200000"/>
    <n v="1375000"/>
    <x v="10"/>
    <x v="0"/>
    <s v="Palembang"/>
    <n v="8250000"/>
    <n v="1050000"/>
    <n v="12.73"/>
  </r>
  <r>
    <s v="TRX0588"/>
    <s v="P004"/>
    <s v="C011"/>
    <s v="Charles Lim"/>
    <n v="8"/>
    <x v="289"/>
    <s v="Monitor LG 24&quot;"/>
    <x v="2"/>
    <s v="Jakarta"/>
    <n v="2000000"/>
    <n v="2533000"/>
    <x v="5"/>
    <x v="1"/>
    <s v="Jakarta"/>
    <n v="20264000"/>
    <n v="4264000"/>
    <n v="21.04"/>
  </r>
  <r>
    <s v="TRX0589"/>
    <s v="P011"/>
    <s v="C009"/>
    <s v="Fitri Handayani"/>
    <n v="10"/>
    <x v="115"/>
    <s v="External HDD 2TB"/>
    <x v="3"/>
    <s v="Semarang"/>
    <n v="950000"/>
    <n v="1649000"/>
    <x v="12"/>
    <x v="1"/>
    <s v="Makassar"/>
    <n v="16490000"/>
    <n v="6990000"/>
    <n v="42.39"/>
  </r>
  <r>
    <s v="TRX0590"/>
    <s v="P015"/>
    <s v="C013"/>
    <s v="Charles Lim"/>
    <n v="5"/>
    <x v="261"/>
    <s v="Power Bank 20000mAh"/>
    <x v="0"/>
    <s v="Depok"/>
    <n v="300000"/>
    <n v="355000"/>
    <x v="2"/>
    <x v="1"/>
    <s v="Bandung"/>
    <n v="1775000"/>
    <n v="275000"/>
    <n v="15.49"/>
  </r>
  <r>
    <s v="TRX0590"/>
    <s v="P016"/>
    <s v="C013"/>
    <s v="Charles Lim"/>
    <n v="5"/>
    <x v="261"/>
    <s v="Microphone USB"/>
    <x v="4"/>
    <s v="Jakarta"/>
    <n v="1200000"/>
    <n v="1375000"/>
    <x v="2"/>
    <x v="1"/>
    <s v="Bandung"/>
    <n v="6875000"/>
    <n v="875000"/>
    <n v="12.73"/>
  </r>
  <r>
    <s v="TRX0590"/>
    <s v="P017"/>
    <s v="C013"/>
    <s v="Charles Lim"/>
    <n v="5"/>
    <x v="261"/>
    <s v="Graphics Card RTX 3060"/>
    <x v="3"/>
    <s v="Depok"/>
    <n v="5000000"/>
    <n v="7546000"/>
    <x v="2"/>
    <x v="1"/>
    <s v="Bandung"/>
    <n v="37730000"/>
    <n v="12730000"/>
    <n v="33.74"/>
  </r>
  <r>
    <s v="TRX0591"/>
    <s v="P011"/>
    <s v="C003"/>
    <s v="Ani Wijaya"/>
    <n v="13"/>
    <x v="290"/>
    <s v="External HDD 2TB"/>
    <x v="3"/>
    <s v="Semarang"/>
    <n v="950000"/>
    <n v="1649000"/>
    <x v="3"/>
    <x v="0"/>
    <s v="Surabaya"/>
    <n v="21437000"/>
    <n v="9087000"/>
    <n v="42.39"/>
  </r>
  <r>
    <s v="TRX0592"/>
    <s v="P010"/>
    <s v="C003"/>
    <s v="Ani Wijaya"/>
    <n v="7"/>
    <x v="114"/>
    <s v="Headset Gaming"/>
    <x v="4"/>
    <s v="Semarang"/>
    <n v="500000"/>
    <n v="844000"/>
    <x v="3"/>
    <x v="0"/>
    <s v="Surabaya"/>
    <n v="5908000"/>
    <n v="2408000"/>
    <n v="40.76"/>
  </r>
  <r>
    <s v="TRX0593"/>
    <s v="P015"/>
    <s v="C004"/>
    <s v="Dewi Lestari"/>
    <n v="2"/>
    <x v="291"/>
    <s v="Power Bank 20000mAh"/>
    <x v="0"/>
    <s v="Depok"/>
    <n v="300000"/>
    <n v="355000"/>
    <x v="4"/>
    <x v="0"/>
    <s v="Medan"/>
    <n v="710000"/>
    <n v="110000"/>
    <n v="15.49"/>
  </r>
  <r>
    <s v="TRX0594"/>
    <s v="P004"/>
    <s v="C014"/>
    <s v="Fitri Handayani"/>
    <n v="3"/>
    <x v="172"/>
    <s v="Monitor LG 24&quot;"/>
    <x v="2"/>
    <s v="Jakarta"/>
    <n v="2000000"/>
    <n v="2533000"/>
    <x v="1"/>
    <x v="0"/>
    <s v="Solo"/>
    <n v="7599000"/>
    <n v="1599000"/>
    <n v="21.04"/>
  </r>
  <r>
    <s v="TRX0595"/>
    <s v="P014"/>
    <s v="C013"/>
    <s v="Ani Wijaya"/>
    <n v="1"/>
    <x v="216"/>
    <s v="Tablet Samsung Galaxy"/>
    <x v="2"/>
    <s v="Depok"/>
    <n v="4500000"/>
    <n v="5522000"/>
    <x v="2"/>
    <x v="1"/>
    <s v="Bandung"/>
    <n v="5522000"/>
    <n v="1022000"/>
    <n v="18.510000000000002"/>
  </r>
  <r>
    <s v="TRX0596"/>
    <s v="P002"/>
    <s v="C001"/>
    <s v="Ani Wijaya"/>
    <n v="1"/>
    <x v="273"/>
    <s v="Mouse Wireless"/>
    <x v="0"/>
    <s v="Semarang"/>
    <n v="100000"/>
    <n v="169000"/>
    <x v="11"/>
    <x v="1"/>
    <s v="Jakarta"/>
    <n v="169000"/>
    <n v="69000"/>
    <n v="40.83"/>
  </r>
  <r>
    <s v="TRX0597"/>
    <s v="P017"/>
    <s v="C011"/>
    <s v="Eko Prasetyo"/>
    <n v="5"/>
    <x v="95"/>
    <s v="Graphics Card RTX 3060"/>
    <x v="3"/>
    <s v="Depok"/>
    <n v="5000000"/>
    <n v="7546000"/>
    <x v="5"/>
    <x v="1"/>
    <s v="Jakarta"/>
    <n v="37730000"/>
    <n v="12730000"/>
    <n v="33.74"/>
  </r>
  <r>
    <s v="TRX0598"/>
    <s v="P011"/>
    <s v="C012"/>
    <s v="Dewi Lestari"/>
    <n v="9"/>
    <x v="43"/>
    <s v="External HDD 2TB"/>
    <x v="3"/>
    <s v="Semarang"/>
    <n v="950000"/>
    <n v="1649000"/>
    <x v="9"/>
    <x v="0"/>
    <s v="Malang"/>
    <n v="14841000"/>
    <n v="6291000"/>
    <n v="42.39"/>
  </r>
  <r>
    <s v="TRX0599"/>
    <s v="P010"/>
    <s v="C001"/>
    <s v="Eko Prasetyo"/>
    <n v="10"/>
    <x v="126"/>
    <s v="Headset Gaming"/>
    <x v="4"/>
    <s v="Semarang"/>
    <n v="500000"/>
    <n v="844000"/>
    <x v="11"/>
    <x v="1"/>
    <s v="Jakarta"/>
    <n v="8440000"/>
    <n v="3440000"/>
    <n v="40.76"/>
  </r>
  <r>
    <s v="TRX0600"/>
    <s v="P015"/>
    <s v="C013"/>
    <s v="Fitri Handayani"/>
    <n v="6"/>
    <x v="60"/>
    <s v="Power Bank 20000mAh"/>
    <x v="0"/>
    <s v="Depok"/>
    <n v="300000"/>
    <n v="355000"/>
    <x v="2"/>
    <x v="1"/>
    <s v="Bandung"/>
    <n v="2130000"/>
    <n v="330000"/>
    <n v="15.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5B513A-B2E8-4A72-A828-7A9B9FB4E89A}" name="PivotTable4" cacheId="10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7"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Sum of Revenue" fld="2"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mmary_Laporan_Penjualan_2024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DFFB96-6F8F-431E-9806-A4E3414D6E55}" name="PivotTable5"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Profit" fld="1"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mmary_Laporan_Penjualan_2024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06CCA9-7642-4C5A-AB2F-107C49FA9405}" name="PivotTable6"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2" firstHeaderRow="1" firstDataRow="3"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s>
    </pivotField>
    <pivotField axis="axisCol"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s>
  <rowFields count="1">
    <field x="0"/>
  </rowFields>
  <rowItems count="7">
    <i>
      <x/>
    </i>
    <i>
      <x v="1"/>
    </i>
    <i>
      <x v="2"/>
    </i>
    <i>
      <x v="3"/>
    </i>
    <i>
      <x v="4"/>
    </i>
    <i>
      <x v="5"/>
    </i>
    <i t="grand">
      <x/>
    </i>
  </rowItems>
  <colFields count="2">
    <field x="2"/>
    <field x="1"/>
  </colFields>
  <colItems count="13">
    <i>
      <x/>
    </i>
    <i>
      <x v="1"/>
    </i>
    <i>
      <x v="2"/>
    </i>
    <i>
      <x v="3"/>
    </i>
    <i>
      <x v="4"/>
    </i>
    <i>
      <x v="5"/>
    </i>
    <i>
      <x v="6"/>
    </i>
    <i>
      <x v="7"/>
    </i>
    <i>
      <x v="8"/>
    </i>
    <i>
      <x v="9"/>
    </i>
    <i>
      <x v="10"/>
    </i>
    <i>
      <x v="11"/>
    </i>
    <i t="grand">
      <x/>
    </i>
  </colItems>
  <dataFields count="1">
    <dataField name="Count of ID_Transaksi" fld="3" subtotal="count" baseField="0" baseItem="0"/>
  </dataField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2">
    <colHierarchyUsage hierarchyUsage="17"/>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mmary_Laporan_Penjualan_2024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270B84-3F2C-4E45-A1E0-0DB800017A3D}"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F97793-DA80-407B-84C9-7C5181DD1A6C}" name="PivotTable10"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4" firstHeaderRow="0" firstDataRow="1" firstDataCol="1"/>
  <pivotFields count="18">
    <pivotField dataField="1" showAll="0"/>
    <pivotField showAll="0"/>
    <pivotField showAll="0"/>
    <pivotField showAll="0"/>
    <pivotField showAll="0"/>
    <pivotField numFmtId="14" showAll="0">
      <items count="293">
        <item x="182"/>
        <item x="82"/>
        <item x="191"/>
        <item x="60"/>
        <item x="99"/>
        <item x="265"/>
        <item x="32"/>
        <item x="284"/>
        <item x="195"/>
        <item x="105"/>
        <item x="260"/>
        <item x="287"/>
        <item x="68"/>
        <item x="22"/>
        <item x="205"/>
        <item x="80"/>
        <item x="10"/>
        <item x="190"/>
        <item x="118"/>
        <item x="272"/>
        <item x="286"/>
        <item x="98"/>
        <item x="266"/>
        <item x="46"/>
        <item x="29"/>
        <item x="124"/>
        <item x="113"/>
        <item x="246"/>
        <item x="135"/>
        <item x="261"/>
        <item x="122"/>
        <item x="88"/>
        <item x="100"/>
        <item x="274"/>
        <item x="134"/>
        <item x="176"/>
        <item x="94"/>
        <item x="6"/>
        <item x="91"/>
        <item x="102"/>
        <item x="114"/>
        <item x="221"/>
        <item x="169"/>
        <item x="167"/>
        <item x="127"/>
        <item x="279"/>
        <item x="70"/>
        <item x="23"/>
        <item x="187"/>
        <item x="248"/>
        <item x="275"/>
        <item x="76"/>
        <item x="58"/>
        <item x="53"/>
        <item x="188"/>
        <item x="151"/>
        <item x="117"/>
        <item x="12"/>
        <item x="57"/>
        <item x="255"/>
        <item x="200"/>
        <item x="38"/>
        <item x="251"/>
        <item x="193"/>
        <item x="15"/>
        <item x="147"/>
        <item x="181"/>
        <item x="227"/>
        <item x="75"/>
        <item x="220"/>
        <item x="83"/>
        <item x="132"/>
        <item x="77"/>
        <item x="249"/>
        <item x="270"/>
        <item x="73"/>
        <item x="5"/>
        <item x="228"/>
        <item x="219"/>
        <item x="119"/>
        <item x="230"/>
        <item x="48"/>
        <item x="116"/>
        <item x="3"/>
        <item x="283"/>
        <item x="64"/>
        <item x="148"/>
        <item x="106"/>
        <item x="204"/>
        <item x="141"/>
        <item x="291"/>
        <item x="241"/>
        <item x="136"/>
        <item x="111"/>
        <item x="288"/>
        <item x="226"/>
        <item x="108"/>
        <item x="121"/>
        <item x="36"/>
        <item x="257"/>
        <item x="21"/>
        <item x="237"/>
        <item x="67"/>
        <item x="154"/>
        <item x="213"/>
        <item x="74"/>
        <item x="72"/>
        <item x="126"/>
        <item x="185"/>
        <item x="281"/>
        <item x="145"/>
        <item x="97"/>
        <item x="262"/>
        <item x="282"/>
        <item x="87"/>
        <item x="33"/>
        <item x="238"/>
        <item x="259"/>
        <item x="31"/>
        <item x="222"/>
        <item x="13"/>
        <item x="206"/>
        <item x="71"/>
        <item x="252"/>
        <item x="41"/>
        <item x="155"/>
        <item x="62"/>
        <item x="40"/>
        <item x="256"/>
        <item x="45"/>
        <item x="47"/>
        <item x="278"/>
        <item x="103"/>
        <item x="229"/>
        <item x="109"/>
        <item x="264"/>
        <item x="150"/>
        <item x="128"/>
        <item x="215"/>
        <item x="243"/>
        <item x="196"/>
        <item x="14"/>
        <item x="61"/>
        <item x="146"/>
        <item x="49"/>
        <item x="174"/>
        <item x="277"/>
        <item x="258"/>
        <item x="173"/>
        <item x="37"/>
        <item x="247"/>
        <item x="280"/>
        <item x="51"/>
        <item x="156"/>
        <item x="276"/>
        <item x="144"/>
        <item x="43"/>
        <item x="235"/>
        <item x="207"/>
        <item x="214"/>
        <item x="34"/>
        <item x="63"/>
        <item x="16"/>
        <item x="202"/>
        <item x="90"/>
        <item x="27"/>
        <item x="232"/>
        <item x="81"/>
        <item x="78"/>
        <item x="250"/>
        <item x="290"/>
        <item x="86"/>
        <item x="183"/>
        <item x="180"/>
        <item x="42"/>
        <item x="208"/>
        <item x="95"/>
        <item x="9"/>
        <item x="143"/>
        <item x="218"/>
        <item x="197"/>
        <item x="263"/>
        <item x="137"/>
        <item x="2"/>
        <item x="178"/>
        <item x="130"/>
        <item x="125"/>
        <item x="201"/>
        <item x="153"/>
        <item x="79"/>
        <item x="268"/>
        <item x="89"/>
        <item x="168"/>
        <item x="52"/>
        <item x="101"/>
        <item x="192"/>
        <item x="157"/>
        <item x="55"/>
        <item x="158"/>
        <item x="19"/>
        <item x="123"/>
        <item x="162"/>
        <item x="179"/>
        <item x="189"/>
        <item x="39"/>
        <item x="194"/>
        <item x="171"/>
        <item x="245"/>
        <item x="234"/>
        <item x="26"/>
        <item x="161"/>
        <item x="160"/>
        <item x="164"/>
        <item x="217"/>
        <item x="85"/>
        <item x="28"/>
        <item x="92"/>
        <item x="112"/>
        <item x="166"/>
        <item x="212"/>
        <item x="271"/>
        <item x="269"/>
        <item x="242"/>
        <item x="170"/>
        <item x="224"/>
        <item x="165"/>
        <item x="267"/>
        <item x="59"/>
        <item x="56"/>
        <item x="231"/>
        <item x="289"/>
        <item x="44"/>
        <item x="240"/>
        <item x="225"/>
        <item x="253"/>
        <item x="233"/>
        <item x="184"/>
        <item x="107"/>
        <item x="25"/>
        <item x="139"/>
        <item x="11"/>
        <item x="142"/>
        <item x="65"/>
        <item x="236"/>
        <item x="7"/>
        <item x="199"/>
        <item x="54"/>
        <item x="152"/>
        <item x="17"/>
        <item x="18"/>
        <item x="211"/>
        <item x="131"/>
        <item x="203"/>
        <item x="24"/>
        <item x="198"/>
        <item x="149"/>
        <item x="0"/>
        <item x="110"/>
        <item x="254"/>
        <item x="172"/>
        <item x="223"/>
        <item x="69"/>
        <item x="285"/>
        <item x="104"/>
        <item x="84"/>
        <item x="177"/>
        <item x="244"/>
        <item x="209"/>
        <item x="96"/>
        <item x="1"/>
        <item x="159"/>
        <item x="120"/>
        <item x="273"/>
        <item x="66"/>
        <item x="210"/>
        <item x="163"/>
        <item x="133"/>
        <item x="50"/>
        <item x="239"/>
        <item x="138"/>
        <item x="35"/>
        <item x="20"/>
        <item x="93"/>
        <item x="175"/>
        <item x="8"/>
        <item x="216"/>
        <item x="30"/>
        <item x="115"/>
        <item x="4"/>
        <item x="140"/>
        <item x="186"/>
        <item x="129"/>
        <item t="default"/>
      </items>
    </pivotField>
    <pivotField showAll="0"/>
    <pivotField showAll="0"/>
    <pivotField showAll="0"/>
    <pivotField showAll="0"/>
    <pivotField showAll="0"/>
    <pivotField axis="axisRow" showAll="0">
      <items count="16">
        <item x="13"/>
        <item x="2"/>
        <item x="14"/>
        <item x="6"/>
        <item x="8"/>
        <item x="12"/>
        <item x="11"/>
        <item x="5"/>
        <item x="0"/>
        <item x="9"/>
        <item x="1"/>
        <item x="3"/>
        <item x="7"/>
        <item x="10"/>
        <item x="4"/>
        <item t="default"/>
      </items>
    </pivotField>
    <pivotField axis="axisRow" showAll="0">
      <items count="3">
        <item x="1"/>
        <item x="0"/>
        <item t="default"/>
      </items>
    </pivotField>
    <pivotField showAll="0"/>
    <pivotField showAll="0"/>
    <pivotField showAll="0"/>
    <pivotField dataField="1" showAll="0"/>
    <pivotField showAll="0">
      <items count="7">
        <item x="0"/>
        <item x="1"/>
        <item x="2"/>
        <item x="3"/>
        <item x="4"/>
        <item x="5"/>
        <item t="default"/>
      </items>
    </pivotField>
  </pivotFields>
  <rowFields count="2">
    <field x="11"/>
    <field x="12"/>
  </rowFields>
  <rowItems count="31">
    <i>
      <x/>
    </i>
    <i r="1">
      <x/>
    </i>
    <i>
      <x v="1"/>
    </i>
    <i r="1">
      <x/>
    </i>
    <i>
      <x v="2"/>
    </i>
    <i r="1">
      <x/>
    </i>
    <i>
      <x v="3"/>
    </i>
    <i r="1">
      <x/>
    </i>
    <i>
      <x v="4"/>
    </i>
    <i r="1">
      <x/>
    </i>
    <i>
      <x v="5"/>
    </i>
    <i r="1">
      <x/>
    </i>
    <i>
      <x v="6"/>
    </i>
    <i r="1">
      <x/>
    </i>
    <i>
      <x v="7"/>
    </i>
    <i r="1">
      <x/>
    </i>
    <i>
      <x v="8"/>
    </i>
    <i r="1">
      <x v="1"/>
    </i>
    <i>
      <x v="9"/>
    </i>
    <i r="1">
      <x v="1"/>
    </i>
    <i>
      <x v="10"/>
    </i>
    <i r="1">
      <x v="1"/>
    </i>
    <i>
      <x v="11"/>
    </i>
    <i r="1">
      <x v="1"/>
    </i>
    <i>
      <x v="12"/>
    </i>
    <i r="1">
      <x v="1"/>
    </i>
    <i>
      <x v="13"/>
    </i>
    <i r="1">
      <x v="1"/>
    </i>
    <i>
      <x v="14"/>
    </i>
    <i r="1">
      <x v="1"/>
    </i>
    <i t="grand">
      <x/>
    </i>
  </rowItems>
  <colFields count="1">
    <field x="-2"/>
  </colFields>
  <colItems count="2">
    <i>
      <x/>
    </i>
    <i i="1">
      <x v="1"/>
    </i>
  </colItems>
  <dataFields count="2">
    <dataField name="Count of ID_Transaksi" fld="0" subtotal="count" baseField="0" baseItem="0"/>
    <dataField name="Average of Margin" fld="16"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8A8C61-EC78-4489-929E-6A2464207ABD}" name="PivotTable11" cacheId="1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S10" firstHeaderRow="1" firstDataRow="3" firstDataCol="1"/>
  <pivotFields count="18">
    <pivotField showAll="0"/>
    <pivotField showAll="0"/>
    <pivotField showAll="0"/>
    <pivotField showAll="0"/>
    <pivotField showAll="0"/>
    <pivotField numFmtId="14" showAll="0">
      <items count="293">
        <item x="182"/>
        <item x="82"/>
        <item x="191"/>
        <item x="60"/>
        <item x="99"/>
        <item x="265"/>
        <item x="32"/>
        <item x="284"/>
        <item x="195"/>
        <item x="105"/>
        <item x="260"/>
        <item x="287"/>
        <item x="68"/>
        <item x="22"/>
        <item x="205"/>
        <item x="80"/>
        <item x="10"/>
        <item x="190"/>
        <item x="118"/>
        <item x="272"/>
        <item x="286"/>
        <item x="98"/>
        <item x="266"/>
        <item x="46"/>
        <item x="29"/>
        <item x="124"/>
        <item x="113"/>
        <item x="246"/>
        <item x="135"/>
        <item x="261"/>
        <item x="122"/>
        <item x="88"/>
        <item x="100"/>
        <item x="274"/>
        <item x="134"/>
        <item x="176"/>
        <item x="94"/>
        <item x="6"/>
        <item x="91"/>
        <item x="102"/>
        <item x="114"/>
        <item x="221"/>
        <item x="169"/>
        <item x="167"/>
        <item x="127"/>
        <item x="279"/>
        <item x="70"/>
        <item x="23"/>
        <item x="187"/>
        <item x="248"/>
        <item x="275"/>
        <item x="76"/>
        <item x="58"/>
        <item x="53"/>
        <item x="188"/>
        <item x="151"/>
        <item x="117"/>
        <item x="12"/>
        <item x="57"/>
        <item x="255"/>
        <item x="200"/>
        <item x="38"/>
        <item x="251"/>
        <item x="193"/>
        <item x="15"/>
        <item x="147"/>
        <item x="181"/>
        <item x="227"/>
        <item x="75"/>
        <item x="220"/>
        <item x="83"/>
        <item x="132"/>
        <item x="77"/>
        <item x="249"/>
        <item x="270"/>
        <item x="73"/>
        <item x="5"/>
        <item x="228"/>
        <item x="219"/>
        <item x="119"/>
        <item x="230"/>
        <item x="48"/>
        <item x="116"/>
        <item x="3"/>
        <item x="283"/>
        <item x="64"/>
        <item x="148"/>
        <item x="106"/>
        <item x="204"/>
        <item x="141"/>
        <item x="291"/>
        <item x="241"/>
        <item x="136"/>
        <item x="111"/>
        <item x="288"/>
        <item x="226"/>
        <item x="108"/>
        <item x="121"/>
        <item x="36"/>
        <item x="257"/>
        <item x="21"/>
        <item x="237"/>
        <item x="67"/>
        <item x="154"/>
        <item x="213"/>
        <item x="74"/>
        <item x="72"/>
        <item x="126"/>
        <item x="185"/>
        <item x="281"/>
        <item x="145"/>
        <item x="97"/>
        <item x="262"/>
        <item x="282"/>
        <item x="87"/>
        <item x="33"/>
        <item x="238"/>
        <item x="259"/>
        <item x="31"/>
        <item x="222"/>
        <item x="13"/>
        <item x="206"/>
        <item x="71"/>
        <item x="252"/>
        <item x="41"/>
        <item x="155"/>
        <item x="62"/>
        <item x="40"/>
        <item x="256"/>
        <item x="45"/>
        <item x="47"/>
        <item x="278"/>
        <item x="103"/>
        <item x="229"/>
        <item x="109"/>
        <item x="264"/>
        <item x="150"/>
        <item x="128"/>
        <item x="215"/>
        <item x="243"/>
        <item x="196"/>
        <item x="14"/>
        <item x="61"/>
        <item x="146"/>
        <item x="49"/>
        <item x="174"/>
        <item x="277"/>
        <item x="258"/>
        <item x="173"/>
        <item x="37"/>
        <item x="247"/>
        <item x="280"/>
        <item x="51"/>
        <item x="156"/>
        <item x="276"/>
        <item x="144"/>
        <item x="43"/>
        <item x="235"/>
        <item x="207"/>
        <item x="214"/>
        <item x="34"/>
        <item x="63"/>
        <item x="16"/>
        <item x="202"/>
        <item x="90"/>
        <item x="27"/>
        <item x="232"/>
        <item x="81"/>
        <item x="78"/>
        <item x="250"/>
        <item x="290"/>
        <item x="86"/>
        <item x="183"/>
        <item x="180"/>
        <item x="42"/>
        <item x="208"/>
        <item x="95"/>
        <item x="9"/>
        <item x="143"/>
        <item x="218"/>
        <item x="197"/>
        <item x="263"/>
        <item x="137"/>
        <item x="2"/>
        <item x="178"/>
        <item x="130"/>
        <item x="125"/>
        <item x="201"/>
        <item x="153"/>
        <item x="79"/>
        <item x="268"/>
        <item x="89"/>
        <item x="168"/>
        <item x="52"/>
        <item x="101"/>
        <item x="192"/>
        <item x="157"/>
        <item x="55"/>
        <item x="158"/>
        <item x="19"/>
        <item x="123"/>
        <item x="162"/>
        <item x="179"/>
        <item x="189"/>
        <item x="39"/>
        <item x="194"/>
        <item x="171"/>
        <item x="245"/>
        <item x="234"/>
        <item x="26"/>
        <item x="161"/>
        <item x="160"/>
        <item x="164"/>
        <item x="217"/>
        <item x="85"/>
        <item x="28"/>
        <item x="92"/>
        <item x="112"/>
        <item x="166"/>
        <item x="212"/>
        <item x="271"/>
        <item x="269"/>
        <item x="242"/>
        <item x="170"/>
        <item x="224"/>
        <item x="165"/>
        <item x="267"/>
        <item x="59"/>
        <item x="56"/>
        <item x="231"/>
        <item x="289"/>
        <item x="44"/>
        <item x="240"/>
        <item x="225"/>
        <item x="253"/>
        <item x="233"/>
        <item x="184"/>
        <item x="107"/>
        <item x="25"/>
        <item x="139"/>
        <item x="11"/>
        <item x="142"/>
        <item x="65"/>
        <item x="236"/>
        <item x="7"/>
        <item x="199"/>
        <item x="54"/>
        <item x="152"/>
        <item x="17"/>
        <item x="18"/>
        <item x="211"/>
        <item x="131"/>
        <item x="203"/>
        <item x="24"/>
        <item x="198"/>
        <item x="149"/>
        <item x="0"/>
        <item x="110"/>
        <item x="254"/>
        <item x="172"/>
        <item x="223"/>
        <item x="69"/>
        <item x="285"/>
        <item x="104"/>
        <item x="84"/>
        <item x="177"/>
        <item x="244"/>
        <item x="209"/>
        <item x="96"/>
        <item x="1"/>
        <item x="159"/>
        <item x="120"/>
        <item x="273"/>
        <item x="66"/>
        <item x="210"/>
        <item x="163"/>
        <item x="133"/>
        <item x="50"/>
        <item x="239"/>
        <item x="138"/>
        <item x="35"/>
        <item x="20"/>
        <item x="93"/>
        <item x="175"/>
        <item x="8"/>
        <item x="216"/>
        <item x="30"/>
        <item x="115"/>
        <item x="4"/>
        <item x="140"/>
        <item x="186"/>
        <item x="129"/>
        <item t="default"/>
      </items>
    </pivotField>
    <pivotField showAll="0"/>
    <pivotField axis="axisCol" showAll="0">
      <items count="6">
        <item x="0"/>
        <item x="4"/>
        <item x="2"/>
        <item x="1"/>
        <item x="3"/>
        <item t="default"/>
      </items>
    </pivotField>
    <pivotField showAll="0"/>
    <pivotField showAll="0"/>
    <pivotField showAll="0"/>
    <pivotField showAll="0"/>
    <pivotField showAll="0"/>
    <pivotField showAll="0"/>
    <pivotField dataField="1" showAll="0"/>
    <pivotField dataField="1" showAll="0"/>
    <pivotField dataField="1" showAll="0"/>
    <pivotField axis="axisRow" showAll="0">
      <items count="7">
        <item x="0"/>
        <item x="1"/>
        <item x="2"/>
        <item x="3"/>
        <item x="4"/>
        <item x="5"/>
        <item t="default"/>
      </items>
    </pivotField>
  </pivotFields>
  <rowFields count="1">
    <field x="17"/>
  </rowFields>
  <rowItems count="5">
    <i>
      <x v="1"/>
    </i>
    <i>
      <x v="2"/>
    </i>
    <i>
      <x v="3"/>
    </i>
    <i>
      <x v="4"/>
    </i>
    <i t="grand">
      <x/>
    </i>
  </rowItems>
  <colFields count="2">
    <field x="7"/>
    <field x="-2"/>
  </colFields>
  <colItems count="18">
    <i>
      <x/>
      <x/>
    </i>
    <i r="1" i="1">
      <x v="1"/>
    </i>
    <i r="1" i="2">
      <x v="2"/>
    </i>
    <i>
      <x v="1"/>
      <x/>
    </i>
    <i r="1" i="1">
      <x v="1"/>
    </i>
    <i r="1" i="2">
      <x v="2"/>
    </i>
    <i>
      <x v="2"/>
      <x/>
    </i>
    <i r="1" i="1">
      <x v="1"/>
    </i>
    <i r="1" i="2">
      <x v="2"/>
    </i>
    <i>
      <x v="3"/>
      <x/>
    </i>
    <i r="1" i="1">
      <x v="1"/>
    </i>
    <i r="1" i="2">
      <x v="2"/>
    </i>
    <i>
      <x v="4"/>
      <x/>
    </i>
    <i r="1" i="1">
      <x v="1"/>
    </i>
    <i r="1" i="2">
      <x v="2"/>
    </i>
    <i t="grand">
      <x/>
    </i>
    <i t="grand" i="1">
      <x/>
    </i>
    <i t="grand" i="2">
      <x/>
    </i>
  </colItems>
  <dataFields count="3">
    <dataField name="Sum of Revenue" fld="14" baseField="0" baseItem="0"/>
    <dataField name="Sum of Profit" fld="15" baseField="0" baseItem="0"/>
    <dataField name="Average of Margin" fld="16" subtotal="average" baseField="18" baseItem="1"/>
  </dataFields>
  <chartFormats count="15">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1"/>
          </reference>
          <reference field="7" count="1" selected="0">
            <x v="0"/>
          </reference>
        </references>
      </pivotArea>
    </chartFormat>
    <chartFormat chart="6" format="2" series="1">
      <pivotArea type="data" outline="0" fieldPosition="0">
        <references count="2">
          <reference field="4294967294" count="1" selected="0">
            <x v="2"/>
          </reference>
          <reference field="7" count="1" selected="0">
            <x v="0"/>
          </reference>
        </references>
      </pivotArea>
    </chartFormat>
    <chartFormat chart="6" format="3" series="1">
      <pivotArea type="data" outline="0" fieldPosition="0">
        <references count="2">
          <reference field="4294967294" count="1" selected="0">
            <x v="0"/>
          </reference>
          <reference field="7" count="1" selected="0">
            <x v="1"/>
          </reference>
        </references>
      </pivotArea>
    </chartFormat>
    <chartFormat chart="6" format="4" series="1">
      <pivotArea type="data" outline="0" fieldPosition="0">
        <references count="2">
          <reference field="4294967294" count="1" selected="0">
            <x v="1"/>
          </reference>
          <reference field="7" count="1" selected="0">
            <x v="1"/>
          </reference>
        </references>
      </pivotArea>
    </chartFormat>
    <chartFormat chart="6" format="5" series="1">
      <pivotArea type="data" outline="0" fieldPosition="0">
        <references count="2">
          <reference field="4294967294" count="1" selected="0">
            <x v="2"/>
          </reference>
          <reference field="7" count="1" selected="0">
            <x v="1"/>
          </reference>
        </references>
      </pivotArea>
    </chartFormat>
    <chartFormat chart="6" format="6" series="1">
      <pivotArea type="data" outline="0" fieldPosition="0">
        <references count="2">
          <reference field="4294967294" count="1" selected="0">
            <x v="0"/>
          </reference>
          <reference field="7" count="1" selected="0">
            <x v="2"/>
          </reference>
        </references>
      </pivotArea>
    </chartFormat>
    <chartFormat chart="6" format="7" series="1">
      <pivotArea type="data" outline="0" fieldPosition="0">
        <references count="2">
          <reference field="4294967294" count="1" selected="0">
            <x v="1"/>
          </reference>
          <reference field="7" count="1" selected="0">
            <x v="2"/>
          </reference>
        </references>
      </pivotArea>
    </chartFormat>
    <chartFormat chart="6" format="8" series="1">
      <pivotArea type="data" outline="0" fieldPosition="0">
        <references count="2">
          <reference field="4294967294" count="1" selected="0">
            <x v="2"/>
          </reference>
          <reference field="7" count="1" selected="0">
            <x v="2"/>
          </reference>
        </references>
      </pivotArea>
    </chartFormat>
    <chartFormat chart="6" format="9" series="1">
      <pivotArea type="data" outline="0" fieldPosition="0">
        <references count="2">
          <reference field="4294967294" count="1" selected="0">
            <x v="0"/>
          </reference>
          <reference field="7" count="1" selected="0">
            <x v="3"/>
          </reference>
        </references>
      </pivotArea>
    </chartFormat>
    <chartFormat chart="6" format="10" series="1">
      <pivotArea type="data" outline="0" fieldPosition="0">
        <references count="2">
          <reference field="4294967294" count="1" selected="0">
            <x v="1"/>
          </reference>
          <reference field="7" count="1" selected="0">
            <x v="3"/>
          </reference>
        </references>
      </pivotArea>
    </chartFormat>
    <chartFormat chart="6" format="11" series="1">
      <pivotArea type="data" outline="0" fieldPosition="0">
        <references count="2">
          <reference field="4294967294" count="1" selected="0">
            <x v="2"/>
          </reference>
          <reference field="7" count="1" selected="0">
            <x v="3"/>
          </reference>
        </references>
      </pivotArea>
    </chartFormat>
    <chartFormat chart="6" format="12" series="1">
      <pivotArea type="data" outline="0" fieldPosition="0">
        <references count="2">
          <reference field="4294967294" count="1" selected="0">
            <x v="0"/>
          </reference>
          <reference field="7" count="1" selected="0">
            <x v="4"/>
          </reference>
        </references>
      </pivotArea>
    </chartFormat>
    <chartFormat chart="6" format="13" series="1">
      <pivotArea type="data" outline="0" fieldPosition="0">
        <references count="2">
          <reference field="4294967294" count="1" selected="0">
            <x v="1"/>
          </reference>
          <reference field="7" count="1" selected="0">
            <x v="4"/>
          </reference>
        </references>
      </pivotArea>
    </chartFormat>
    <chartFormat chart="6" format="14" series="1">
      <pivotArea type="data" outline="0" fieldPosition="0">
        <references count="2">
          <reference field="4294967294" count="1" selected="0">
            <x v="2"/>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7D76D2-1EFB-4408-81AF-C8AEEBB8078D}" name="PivotTable9" cacheId="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8" firstHeaderRow="0" firstDataRow="1" firstDataCol="1" rowPageCount="1" colPageCount="1"/>
  <pivotFields count="12">
    <pivotField showAll="0"/>
    <pivotField axis="axisRow" showAll="0">
      <items count="25">
        <item x="18"/>
        <item x="10"/>
        <item x="19"/>
        <item x="16"/>
        <item x="9"/>
        <item x="23"/>
        <item x="22"/>
        <item x="21"/>
        <item x="2"/>
        <item x="12"/>
        <item x="0"/>
        <item x="20"/>
        <item x="15"/>
        <item x="3"/>
        <item x="17"/>
        <item x="1"/>
        <item x="14"/>
        <item x="5"/>
        <item x="7"/>
        <item x="8"/>
        <item x="6"/>
        <item x="13"/>
        <item x="11"/>
        <item x="4"/>
        <item t="default"/>
      </items>
    </pivotField>
    <pivotField showAll="0"/>
    <pivotField showAll="0"/>
    <pivotField showAll="0"/>
    <pivotField showAll="0"/>
    <pivotField showAll="0"/>
    <pivotField showAll="0"/>
    <pivotField dataField="1" showAll="0"/>
    <pivotField dataField="1" showAll="0"/>
    <pivotField showAll="0"/>
    <pivotField axis="axisPage" showAll="0">
      <items count="6">
        <item x="4"/>
        <item x="3"/>
        <item x="2"/>
        <item x="0"/>
        <item x="1"/>
        <item t="default"/>
      </items>
    </pivotField>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pageFields count="1">
    <pageField fld="11" hier="-1"/>
  </pageFields>
  <dataFields count="2">
    <dataField name="Sum of Stok" fld="8" baseField="0" baseItem="0"/>
    <dataField name="Sum of Min_Stok" fld="9"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CFBDF6E6-4A69-4B00-8441-0A1B843CB1E0}" autoFormatId="16" applyNumberFormats="0" applyBorderFormats="0" applyFontFormats="0" applyPatternFormats="0" applyAlignmentFormats="0" applyWidthHeightFormats="0">
  <queryTableRefresh nextId="27">
    <queryTableFields count="8">
      <queryTableField id="1" name="ID_Transaksi" tableColumnId="1"/>
      <queryTableField id="3" name="ID_Produk" tableColumnId="3"/>
      <queryTableField id="7" name="Tanggal_Clean" tableColumnId="7"/>
      <queryTableField id="17" name="Kategori" tableColumnId="9"/>
      <queryTableField id="18" name="Kota_Gudang" tableColumnId="10"/>
      <queryTableField id="23" name="Kota_Pelanggan" tableColumnId="15"/>
      <queryTableField id="24" name="Revenue" tableColumnId="16"/>
      <queryTableField id="25" name="Profit"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DDEBCC1C-D5DB-46B0-8D46-98D186666599}" autoFormatId="16" applyNumberFormats="0" applyBorderFormats="0" applyFontFormats="0" applyPatternFormats="0" applyAlignmentFormats="0" applyWidthHeightFormats="0">
  <queryTableRefresh nextId="27">
    <queryTableFields count="17">
      <queryTableField id="1" name="ID_Transaksi" tableColumnId="1"/>
      <queryTableField id="3" name="ID_Produk" tableColumnId="3"/>
      <queryTableField id="5" name="ID_Pelanggan" tableColumnId="5"/>
      <queryTableField id="6" name="Sales_Rep" tableColumnId="6"/>
      <queryTableField id="4" name="Jumlah" tableColumnId="4"/>
      <queryTableField id="7" name="Tanggal_Clean" tableColumnId="7"/>
      <queryTableField id="16" name="Nama_Produk" tableColumnId="8"/>
      <queryTableField id="17" name="Kategori" tableColumnId="9"/>
      <queryTableField id="18" name="Kota_Gudang" tableColumnId="10"/>
      <queryTableField id="19" name="Harga_Beli" tableColumnId="11"/>
      <queryTableField id="20" name="Harga_Jual" tableColumnId="12"/>
      <queryTableField id="21" name="Nama_Pelanggan" tableColumnId="13"/>
      <queryTableField id="22" name="Tipe_Pelanggan" tableColumnId="14"/>
      <queryTableField id="23" name="Kota_Pelanggan" tableColumnId="15"/>
      <queryTableField id="24" name="Revenue" tableColumnId="16"/>
      <queryTableField id="25" name="Profit" tableColumnId="17"/>
      <queryTableField id="26" name="Margin"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6" xr16:uid="{4DEFE552-6357-433D-BC4A-9AADD466844F}" autoFormatId="16" applyNumberFormats="0" applyBorderFormats="0" applyFontFormats="0" applyPatternFormats="0" applyAlignmentFormats="0" applyWidthHeightFormats="0">
  <queryTableRefresh nextId="33" unboundColumnsRight="5">
    <queryTableFields count="11">
      <queryTableField id="1" name="ID_Transaksi" tableColumnId="1"/>
      <queryTableField id="3" name="ID_Produk" tableColumnId="3"/>
      <queryTableField id="5" name="ID_Pelanggan" tableColumnId="5"/>
      <queryTableField id="6" name="Sales_Rep" tableColumnId="6"/>
      <queryTableField id="4" name="Jumlah" tableColumnId="4"/>
      <queryTableField id="7" name="Tanggal_Clean" tableColumnId="7"/>
      <queryTableField id="27" dataBound="0" tableColumnId="19"/>
      <queryTableField id="28" dataBound="0" tableColumnId="20"/>
      <queryTableField id="29" dataBound="0" tableColumnId="21"/>
      <queryTableField id="31" dataBound="0" tableColumnId="23"/>
      <queryTableField id="32" dataBound="0" tableColumnId="24"/>
    </queryTableFields>
    <queryTableDeletedFields count="11">
      <deletedField name="Nama_Produk"/>
      <deletedField name="Kategori"/>
      <deletedField name="Kota_Gudang"/>
      <deletedField name="Harga_Beli"/>
      <deletedField name="Harga_Jual"/>
      <deletedField name="Nama_Pelanggan"/>
      <deletedField name="Tipe_Pelanggan"/>
      <deletedField name="Kota_Pelanggan"/>
      <deletedField name="Revenue"/>
      <deletedField name="Profit"/>
      <deletedField name="Margin"/>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EED4DC07-DA40-4861-BDA8-5BC8CC30575A}" autoFormatId="16" applyNumberFormats="0" applyBorderFormats="0" applyFontFormats="0" applyPatternFormats="0" applyAlignmentFormats="0" applyWidthHeightFormats="0">
  <queryTableRefresh nextId="27">
    <queryTableFields count="6">
      <queryTableField id="1" name="ID_Transaksi" tableColumnId="1"/>
      <queryTableField id="3" name="ID_Produk" tableColumnId="3"/>
      <queryTableField id="5" name="ID_Pelanggan" tableColumnId="5"/>
      <queryTableField id="6" name="Sales_Rep" tableColumnId="6"/>
      <queryTableField id="4" name="Jumlah" tableColumnId="4"/>
      <queryTableField id="7" name="Tanggal_Clean" tableColumnId="7"/>
    </queryTableFields>
    <queryTableDeletedFields count="11">
      <deletedField name="Nama_Produk"/>
      <deletedField name="Kategori"/>
      <deletedField name="Kota_Gudang"/>
      <deletedField name="Harga_Beli"/>
      <deletedField name="Harga_Jual"/>
      <deletedField name="Nama_Pelanggan"/>
      <deletedField name="Tipe_Pelanggan"/>
      <deletedField name="Kota_Pelanggan"/>
      <deletedField name="Revenue"/>
      <deletedField name="Profit"/>
      <deletedField name="Margin"/>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B4138BEA-4C7F-4130-BEB5-1F5F7D99EAA1}" autoFormatId="16" applyNumberFormats="0" applyBorderFormats="0" applyFontFormats="0" applyPatternFormats="0" applyAlignmentFormats="0" applyWidthHeightFormats="0">
  <queryTableRefresh nextId="13">
    <queryTableFields count="12">
      <queryTableField id="1" name="ID_Produk" tableColumnId="1"/>
      <queryTableField id="2" name="Nama_Produk" tableColumnId="2"/>
      <queryTableField id="3" name="Kategori" tableColumnId="3"/>
      <queryTableField id="4" name="Supplier" tableColumnId="4"/>
      <queryTableField id="5" name="Gudang" tableColumnId="5"/>
      <queryTableField id="6" name="Kota Gudang" tableColumnId="6"/>
      <queryTableField id="7" name="Harga_Beli" tableColumnId="7"/>
      <queryTableField id="8" name="Harga Jual" tableColumnId="8"/>
      <queryTableField id="9" name="Stok" tableColumnId="9"/>
      <queryTableField id="10" name="Min_Stok" tableColumnId="10"/>
      <queryTableField id="11" name="Status" tableColumnId="11"/>
      <queryTableField id="12" name="Notes Gudang"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381E66C1-1965-48ED-A406-A9DB0B51DF65}" autoFormatId="16" applyNumberFormats="0" applyBorderFormats="0" applyFontFormats="0" applyPatternFormats="0" applyAlignmentFormats="0" applyWidthHeightFormats="0">
  <queryTableRefresh nextId="9">
    <queryTableFields count="8">
      <queryTableField id="1" name="ID_Pelanggan" tableColumnId="1"/>
      <queryTableField id="2" name="Nama_Pelanggan" tableColumnId="2"/>
      <queryTableField id="3" name="Tipe" tableColumnId="3"/>
      <queryTableField id="4" name="Kota" tableColumnId="4"/>
      <queryTableField id="5" name="Provinsi" tableColumnId="5"/>
      <queryTableField id="6" name="Telepon" tableColumnId="6"/>
      <queryTableField id="7" name="Email" tableColumnId="7"/>
      <queryTableField id="8" name="Tanggal_Daftar"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87BE2A45-B2B9-44D6-9B9B-0B9639DE047B}" sourceName="Kategori">
  <pivotTables>
    <pivotTable tabId="19" name="PivotTable11"/>
  </pivotTables>
  <data>
    <tabular pivotCacheId="144936826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 xr10:uid="{CBCBC1A9-1983-4E4C-AF65-79206D401040}" cache="Slicer_Kategori" caption="Kategori"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608D74-23DB-48B4-9CA3-7105C16AE31C}" name="Summary_COO" displayName="Summary_COO" ref="A1:H632" tableType="queryTable" totalsRowShown="0">
  <autoFilter ref="A1:H632" xr:uid="{2AEBC83E-C30C-42ED-A005-5AEB2F74535D}"/>
  <tableColumns count="8">
    <tableColumn id="1" xr3:uid="{9F3FCACC-9BBC-4A31-B3C3-CE212B408C0F}" uniqueName="1" name="ID_Transaksi" queryTableFieldId="1" dataDxfId="15"/>
    <tableColumn id="3" xr3:uid="{5B1D3CBC-F0B7-4C36-8EE7-320B07E68A84}" uniqueName="3" name="ID_Produk" queryTableFieldId="3" dataDxfId="14"/>
    <tableColumn id="7" xr3:uid="{A2CA1D0F-2C9F-4F5F-BA9A-3EC2760426FF}" uniqueName="7" name="Tanggal_Clean" queryTableFieldId="7" dataDxfId="13"/>
    <tableColumn id="9" xr3:uid="{49BA8582-99E0-4CAE-9BFA-E5C3CE04E654}" uniqueName="9" name="Kategori" queryTableFieldId="17" dataDxfId="12"/>
    <tableColumn id="10" xr3:uid="{914FC40B-3FBC-43E8-B2AD-F13A763A8F0B}" uniqueName="10" name="Kota_Gudang" queryTableFieldId="18" dataDxfId="11"/>
    <tableColumn id="15" xr3:uid="{CEF90E6B-8A68-41F2-B7F1-7435E5AE1A0C}" uniqueName="15" name="Kota_Pelanggan" queryTableFieldId="23" dataDxfId="10"/>
    <tableColumn id="16" xr3:uid="{7409ADF1-6773-4300-8EA8-E57544516CB9}" uniqueName="16" name="Revenue" queryTableFieldId="24"/>
    <tableColumn id="17" xr3:uid="{2C8A14FA-97AC-4A38-8347-9221CF94B260}" uniqueName="17" name="Profit"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81F8D8-1362-4A97-AF17-A080A70ABC31}" name="Summary_Laporan_Penjualan_20246" displayName="Summary_Laporan_Penjualan_20246" ref="A1:Q632" tableType="queryTable" totalsRowShown="0">
  <autoFilter ref="A1:Q632" xr:uid="{2AEBC83E-C30C-42ED-A005-5AEB2F74535D}"/>
  <tableColumns count="17">
    <tableColumn id="1" xr3:uid="{D698F53C-CF31-41D1-A4E3-5CA4A16D118F}" uniqueName="1" name="ID_Transaksi" queryTableFieldId="1" dataDxfId="26"/>
    <tableColumn id="3" xr3:uid="{F121DE03-3FD3-4116-9705-03B9D111C129}" uniqueName="3" name="ID_Produk" queryTableFieldId="3" dataDxfId="25"/>
    <tableColumn id="5" xr3:uid="{527836E9-D09B-43D2-8575-C4462D69D338}" uniqueName="5" name="ID_Pelanggan" queryTableFieldId="5" dataDxfId="24"/>
    <tableColumn id="6" xr3:uid="{18113EF3-8CF5-4BF0-8465-A6831A05664C}" uniqueName="6" name="Sales_Rep" queryTableFieldId="6" dataDxfId="23"/>
    <tableColumn id="4" xr3:uid="{BA09A9F7-391D-45BF-8D2C-74CD80258A85}" uniqueName="4" name="Jumlah" queryTableFieldId="4"/>
    <tableColumn id="7" xr3:uid="{6060EAD7-4E76-41A9-9229-D6413973FB5A}" uniqueName="7" name="Tanggal_Clean" queryTableFieldId="7" dataDxfId="22"/>
    <tableColumn id="8" xr3:uid="{1344EA0E-9860-4E4D-A4BA-7DD55F341C6B}" uniqueName="8" name="Nama_Produk" queryTableFieldId="16" dataDxfId="21"/>
    <tableColumn id="9" xr3:uid="{8C895632-3BB6-4928-8C4C-6D443FE64A7A}" uniqueName="9" name="Kategori" queryTableFieldId="17" dataDxfId="20"/>
    <tableColumn id="10" xr3:uid="{8718A9F0-9EE7-4CD9-A7BE-344420EFBDF0}" uniqueName="10" name="Kota_Gudang" queryTableFieldId="18" dataDxfId="19"/>
    <tableColumn id="11" xr3:uid="{C9F2813E-C383-493A-8EB4-9DC9E15B34B8}" uniqueName="11" name="Harga_Beli" queryTableFieldId="19"/>
    <tableColumn id="12" xr3:uid="{220843FF-A18F-462C-8C40-08E35E6EC935}" uniqueName="12" name="Harga_Jual" queryTableFieldId="20"/>
    <tableColumn id="13" xr3:uid="{49B54B50-F0CE-4D65-836C-1B06D8192F4E}" uniqueName="13" name="Nama_Pelanggan" queryTableFieldId="21" dataDxfId="18"/>
    <tableColumn id="14" xr3:uid="{68E49BAF-508C-48B5-B2B5-62AEF244C134}" uniqueName="14" name="Tipe_Pelanggan" queryTableFieldId="22" dataDxfId="17"/>
    <tableColumn id="15" xr3:uid="{D5A7DDB6-ECAE-45F9-A43C-0A9FDC6E183B}" uniqueName="15" name="Kota_Pelanggan" queryTableFieldId="23" dataDxfId="16"/>
    <tableColumn id="16" xr3:uid="{A6BCBB73-E31D-4242-BF1A-DDDB0C9BC1FE}" uniqueName="16" name="Revenue" queryTableFieldId="24"/>
    <tableColumn id="17" xr3:uid="{72B6A02B-DE02-4479-BE0B-975A9B9F03B8}" uniqueName="17" name="Profit" queryTableFieldId="25"/>
    <tableColumn id="18" xr3:uid="{7134216F-A8F6-4250-8E46-BA48E87EC1D9}" uniqueName="18" name="Margin" queryTableField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16517D4-3F5F-4F37-AD04-A1B4DC2D1322}" name="Summary_Laporan_Penjualan_20248" displayName="Summary_Laporan_Penjualan_20248" ref="A1:K633" tableType="queryTable" totalsRowShown="0">
  <autoFilter ref="A1:K633" xr:uid="{2AEBC83E-C30C-42ED-A005-5AEB2F74535D}"/>
  <tableColumns count="11">
    <tableColumn id="1" xr3:uid="{8B0F526C-12AA-455B-8FFF-0DFFEFD03546}" uniqueName="1" name="ID_Transaksi" queryTableFieldId="1" dataDxfId="9"/>
    <tableColumn id="3" xr3:uid="{98C9305C-1E21-4D75-B44C-B2C91E2BA178}" uniqueName="3" name="ID_Produk" queryTableFieldId="3" dataDxfId="8"/>
    <tableColumn id="5" xr3:uid="{F3AC34A9-B7F3-4DD3-8763-EFF939AE9DE9}" uniqueName="5" name="ID_Pelanggan" queryTableFieldId="5" dataDxfId="7"/>
    <tableColumn id="6" xr3:uid="{ADC48ED6-8315-466D-A504-8009B3C6CDD1}" uniqueName="6" name="Sales_Rep" queryTableFieldId="6" dataDxfId="6"/>
    <tableColumn id="4" xr3:uid="{FBF2AA20-1F05-48F7-8A45-83291535CE66}" uniqueName="4" name="Jumlah" queryTableFieldId="4"/>
    <tableColumn id="7" xr3:uid="{52674C36-BDFB-4F4C-8EB8-C8F8B4AD7E05}" uniqueName="7" name="Tanggal_Clean" queryTableFieldId="7" dataDxfId="5"/>
    <tableColumn id="19" xr3:uid="{99E5B0AF-C71B-4B5D-8DE5-D93D2D194993}" uniqueName="19" name="Nama_Pelanggan" queryTableFieldId="27" dataDxfId="4">
      <calculatedColumnFormula>VLOOKUP(Summary_Laporan_Penjualan_20248[[#This Row],[ID_Pelanggan]], Data_Pelanggan[], 2, 0)</calculatedColumnFormula>
    </tableColumn>
    <tableColumn id="20" xr3:uid="{B476FE43-61D6-493C-8F84-B3A8D5863549}" uniqueName="20" name="Kota_Pelanggan" queryTableFieldId="28" dataDxfId="3">
      <calculatedColumnFormula>VLOOKUP(Summary_Laporan_Penjualan_20248[[#This Row],[ID_Pelanggan]], Data_Pelanggan[], 4, 0)</calculatedColumnFormula>
    </tableColumn>
    <tableColumn id="21" xr3:uid="{DC11BCA9-7D02-4ADC-815D-FCC7F6E17C13}" uniqueName="21" name="Kota_Gudang" queryTableFieldId="29" dataDxfId="2">
      <calculatedColumnFormula>VLOOKUP(Summary_Laporan_Penjualan_20248[[#This Row],[ID_Produk]], Data_Produk[], 6, 0)</calculatedColumnFormula>
    </tableColumn>
    <tableColumn id="23" xr3:uid="{380D6E07-2B30-4488-B9B9-2AF34C65C016}" uniqueName="23" name="Harga_Beli" queryTableFieldId="31" dataDxfId="1">
      <calculatedColumnFormula>VLOOKUP(Summary_Laporan_Penjualan_20248[[#This Row],[ID_Produk]], Data_Produk[], 7, 0)</calculatedColumnFormula>
    </tableColumn>
    <tableColumn id="24" xr3:uid="{7AC344AF-DF71-4057-9483-89A228682ED7}" uniqueName="24" name="Harga_Jual" queryTableFieldId="32" dataDxfId="0">
      <calculatedColumnFormula>VLOOKUP(Summary_Laporan_Penjualan_20248[[#This Row],[ID_Produk]], Data_Produk[], 8, 0)</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EBC83E-C30C-42ED-A005-5AEB2F74535D}" name="Summary_Laporan_Penjualan_2024" displayName="Summary_Laporan_Penjualan_2024" ref="A1:F632" tableType="queryTable" totalsRowShown="0">
  <autoFilter ref="A1:F632" xr:uid="{2AEBC83E-C30C-42ED-A005-5AEB2F74535D}"/>
  <tableColumns count="6">
    <tableColumn id="1" xr3:uid="{412A0E27-D9AF-4139-A019-D639E434B027}" uniqueName="1" name="ID_Transaksi" queryTableFieldId="1" dataDxfId="31"/>
    <tableColumn id="3" xr3:uid="{EB23786E-FBFD-425B-AE0C-E3DC2060060F}" uniqueName="3" name="ID_Produk" queryTableFieldId="3" dataDxfId="30"/>
    <tableColumn id="5" xr3:uid="{D562A18C-3C09-40D4-B6D6-8F9BFA50B2A7}" uniqueName="5" name="ID_Pelanggan" queryTableFieldId="5" dataDxfId="29"/>
    <tableColumn id="6" xr3:uid="{C0354DE3-E69F-46AB-9255-6D222123782B}" uniqueName="6" name="Sales_Rep" queryTableFieldId="6" dataDxfId="28"/>
    <tableColumn id="4" xr3:uid="{38ADB3A6-7476-43CD-8183-3CBC2109F72A}" uniqueName="4" name="Jumlah" queryTableFieldId="4"/>
    <tableColumn id="7" xr3:uid="{C7391AFC-82C3-40C0-AA9D-80A60048D672}" uniqueName="7" name="Tanggal_Clean" queryTableFieldId="7" dataDxfId="2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1507A5D-B347-4AD5-B00A-6784F8A1640F}" name="Data_Produk" displayName="Data_Produk" ref="A1:L25" tableType="queryTable" totalsRowShown="0">
  <autoFilter ref="A1:L25" xr:uid="{31507A5D-B347-4AD5-B00A-6784F8A1640F}"/>
  <tableColumns count="12">
    <tableColumn id="1" xr3:uid="{C33212E1-2456-4E60-9529-E6A96F051F12}" uniqueName="1" name="ID_Produk" queryTableFieldId="1" dataDxfId="38"/>
    <tableColumn id="2" xr3:uid="{05131D77-318D-472C-9A9F-51D14C6B5EDB}" uniqueName="2" name="Nama_Produk" queryTableFieldId="2" dataDxfId="37"/>
    <tableColumn id="3" xr3:uid="{516038B1-7C37-40D1-9BE5-82F3A5A486F7}" uniqueName="3" name="Kategori" queryTableFieldId="3" dataDxfId="36"/>
    <tableColumn id="4" xr3:uid="{F472B10E-61C3-4DFA-B871-815223C3D6D9}" uniqueName="4" name="Supplier" queryTableFieldId="4" dataDxfId="35"/>
    <tableColumn id="5" xr3:uid="{348A0957-3EFD-4EDB-8E5C-A738A646C292}" uniqueName="5" name="Gudang" queryTableFieldId="5" dataDxfId="34"/>
    <tableColumn id="6" xr3:uid="{C26D3B93-381F-4025-BC4F-B68C5CB7050B}" uniqueName="6" name="Kota Gudang" queryTableFieldId="6" dataDxfId="33"/>
    <tableColumn id="7" xr3:uid="{A27E5D17-3AA3-4841-9DE1-135FD0860DAB}" uniqueName="7" name="Harga_Beli" queryTableFieldId="7"/>
    <tableColumn id="8" xr3:uid="{42F8D081-C88C-42B0-832C-4A0D94F4B936}" uniqueName="8" name="Harga Jual" queryTableFieldId="8"/>
    <tableColumn id="9" xr3:uid="{028A878D-AE0D-4595-A181-70F06134B75A}" uniqueName="9" name="Stok" queryTableFieldId="9"/>
    <tableColumn id="10" xr3:uid="{372B11E5-74A5-4084-8F21-3D151E553ADF}" uniqueName="10" name="Min_Stok" queryTableFieldId="10"/>
    <tableColumn id="11" xr3:uid="{7F5A38AD-C436-4B7D-9795-9180A608E6C1}" uniqueName="11" name="Status" queryTableFieldId="11" dataDxfId="32"/>
    <tableColumn id="12" xr3:uid="{A1351FAF-B51C-4F7B-AD7C-3B3B5445C3CF}" uniqueName="12" name="Notes Gudang" queryTableFieldId="1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8F02F8-2A2E-485B-AD4F-D7E2C5526692}" name="Data_Penjualan" displayName="Data_Penjualan" ref="A1:F644" totalsRowShown="0">
  <autoFilter ref="A1:F644" xr:uid="{AC8F02F8-2A2E-485B-AD4F-D7E2C5526692}"/>
  <tableColumns count="6">
    <tableColumn id="1" xr3:uid="{3F444992-D26F-4D2A-927E-CF02A37ACAB6}" name="Column1" dataDxfId="52"/>
    <tableColumn id="2" xr3:uid="{BC2C5B4F-AB19-4164-B2FF-3410672E25E6}" name="Column2" dataDxfId="51"/>
    <tableColumn id="3" xr3:uid="{49E40FD2-0B52-405A-BB91-D8F1719E0A69}" name="Column3" dataDxfId="50"/>
    <tableColumn id="4" xr3:uid="{CE059099-AB5F-44B4-B1D9-50C6B0ACAFA5}" name="Column4" dataDxfId="49"/>
    <tableColumn id="5" xr3:uid="{D71190DC-C9D0-4224-9635-688857D461AF}" name="Column5" dataDxfId="48"/>
    <tableColumn id="6" xr3:uid="{989B51D0-02A6-43BE-B5C9-54E2B2648890}" name="Column6" dataDxfId="4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4F3782-7C6B-43CD-BFA2-E97B095A50B6}" name="Data_Pelanggan" displayName="Data_Pelanggan" ref="A1:H16" tableType="queryTable" totalsRowShown="0">
  <autoFilter ref="A1:H16" xr:uid="{574F3782-7C6B-43CD-BFA2-E97B095A50B6}"/>
  <tableColumns count="8">
    <tableColumn id="1" xr3:uid="{B0889A08-9AAE-4954-ABBE-2144D278E2F1}" uniqueName="1" name="ID_Pelanggan" queryTableFieldId="1" dataDxfId="46"/>
    <tableColumn id="2" xr3:uid="{A1137825-2918-4DBF-BCF3-35EA39E5C3A6}" uniqueName="2" name="Nama_Pelanggan" queryTableFieldId="2" dataDxfId="45"/>
    <tableColumn id="3" xr3:uid="{7F1E7DB2-8669-4FD9-A0CE-57EFE2D2B0DC}" uniqueName="3" name="Tipe" queryTableFieldId="3" dataDxfId="44"/>
    <tableColumn id="4" xr3:uid="{4DEF582B-40F3-40F5-A601-047A71109504}" uniqueName="4" name="Kota" queryTableFieldId="4" dataDxfId="43"/>
    <tableColumn id="5" xr3:uid="{21C253E3-F8A8-44D7-BF73-5857985772BD}" uniqueName="5" name="Provinsi" queryTableFieldId="5" dataDxfId="42"/>
    <tableColumn id="6" xr3:uid="{A4AD9F4C-4750-4545-8C97-BC56FC5C0ECF}" uniqueName="6" name="Telepon" queryTableFieldId="6" dataDxfId="41"/>
    <tableColumn id="7" xr3:uid="{026226C8-899C-414D-9033-ACB955E432C4}" uniqueName="7" name="Email" queryTableFieldId="7" dataDxfId="40"/>
    <tableColumn id="8" xr3:uid="{546733D9-34A5-45E6-879E-886F2712984B}" uniqueName="8" name="Tanggal_Daftar" queryTableFieldId="8" dataDxf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94540-0848-4612-896A-748855093603}">
  <dimension ref="A1:H632"/>
  <sheetViews>
    <sheetView tabSelected="1" topLeftCell="L1" workbookViewId="0">
      <selection activeCell="E18" sqref="E18"/>
    </sheetView>
  </sheetViews>
  <sheetFormatPr defaultRowHeight="14.5" x14ac:dyDescent="0.35"/>
  <cols>
    <col min="1" max="1" width="13.7265625" bestFit="1" customWidth="1"/>
    <col min="2" max="2" width="11.6328125" bestFit="1" customWidth="1"/>
    <col min="3" max="3" width="15.26953125" bestFit="1" customWidth="1"/>
    <col min="4" max="4" width="9.90625" bestFit="1" customWidth="1"/>
    <col min="5" max="5" width="14.08984375" bestFit="1" customWidth="1"/>
    <col min="6" max="6" width="16.36328125" bestFit="1" customWidth="1"/>
    <col min="7" max="7" width="10.36328125" bestFit="1" customWidth="1"/>
    <col min="8" max="8" width="9.81640625" bestFit="1" customWidth="1"/>
    <col min="9" max="9" width="14.08984375" bestFit="1" customWidth="1"/>
    <col min="10" max="10" width="11.90625" bestFit="1" customWidth="1"/>
    <col min="11" max="11" width="12" bestFit="1" customWidth="1"/>
    <col min="12" max="12" width="21.1796875" bestFit="1" customWidth="1"/>
    <col min="13" max="13" width="16.1796875" bestFit="1" customWidth="1"/>
    <col min="14" max="14" width="16.36328125" bestFit="1" customWidth="1"/>
    <col min="15" max="15" width="10.36328125" bestFit="1" customWidth="1"/>
    <col min="16" max="16" width="9.81640625" bestFit="1" customWidth="1"/>
    <col min="17" max="17" width="8.7265625" bestFit="1" customWidth="1"/>
    <col min="18" max="18" width="15" bestFit="1" customWidth="1"/>
  </cols>
  <sheetData>
    <row r="1" spans="1:8" x14ac:dyDescent="0.35">
      <c r="A1" t="s">
        <v>99</v>
      </c>
      <c r="B1" t="s">
        <v>101</v>
      </c>
      <c r="C1" t="s">
        <v>1298</v>
      </c>
      <c r="D1" t="s">
        <v>1300</v>
      </c>
      <c r="E1" t="s">
        <v>1371</v>
      </c>
      <c r="F1" t="s">
        <v>1374</v>
      </c>
      <c r="G1" t="s">
        <v>1375</v>
      </c>
      <c r="H1" t="s">
        <v>1376</v>
      </c>
    </row>
    <row r="2" spans="1:8" x14ac:dyDescent="0.35">
      <c r="A2" s="1" t="s">
        <v>1211</v>
      </c>
      <c r="B2" s="1" t="s">
        <v>172</v>
      </c>
      <c r="C2" s="2">
        <v>45418</v>
      </c>
      <c r="D2" s="1" t="s">
        <v>1330</v>
      </c>
      <c r="E2" s="1" t="s">
        <v>41</v>
      </c>
      <c r="F2" s="1" t="s">
        <v>47</v>
      </c>
      <c r="G2">
        <v>1649000</v>
      </c>
      <c r="H2">
        <v>699000</v>
      </c>
    </row>
    <row r="3" spans="1:8" x14ac:dyDescent="0.35">
      <c r="A3" s="1" t="s">
        <v>1128</v>
      </c>
      <c r="B3" s="1" t="s">
        <v>141</v>
      </c>
      <c r="C3" s="2">
        <v>45648</v>
      </c>
      <c r="D3" s="1" t="s">
        <v>1330</v>
      </c>
      <c r="E3" s="1" t="s">
        <v>41</v>
      </c>
      <c r="F3" s="1" t="s">
        <v>47</v>
      </c>
      <c r="G3">
        <v>2492000</v>
      </c>
      <c r="H3">
        <v>892000</v>
      </c>
    </row>
    <row r="4" spans="1:8" x14ac:dyDescent="0.35">
      <c r="A4" s="1" t="s">
        <v>840</v>
      </c>
      <c r="B4" s="1" t="s">
        <v>240</v>
      </c>
      <c r="C4" s="2">
        <v>45328</v>
      </c>
      <c r="D4" s="1" t="s">
        <v>1317</v>
      </c>
      <c r="E4" s="1" t="s">
        <v>41</v>
      </c>
      <c r="F4" s="1" t="s">
        <v>47</v>
      </c>
      <c r="G4">
        <v>1878000</v>
      </c>
      <c r="H4">
        <v>828000</v>
      </c>
    </row>
    <row r="5" spans="1:8" x14ac:dyDescent="0.35">
      <c r="A5" s="1" t="s">
        <v>217</v>
      </c>
      <c r="B5" s="1" t="s">
        <v>149</v>
      </c>
      <c r="C5" s="2">
        <v>45299</v>
      </c>
      <c r="D5" s="1" t="s">
        <v>1317</v>
      </c>
      <c r="E5" s="1" t="s">
        <v>41</v>
      </c>
      <c r="F5" s="1" t="s">
        <v>47</v>
      </c>
      <c r="G5">
        <v>1859000</v>
      </c>
      <c r="H5">
        <v>759000</v>
      </c>
    </row>
    <row r="6" spans="1:8" x14ac:dyDescent="0.35">
      <c r="A6" s="1" t="s">
        <v>803</v>
      </c>
      <c r="B6" s="1" t="s">
        <v>149</v>
      </c>
      <c r="C6" s="2">
        <v>45577</v>
      </c>
      <c r="D6" s="1" t="s">
        <v>1317</v>
      </c>
      <c r="E6" s="1" t="s">
        <v>41</v>
      </c>
      <c r="F6" s="1" t="s">
        <v>47</v>
      </c>
      <c r="G6">
        <v>2366000</v>
      </c>
      <c r="H6">
        <v>966000</v>
      </c>
    </row>
    <row r="7" spans="1:8" x14ac:dyDescent="0.35">
      <c r="A7" s="1" t="s">
        <v>787</v>
      </c>
      <c r="B7" s="1" t="s">
        <v>188</v>
      </c>
      <c r="C7" s="2">
        <v>45441</v>
      </c>
      <c r="D7" s="1" t="s">
        <v>1311</v>
      </c>
      <c r="E7" s="1" t="s">
        <v>41</v>
      </c>
      <c r="F7" s="1" t="s">
        <v>47</v>
      </c>
      <c r="G7">
        <v>66458000</v>
      </c>
      <c r="H7">
        <v>27258000</v>
      </c>
    </row>
    <row r="8" spans="1:8" x14ac:dyDescent="0.35">
      <c r="A8" s="1" t="s">
        <v>772</v>
      </c>
      <c r="B8" s="1" t="s">
        <v>248</v>
      </c>
      <c r="C8" s="2">
        <v>45614</v>
      </c>
      <c r="D8" s="1" t="s">
        <v>1336</v>
      </c>
      <c r="E8" s="1" t="s">
        <v>41</v>
      </c>
      <c r="F8" s="1" t="s">
        <v>47</v>
      </c>
      <c r="G8">
        <v>1416000</v>
      </c>
      <c r="H8">
        <v>416000</v>
      </c>
    </row>
    <row r="9" spans="1:8" x14ac:dyDescent="0.35">
      <c r="A9" s="1" t="s">
        <v>732</v>
      </c>
      <c r="B9" s="1" t="s">
        <v>109</v>
      </c>
      <c r="C9" s="2">
        <v>45638</v>
      </c>
      <c r="D9" s="1" t="s">
        <v>1358</v>
      </c>
      <c r="E9" s="1" t="s">
        <v>41</v>
      </c>
      <c r="F9" s="1" t="s">
        <v>47</v>
      </c>
      <c r="G9">
        <v>6764000</v>
      </c>
      <c r="H9">
        <v>2764000</v>
      </c>
    </row>
    <row r="10" spans="1:8" x14ac:dyDescent="0.35">
      <c r="A10" s="1" t="s">
        <v>716</v>
      </c>
      <c r="B10" s="1" t="s">
        <v>240</v>
      </c>
      <c r="C10" s="2">
        <v>45403</v>
      </c>
      <c r="D10" s="1" t="s">
        <v>1317</v>
      </c>
      <c r="E10" s="1" t="s">
        <v>41</v>
      </c>
      <c r="F10" s="1" t="s">
        <v>47</v>
      </c>
      <c r="G10">
        <v>9390000</v>
      </c>
      <c r="H10">
        <v>4140000</v>
      </c>
    </row>
    <row r="11" spans="1:8" x14ac:dyDescent="0.35">
      <c r="A11" s="1" t="s">
        <v>1179</v>
      </c>
      <c r="B11" s="1" t="s">
        <v>172</v>
      </c>
      <c r="C11" s="2">
        <v>45605</v>
      </c>
      <c r="D11" s="1" t="s">
        <v>1330</v>
      </c>
      <c r="E11" s="1" t="s">
        <v>41</v>
      </c>
      <c r="F11" s="1" t="s">
        <v>47</v>
      </c>
      <c r="G11">
        <v>24735000</v>
      </c>
      <c r="H11">
        <v>10485000</v>
      </c>
    </row>
    <row r="12" spans="1:8" x14ac:dyDescent="0.35">
      <c r="A12" s="1" t="s">
        <v>686</v>
      </c>
      <c r="B12" s="1" t="s">
        <v>240</v>
      </c>
      <c r="C12" s="2">
        <v>45301</v>
      </c>
      <c r="D12" s="1" t="s">
        <v>1317</v>
      </c>
      <c r="E12" s="1" t="s">
        <v>41</v>
      </c>
      <c r="F12" s="1" t="s">
        <v>47</v>
      </c>
      <c r="G12">
        <v>5008000</v>
      </c>
      <c r="H12">
        <v>2208000</v>
      </c>
    </row>
    <row r="13" spans="1:8" x14ac:dyDescent="0.35">
      <c r="A13" s="1" t="s">
        <v>458</v>
      </c>
      <c r="B13" s="1" t="s">
        <v>149</v>
      </c>
      <c r="C13" s="2">
        <v>45530</v>
      </c>
      <c r="D13" s="1" t="s">
        <v>1317</v>
      </c>
      <c r="E13" s="1" t="s">
        <v>41</v>
      </c>
      <c r="F13" s="1" t="s">
        <v>47</v>
      </c>
      <c r="G13">
        <v>2028000</v>
      </c>
      <c r="H13">
        <v>828000</v>
      </c>
    </row>
    <row r="14" spans="1:8" x14ac:dyDescent="0.35">
      <c r="A14" s="1" t="s">
        <v>462</v>
      </c>
      <c r="B14" s="1" t="s">
        <v>141</v>
      </c>
      <c r="C14" s="2">
        <v>45598</v>
      </c>
      <c r="D14" s="1" t="s">
        <v>1330</v>
      </c>
      <c r="E14" s="1" t="s">
        <v>41</v>
      </c>
      <c r="F14" s="1" t="s">
        <v>47</v>
      </c>
      <c r="G14">
        <v>1869000</v>
      </c>
      <c r="H14">
        <v>669000</v>
      </c>
    </row>
    <row r="15" spans="1:8" x14ac:dyDescent="0.35">
      <c r="A15" s="1" t="s">
        <v>1223</v>
      </c>
      <c r="B15" s="1" t="s">
        <v>188</v>
      </c>
      <c r="C15" s="2">
        <v>45511</v>
      </c>
      <c r="D15" s="1" t="s">
        <v>1311</v>
      </c>
      <c r="E15" s="1" t="s">
        <v>41</v>
      </c>
      <c r="F15" s="1" t="s">
        <v>47</v>
      </c>
      <c r="G15">
        <v>47470000</v>
      </c>
      <c r="H15">
        <v>19470000</v>
      </c>
    </row>
    <row r="16" spans="1:8" x14ac:dyDescent="0.35">
      <c r="A16" s="1" t="s">
        <v>1225</v>
      </c>
      <c r="B16" s="1" t="s">
        <v>141</v>
      </c>
      <c r="C16" s="2">
        <v>45386</v>
      </c>
      <c r="D16" s="1" t="s">
        <v>1330</v>
      </c>
      <c r="E16" s="1" t="s">
        <v>41</v>
      </c>
      <c r="F16" s="1" t="s">
        <v>47</v>
      </c>
      <c r="G16">
        <v>3738000</v>
      </c>
      <c r="H16">
        <v>1338000</v>
      </c>
    </row>
    <row r="17" spans="1:8" x14ac:dyDescent="0.35">
      <c r="A17" s="1" t="s">
        <v>377</v>
      </c>
      <c r="B17" s="1" t="s">
        <v>164</v>
      </c>
      <c r="C17" s="2">
        <v>45520</v>
      </c>
      <c r="D17" s="1" t="s">
        <v>1330</v>
      </c>
      <c r="E17" s="1" t="s">
        <v>11</v>
      </c>
      <c r="F17" s="1" t="s">
        <v>47</v>
      </c>
      <c r="G17">
        <v>1942000</v>
      </c>
      <c r="H17">
        <v>442000</v>
      </c>
    </row>
    <row r="18" spans="1:8" x14ac:dyDescent="0.35">
      <c r="A18" s="1" t="s">
        <v>993</v>
      </c>
      <c r="B18" s="1" t="s">
        <v>191</v>
      </c>
      <c r="C18" s="2">
        <v>45370</v>
      </c>
      <c r="D18" s="1" t="s">
        <v>1311</v>
      </c>
      <c r="E18" s="1" t="s">
        <v>11</v>
      </c>
      <c r="F18" s="1" t="s">
        <v>47</v>
      </c>
      <c r="G18">
        <v>27926000</v>
      </c>
      <c r="H18">
        <v>3926000</v>
      </c>
    </row>
    <row r="19" spans="1:8" x14ac:dyDescent="0.35">
      <c r="A19" s="1" t="s">
        <v>288</v>
      </c>
      <c r="B19" s="1" t="s">
        <v>133</v>
      </c>
      <c r="C19" s="2">
        <v>45416</v>
      </c>
      <c r="D19" s="1" t="s">
        <v>1330</v>
      </c>
      <c r="E19" s="1" t="s">
        <v>11</v>
      </c>
      <c r="F19" s="1" t="s">
        <v>47</v>
      </c>
      <c r="G19">
        <v>33880000</v>
      </c>
      <c r="H19">
        <v>6380000</v>
      </c>
    </row>
    <row r="20" spans="1:8" x14ac:dyDescent="0.35">
      <c r="A20" s="1" t="s">
        <v>882</v>
      </c>
      <c r="B20" s="1" t="s">
        <v>164</v>
      </c>
      <c r="C20" s="2">
        <v>45388</v>
      </c>
      <c r="D20" s="1" t="s">
        <v>1330</v>
      </c>
      <c r="E20" s="1" t="s">
        <v>11</v>
      </c>
      <c r="F20" s="1" t="s">
        <v>47</v>
      </c>
      <c r="G20">
        <v>14565000</v>
      </c>
      <c r="H20">
        <v>3315000</v>
      </c>
    </row>
    <row r="21" spans="1:8" x14ac:dyDescent="0.35">
      <c r="A21" s="1" t="s">
        <v>580</v>
      </c>
      <c r="B21" s="1" t="s">
        <v>197</v>
      </c>
      <c r="C21" s="2">
        <v>45611</v>
      </c>
      <c r="D21" s="1" t="s">
        <v>1336</v>
      </c>
      <c r="E21" s="1" t="s">
        <v>11</v>
      </c>
      <c r="F21" s="1" t="s">
        <v>47</v>
      </c>
      <c r="G21">
        <v>12375000</v>
      </c>
      <c r="H21">
        <v>1575000</v>
      </c>
    </row>
    <row r="22" spans="1:8" x14ac:dyDescent="0.35">
      <c r="A22" s="1" t="s">
        <v>855</v>
      </c>
      <c r="B22" s="1" t="s">
        <v>197</v>
      </c>
      <c r="C22" s="2">
        <v>45650</v>
      </c>
      <c r="D22" s="1" t="s">
        <v>1336</v>
      </c>
      <c r="E22" s="1" t="s">
        <v>11</v>
      </c>
      <c r="F22" s="1" t="s">
        <v>47</v>
      </c>
      <c r="G22">
        <v>9625000</v>
      </c>
      <c r="H22">
        <v>1225000</v>
      </c>
    </row>
    <row r="23" spans="1:8" x14ac:dyDescent="0.35">
      <c r="A23" s="1" t="s">
        <v>821</v>
      </c>
      <c r="B23" s="1" t="s">
        <v>197</v>
      </c>
      <c r="C23" s="2">
        <v>45355</v>
      </c>
      <c r="D23" s="1" t="s">
        <v>1336</v>
      </c>
      <c r="E23" s="1" t="s">
        <v>11</v>
      </c>
      <c r="F23" s="1" t="s">
        <v>47</v>
      </c>
      <c r="G23">
        <v>12375000</v>
      </c>
      <c r="H23">
        <v>1575000</v>
      </c>
    </row>
    <row r="24" spans="1:8" x14ac:dyDescent="0.35">
      <c r="A24" s="1" t="s">
        <v>632</v>
      </c>
      <c r="B24" s="1" t="s">
        <v>133</v>
      </c>
      <c r="C24" s="2">
        <v>45548</v>
      </c>
      <c r="D24" s="1" t="s">
        <v>1330</v>
      </c>
      <c r="E24" s="1" t="s">
        <v>11</v>
      </c>
      <c r="F24" s="1" t="s">
        <v>47</v>
      </c>
      <c r="G24">
        <v>43120000</v>
      </c>
      <c r="H24">
        <v>8120000</v>
      </c>
    </row>
    <row r="25" spans="1:8" x14ac:dyDescent="0.35">
      <c r="A25" s="1" t="s">
        <v>1260</v>
      </c>
      <c r="B25" s="1" t="s">
        <v>197</v>
      </c>
      <c r="C25" s="2">
        <v>45519</v>
      </c>
      <c r="D25" s="1" t="s">
        <v>1336</v>
      </c>
      <c r="E25" s="1" t="s">
        <v>11</v>
      </c>
      <c r="F25" s="1" t="s">
        <v>47</v>
      </c>
      <c r="G25">
        <v>17875000</v>
      </c>
      <c r="H25">
        <v>2275000</v>
      </c>
    </row>
    <row r="26" spans="1:8" x14ac:dyDescent="0.35">
      <c r="A26" s="1" t="s">
        <v>943</v>
      </c>
      <c r="B26" s="1" t="s">
        <v>197</v>
      </c>
      <c r="C26" s="2">
        <v>45505</v>
      </c>
      <c r="D26" s="1" t="s">
        <v>1336</v>
      </c>
      <c r="E26" s="1" t="s">
        <v>11</v>
      </c>
      <c r="F26" s="1" t="s">
        <v>47</v>
      </c>
      <c r="G26">
        <v>5500000</v>
      </c>
      <c r="H26">
        <v>700000</v>
      </c>
    </row>
    <row r="27" spans="1:8" x14ac:dyDescent="0.35">
      <c r="A27" s="1" t="s">
        <v>264</v>
      </c>
      <c r="B27" s="1" t="s">
        <v>137</v>
      </c>
      <c r="C27" s="2">
        <v>45564</v>
      </c>
      <c r="D27" s="1" t="s">
        <v>1311</v>
      </c>
      <c r="E27" s="1" t="s">
        <v>11</v>
      </c>
      <c r="F27" s="1" t="s">
        <v>47</v>
      </c>
      <c r="G27">
        <v>25330000</v>
      </c>
      <c r="H27">
        <v>5330000</v>
      </c>
    </row>
    <row r="28" spans="1:8" x14ac:dyDescent="0.35">
      <c r="A28" s="1" t="s">
        <v>1134</v>
      </c>
      <c r="B28" s="1" t="s">
        <v>197</v>
      </c>
      <c r="C28" s="2">
        <v>45394</v>
      </c>
      <c r="D28" s="1" t="s">
        <v>1336</v>
      </c>
      <c r="E28" s="1" t="s">
        <v>11</v>
      </c>
      <c r="F28" s="1" t="s">
        <v>47</v>
      </c>
      <c r="G28">
        <v>15125000</v>
      </c>
      <c r="H28">
        <v>1925000</v>
      </c>
    </row>
    <row r="29" spans="1:8" x14ac:dyDescent="0.35">
      <c r="A29" s="1" t="s">
        <v>836</v>
      </c>
      <c r="B29" s="1" t="s">
        <v>133</v>
      </c>
      <c r="C29" s="2">
        <v>45462</v>
      </c>
      <c r="D29" s="1" t="s">
        <v>1330</v>
      </c>
      <c r="E29" s="1" t="s">
        <v>11</v>
      </c>
      <c r="F29" s="1" t="s">
        <v>47</v>
      </c>
      <c r="G29">
        <v>27720000</v>
      </c>
      <c r="H29">
        <v>5220000</v>
      </c>
    </row>
    <row r="30" spans="1:8" x14ac:dyDescent="0.35">
      <c r="A30" s="1" t="s">
        <v>1050</v>
      </c>
      <c r="B30" s="1" t="s">
        <v>116</v>
      </c>
      <c r="C30" s="2">
        <v>45476</v>
      </c>
      <c r="D30" s="1" t="s">
        <v>1330</v>
      </c>
      <c r="E30" s="1" t="s">
        <v>1323</v>
      </c>
      <c r="F30" s="1" t="s">
        <v>47</v>
      </c>
      <c r="G30">
        <v>37730000</v>
      </c>
      <c r="H30">
        <v>12730000</v>
      </c>
    </row>
    <row r="31" spans="1:8" x14ac:dyDescent="0.35">
      <c r="A31" s="1" t="s">
        <v>270</v>
      </c>
      <c r="B31" s="1" t="s">
        <v>272</v>
      </c>
      <c r="C31" s="2">
        <v>45609</v>
      </c>
      <c r="D31" s="1" t="s">
        <v>1317</v>
      </c>
      <c r="E31" s="1" t="s">
        <v>1323</v>
      </c>
      <c r="F31" s="1" t="s">
        <v>47</v>
      </c>
      <c r="G31">
        <v>2223000</v>
      </c>
      <c r="H31">
        <v>273000</v>
      </c>
    </row>
    <row r="32" spans="1:8" x14ac:dyDescent="0.35">
      <c r="A32" s="1" t="s">
        <v>1038</v>
      </c>
      <c r="B32" s="1" t="s">
        <v>111</v>
      </c>
      <c r="C32" s="2">
        <v>45295</v>
      </c>
      <c r="D32" s="1" t="s">
        <v>1311</v>
      </c>
      <c r="E32" s="1" t="s">
        <v>1323</v>
      </c>
      <c r="F32" s="1" t="s">
        <v>47</v>
      </c>
      <c r="G32">
        <v>220824000</v>
      </c>
      <c r="H32">
        <v>76824000</v>
      </c>
    </row>
    <row r="33" spans="1:8" x14ac:dyDescent="0.35">
      <c r="A33" s="1" t="s">
        <v>1153</v>
      </c>
      <c r="B33" s="1" t="s">
        <v>173</v>
      </c>
      <c r="C33" s="2">
        <v>45570</v>
      </c>
      <c r="D33" s="1" t="s">
        <v>1317</v>
      </c>
      <c r="E33" s="1" t="s">
        <v>1323</v>
      </c>
      <c r="F33" s="1" t="s">
        <v>47</v>
      </c>
      <c r="G33">
        <v>1196000</v>
      </c>
      <c r="H33">
        <v>156000</v>
      </c>
    </row>
    <row r="34" spans="1:8" x14ac:dyDescent="0.35">
      <c r="A34" s="1" t="s">
        <v>936</v>
      </c>
      <c r="B34" s="1" t="s">
        <v>106</v>
      </c>
      <c r="C34" s="2">
        <v>45429</v>
      </c>
      <c r="D34" s="1" t="s">
        <v>1317</v>
      </c>
      <c r="E34" s="1" t="s">
        <v>1323</v>
      </c>
      <c r="F34" s="1" t="s">
        <v>47</v>
      </c>
      <c r="G34">
        <v>4615000</v>
      </c>
      <c r="H34">
        <v>715000</v>
      </c>
    </row>
    <row r="35" spans="1:8" x14ac:dyDescent="0.35">
      <c r="A35" s="1" t="s">
        <v>912</v>
      </c>
      <c r="B35" s="1" t="s">
        <v>113</v>
      </c>
      <c r="C35" s="2">
        <v>45407</v>
      </c>
      <c r="D35" s="1" t="s">
        <v>1311</v>
      </c>
      <c r="E35" s="1" t="s">
        <v>1323</v>
      </c>
      <c r="F35" s="1" t="s">
        <v>47</v>
      </c>
      <c r="G35">
        <v>44176000</v>
      </c>
      <c r="H35">
        <v>8176000</v>
      </c>
    </row>
    <row r="36" spans="1:8" x14ac:dyDescent="0.35">
      <c r="A36" s="1" t="s">
        <v>365</v>
      </c>
      <c r="B36" s="1" t="s">
        <v>106</v>
      </c>
      <c r="C36" s="2">
        <v>45504</v>
      </c>
      <c r="D36" s="1" t="s">
        <v>1317</v>
      </c>
      <c r="E36" s="1" t="s">
        <v>1323</v>
      </c>
      <c r="F36" s="1" t="s">
        <v>47</v>
      </c>
      <c r="G36">
        <v>1420000</v>
      </c>
      <c r="H36">
        <v>220000</v>
      </c>
    </row>
    <row r="37" spans="1:8" x14ac:dyDescent="0.35">
      <c r="A37" s="1" t="s">
        <v>725</v>
      </c>
      <c r="B37" s="1" t="s">
        <v>173</v>
      </c>
      <c r="C37" s="2">
        <v>45498</v>
      </c>
      <c r="D37" s="1" t="s">
        <v>1317</v>
      </c>
      <c r="E37" s="1" t="s">
        <v>1323</v>
      </c>
      <c r="F37" s="1" t="s">
        <v>47</v>
      </c>
      <c r="G37">
        <v>1288000</v>
      </c>
      <c r="H37">
        <v>168000</v>
      </c>
    </row>
    <row r="38" spans="1:8" x14ac:dyDescent="0.35">
      <c r="A38" s="1" t="s">
        <v>708</v>
      </c>
      <c r="B38" s="1" t="s">
        <v>106</v>
      </c>
      <c r="C38" s="2">
        <v>45503</v>
      </c>
      <c r="D38" s="1" t="s">
        <v>1317</v>
      </c>
      <c r="E38" s="1" t="s">
        <v>1323</v>
      </c>
      <c r="F38" s="1" t="s">
        <v>47</v>
      </c>
      <c r="G38">
        <v>3550000</v>
      </c>
      <c r="H38">
        <v>550000</v>
      </c>
    </row>
    <row r="39" spans="1:8" x14ac:dyDescent="0.35">
      <c r="A39" s="1" t="s">
        <v>442</v>
      </c>
      <c r="B39" s="1" t="s">
        <v>106</v>
      </c>
      <c r="C39" s="2">
        <v>45327</v>
      </c>
      <c r="D39" s="1" t="s">
        <v>1317</v>
      </c>
      <c r="E39" s="1" t="s">
        <v>1323</v>
      </c>
      <c r="F39" s="1" t="s">
        <v>47</v>
      </c>
      <c r="G39">
        <v>5325000</v>
      </c>
      <c r="H39">
        <v>825000</v>
      </c>
    </row>
    <row r="40" spans="1:8" x14ac:dyDescent="0.35">
      <c r="A40" s="1" t="s">
        <v>302</v>
      </c>
      <c r="B40" s="1" t="s">
        <v>106</v>
      </c>
      <c r="C40" s="2">
        <v>45399</v>
      </c>
      <c r="D40" s="1" t="s">
        <v>1317</v>
      </c>
      <c r="E40" s="1" t="s">
        <v>1323</v>
      </c>
      <c r="F40" s="1" t="s">
        <v>47</v>
      </c>
      <c r="G40">
        <v>3550000</v>
      </c>
      <c r="H40">
        <v>550000</v>
      </c>
    </row>
    <row r="41" spans="1:8" x14ac:dyDescent="0.35">
      <c r="A41" s="1" t="s">
        <v>1093</v>
      </c>
      <c r="B41" s="1" t="s">
        <v>173</v>
      </c>
      <c r="C41" s="2">
        <v>45504</v>
      </c>
      <c r="D41" s="1" t="s">
        <v>1317</v>
      </c>
      <c r="E41" s="1" t="s">
        <v>1323</v>
      </c>
      <c r="F41" s="1" t="s">
        <v>47</v>
      </c>
      <c r="G41">
        <v>736000</v>
      </c>
      <c r="H41">
        <v>96000</v>
      </c>
    </row>
    <row r="42" spans="1:8" x14ac:dyDescent="0.35">
      <c r="A42" s="1" t="s">
        <v>906</v>
      </c>
      <c r="B42" s="1" t="s">
        <v>272</v>
      </c>
      <c r="C42" s="2">
        <v>45587</v>
      </c>
      <c r="D42" s="1" t="s">
        <v>1317</v>
      </c>
      <c r="E42" s="1" t="s">
        <v>1323</v>
      </c>
      <c r="F42" s="1" t="s">
        <v>47</v>
      </c>
      <c r="G42">
        <v>1482000</v>
      </c>
      <c r="H42">
        <v>182000</v>
      </c>
    </row>
    <row r="43" spans="1:8" x14ac:dyDescent="0.35">
      <c r="A43" s="1" t="s">
        <v>1135</v>
      </c>
      <c r="B43" s="1" t="s">
        <v>272</v>
      </c>
      <c r="C43" s="2">
        <v>45434</v>
      </c>
      <c r="D43" s="1" t="s">
        <v>1317</v>
      </c>
      <c r="E43" s="1" t="s">
        <v>1323</v>
      </c>
      <c r="F43" s="1" t="s">
        <v>47</v>
      </c>
      <c r="G43">
        <v>3705000</v>
      </c>
      <c r="H43">
        <v>455000</v>
      </c>
    </row>
    <row r="44" spans="1:8" x14ac:dyDescent="0.35">
      <c r="A44" s="1" t="s">
        <v>1114</v>
      </c>
      <c r="B44" s="1" t="s">
        <v>111</v>
      </c>
      <c r="C44" s="2">
        <v>45575</v>
      </c>
      <c r="D44" s="1" t="s">
        <v>1311</v>
      </c>
      <c r="E44" s="1" t="s">
        <v>1323</v>
      </c>
      <c r="F44" s="1" t="s">
        <v>47</v>
      </c>
      <c r="G44">
        <v>414045000</v>
      </c>
      <c r="H44">
        <v>144045000</v>
      </c>
    </row>
    <row r="45" spans="1:8" x14ac:dyDescent="0.35">
      <c r="A45" s="1" t="s">
        <v>1155</v>
      </c>
      <c r="B45" s="1" t="s">
        <v>176</v>
      </c>
      <c r="C45" s="2">
        <v>45582</v>
      </c>
      <c r="D45" s="1" t="s">
        <v>1330</v>
      </c>
      <c r="E45" s="1" t="s">
        <v>1323</v>
      </c>
      <c r="F45" s="1" t="s">
        <v>47</v>
      </c>
      <c r="G45">
        <v>17720000</v>
      </c>
      <c r="H45">
        <v>2720000</v>
      </c>
    </row>
    <row r="46" spans="1:8" x14ac:dyDescent="0.35">
      <c r="A46" s="1" t="s">
        <v>1203</v>
      </c>
      <c r="B46" s="1" t="s">
        <v>188</v>
      </c>
      <c r="C46" s="2">
        <v>45346</v>
      </c>
      <c r="D46" s="1" t="s">
        <v>1311</v>
      </c>
      <c r="E46" s="1" t="s">
        <v>41</v>
      </c>
      <c r="F46" s="1" t="s">
        <v>89</v>
      </c>
      <c r="G46">
        <v>14241000</v>
      </c>
      <c r="H46">
        <v>5841000</v>
      </c>
    </row>
    <row r="47" spans="1:8" x14ac:dyDescent="0.35">
      <c r="A47" s="1" t="s">
        <v>874</v>
      </c>
      <c r="B47" s="1" t="s">
        <v>188</v>
      </c>
      <c r="C47" s="2">
        <v>45353</v>
      </c>
      <c r="D47" s="1" t="s">
        <v>1311</v>
      </c>
      <c r="E47" s="1" t="s">
        <v>41</v>
      </c>
      <c r="F47" s="1" t="s">
        <v>89</v>
      </c>
      <c r="G47">
        <v>42723000</v>
      </c>
      <c r="H47">
        <v>17523000</v>
      </c>
    </row>
    <row r="48" spans="1:8" x14ac:dyDescent="0.35">
      <c r="A48" s="1" t="s">
        <v>736</v>
      </c>
      <c r="B48" s="1" t="s">
        <v>188</v>
      </c>
      <c r="C48" s="2">
        <v>45610</v>
      </c>
      <c r="D48" s="1" t="s">
        <v>1311</v>
      </c>
      <c r="E48" s="1" t="s">
        <v>41</v>
      </c>
      <c r="F48" s="1" t="s">
        <v>89</v>
      </c>
      <c r="G48">
        <v>23735000</v>
      </c>
      <c r="H48">
        <v>9735000</v>
      </c>
    </row>
    <row r="49" spans="1:8" x14ac:dyDescent="0.35">
      <c r="A49" s="1" t="s">
        <v>169</v>
      </c>
      <c r="B49" s="1" t="s">
        <v>172</v>
      </c>
      <c r="C49" s="2">
        <v>45598</v>
      </c>
      <c r="D49" s="1" t="s">
        <v>1330</v>
      </c>
      <c r="E49" s="1" t="s">
        <v>41</v>
      </c>
      <c r="F49" s="1" t="s">
        <v>89</v>
      </c>
      <c r="G49">
        <v>1649000</v>
      </c>
      <c r="H49">
        <v>699000</v>
      </c>
    </row>
    <row r="50" spans="1:8" x14ac:dyDescent="0.35">
      <c r="A50" s="1" t="s">
        <v>722</v>
      </c>
      <c r="B50" s="1" t="s">
        <v>168</v>
      </c>
      <c r="C50" s="2">
        <v>45608</v>
      </c>
      <c r="D50" s="1" t="s">
        <v>1336</v>
      </c>
      <c r="E50" s="1" t="s">
        <v>41</v>
      </c>
      <c r="F50" s="1" t="s">
        <v>89</v>
      </c>
      <c r="G50">
        <v>4220000</v>
      </c>
      <c r="H50">
        <v>1720000</v>
      </c>
    </row>
    <row r="51" spans="1:8" x14ac:dyDescent="0.35">
      <c r="A51" s="1" t="s">
        <v>169</v>
      </c>
      <c r="B51" s="1" t="s">
        <v>168</v>
      </c>
      <c r="C51" s="2">
        <v>45598</v>
      </c>
      <c r="D51" s="1" t="s">
        <v>1336</v>
      </c>
      <c r="E51" s="1" t="s">
        <v>41</v>
      </c>
      <c r="F51" s="1" t="s">
        <v>89</v>
      </c>
      <c r="G51">
        <v>844000</v>
      </c>
      <c r="H51">
        <v>344000</v>
      </c>
    </row>
    <row r="52" spans="1:8" x14ac:dyDescent="0.35">
      <c r="A52" s="1" t="s">
        <v>959</v>
      </c>
      <c r="B52" s="1" t="s">
        <v>248</v>
      </c>
      <c r="C52" s="2">
        <v>45490</v>
      </c>
      <c r="D52" s="1" t="s">
        <v>1336</v>
      </c>
      <c r="E52" s="1" t="s">
        <v>41</v>
      </c>
      <c r="F52" s="1" t="s">
        <v>89</v>
      </c>
      <c r="G52">
        <v>2124000</v>
      </c>
      <c r="H52">
        <v>624000</v>
      </c>
    </row>
    <row r="53" spans="1:8" x14ac:dyDescent="0.35">
      <c r="A53" s="1" t="s">
        <v>397</v>
      </c>
      <c r="B53" s="1" t="s">
        <v>149</v>
      </c>
      <c r="C53" s="2">
        <v>45626</v>
      </c>
      <c r="D53" s="1" t="s">
        <v>1317</v>
      </c>
      <c r="E53" s="1" t="s">
        <v>41</v>
      </c>
      <c r="F53" s="1" t="s">
        <v>89</v>
      </c>
      <c r="G53">
        <v>2028000</v>
      </c>
      <c r="H53">
        <v>828000</v>
      </c>
    </row>
    <row r="54" spans="1:8" x14ac:dyDescent="0.35">
      <c r="A54" s="1" t="s">
        <v>658</v>
      </c>
      <c r="B54" s="1" t="s">
        <v>248</v>
      </c>
      <c r="C54" s="2">
        <v>45581</v>
      </c>
      <c r="D54" s="1" t="s">
        <v>1336</v>
      </c>
      <c r="E54" s="1" t="s">
        <v>41</v>
      </c>
      <c r="F54" s="1" t="s">
        <v>89</v>
      </c>
      <c r="G54">
        <v>3894000</v>
      </c>
      <c r="H54">
        <v>1144000</v>
      </c>
    </row>
    <row r="55" spans="1:8" x14ac:dyDescent="0.35">
      <c r="A55" s="1" t="s">
        <v>411</v>
      </c>
      <c r="B55" s="1" t="s">
        <v>172</v>
      </c>
      <c r="C55" s="2">
        <v>45412</v>
      </c>
      <c r="D55" s="1" t="s">
        <v>1330</v>
      </c>
      <c r="E55" s="1" t="s">
        <v>41</v>
      </c>
      <c r="F55" s="1" t="s">
        <v>89</v>
      </c>
      <c r="G55">
        <v>18139000</v>
      </c>
      <c r="H55">
        <v>7689000</v>
      </c>
    </row>
    <row r="56" spans="1:8" x14ac:dyDescent="0.35">
      <c r="A56" s="1" t="s">
        <v>1165</v>
      </c>
      <c r="B56" s="1" t="s">
        <v>141</v>
      </c>
      <c r="C56" s="2">
        <v>45640</v>
      </c>
      <c r="D56" s="1" t="s">
        <v>1330</v>
      </c>
      <c r="E56" s="1" t="s">
        <v>41</v>
      </c>
      <c r="F56" s="1" t="s">
        <v>89</v>
      </c>
      <c r="G56">
        <v>6853000</v>
      </c>
      <c r="H56">
        <v>2453000</v>
      </c>
    </row>
    <row r="57" spans="1:8" x14ac:dyDescent="0.35">
      <c r="A57" s="1" t="s">
        <v>1041</v>
      </c>
      <c r="B57" s="1" t="s">
        <v>188</v>
      </c>
      <c r="C57" s="2">
        <v>45525</v>
      </c>
      <c r="D57" s="1" t="s">
        <v>1311</v>
      </c>
      <c r="E57" s="1" t="s">
        <v>41</v>
      </c>
      <c r="F57" s="1" t="s">
        <v>89</v>
      </c>
      <c r="G57">
        <v>14241000</v>
      </c>
      <c r="H57">
        <v>5841000</v>
      </c>
    </row>
    <row r="58" spans="1:8" x14ac:dyDescent="0.35">
      <c r="A58" s="1" t="s">
        <v>499</v>
      </c>
      <c r="B58" s="1" t="s">
        <v>188</v>
      </c>
      <c r="C58" s="2">
        <v>45530</v>
      </c>
      <c r="D58" s="1" t="s">
        <v>1311</v>
      </c>
      <c r="E58" s="1" t="s">
        <v>41</v>
      </c>
      <c r="F58" s="1" t="s">
        <v>89</v>
      </c>
      <c r="G58">
        <v>4747000</v>
      </c>
      <c r="H58">
        <v>1947000</v>
      </c>
    </row>
    <row r="59" spans="1:8" x14ac:dyDescent="0.35">
      <c r="A59" s="1" t="s">
        <v>1110</v>
      </c>
      <c r="B59" s="1" t="s">
        <v>248</v>
      </c>
      <c r="C59" s="2">
        <v>45313</v>
      </c>
      <c r="D59" s="1" t="s">
        <v>1336</v>
      </c>
      <c r="E59" s="1" t="s">
        <v>41</v>
      </c>
      <c r="F59" s="1" t="s">
        <v>89</v>
      </c>
      <c r="G59">
        <v>4956000</v>
      </c>
      <c r="H59">
        <v>1456000</v>
      </c>
    </row>
    <row r="60" spans="1:8" x14ac:dyDescent="0.35">
      <c r="A60" s="1" t="s">
        <v>520</v>
      </c>
      <c r="B60" s="1" t="s">
        <v>168</v>
      </c>
      <c r="C60" s="2">
        <v>45479</v>
      </c>
      <c r="D60" s="1" t="s">
        <v>1336</v>
      </c>
      <c r="E60" s="1" t="s">
        <v>41</v>
      </c>
      <c r="F60" s="1" t="s">
        <v>89</v>
      </c>
      <c r="G60">
        <v>844000</v>
      </c>
      <c r="H60">
        <v>344000</v>
      </c>
    </row>
    <row r="61" spans="1:8" x14ac:dyDescent="0.35">
      <c r="A61" s="1" t="s">
        <v>588</v>
      </c>
      <c r="B61" s="1" t="s">
        <v>149</v>
      </c>
      <c r="C61" s="2">
        <v>45537</v>
      </c>
      <c r="D61" s="1" t="s">
        <v>1317</v>
      </c>
      <c r="E61" s="1" t="s">
        <v>41</v>
      </c>
      <c r="F61" s="1" t="s">
        <v>89</v>
      </c>
      <c r="G61">
        <v>2197000</v>
      </c>
      <c r="H61">
        <v>897000</v>
      </c>
    </row>
    <row r="62" spans="1:8" x14ac:dyDescent="0.35">
      <c r="A62" s="1" t="s">
        <v>596</v>
      </c>
      <c r="B62" s="1" t="s">
        <v>141</v>
      </c>
      <c r="C62" s="2">
        <v>45575</v>
      </c>
      <c r="D62" s="1" t="s">
        <v>1330</v>
      </c>
      <c r="E62" s="1" t="s">
        <v>41</v>
      </c>
      <c r="F62" s="1" t="s">
        <v>89</v>
      </c>
      <c r="G62">
        <v>2492000</v>
      </c>
      <c r="H62">
        <v>892000</v>
      </c>
    </row>
    <row r="63" spans="1:8" x14ac:dyDescent="0.35">
      <c r="A63" s="1" t="s">
        <v>512</v>
      </c>
      <c r="B63" s="1" t="s">
        <v>168</v>
      </c>
      <c r="C63" s="2">
        <v>45599</v>
      </c>
      <c r="D63" s="1" t="s">
        <v>1336</v>
      </c>
      <c r="E63" s="1" t="s">
        <v>41</v>
      </c>
      <c r="F63" s="1" t="s">
        <v>89</v>
      </c>
      <c r="G63">
        <v>5908000</v>
      </c>
      <c r="H63">
        <v>2408000</v>
      </c>
    </row>
    <row r="64" spans="1:8" x14ac:dyDescent="0.35">
      <c r="A64" s="1" t="s">
        <v>534</v>
      </c>
      <c r="B64" s="1" t="s">
        <v>164</v>
      </c>
      <c r="C64" s="2">
        <v>45396</v>
      </c>
      <c r="D64" s="1" t="s">
        <v>1330</v>
      </c>
      <c r="E64" s="1" t="s">
        <v>11</v>
      </c>
      <c r="F64" s="1" t="s">
        <v>89</v>
      </c>
      <c r="G64">
        <v>7768000</v>
      </c>
      <c r="H64">
        <v>1768000</v>
      </c>
    </row>
    <row r="65" spans="1:8" x14ac:dyDescent="0.35">
      <c r="A65" s="1" t="s">
        <v>902</v>
      </c>
      <c r="B65" s="1" t="s">
        <v>164</v>
      </c>
      <c r="C65" s="2">
        <v>45371</v>
      </c>
      <c r="D65" s="1" t="s">
        <v>1330</v>
      </c>
      <c r="E65" s="1" t="s">
        <v>11</v>
      </c>
      <c r="F65" s="1" t="s">
        <v>89</v>
      </c>
      <c r="G65">
        <v>11652000</v>
      </c>
      <c r="H65">
        <v>2652000</v>
      </c>
    </row>
    <row r="66" spans="1:8" x14ac:dyDescent="0.35">
      <c r="A66" s="1" t="s">
        <v>552</v>
      </c>
      <c r="B66" s="1" t="s">
        <v>197</v>
      </c>
      <c r="C66" s="2">
        <v>45451</v>
      </c>
      <c r="D66" s="1" t="s">
        <v>1336</v>
      </c>
      <c r="E66" s="1" t="s">
        <v>11</v>
      </c>
      <c r="F66" s="1" t="s">
        <v>89</v>
      </c>
      <c r="G66">
        <v>16500000</v>
      </c>
      <c r="H66">
        <v>2100000</v>
      </c>
    </row>
    <row r="67" spans="1:8" x14ac:dyDescent="0.35">
      <c r="A67" s="1" t="s">
        <v>1247</v>
      </c>
      <c r="B67" s="1" t="s">
        <v>164</v>
      </c>
      <c r="C67" s="2">
        <v>45496</v>
      </c>
      <c r="D67" s="1" t="s">
        <v>1330</v>
      </c>
      <c r="E67" s="1" t="s">
        <v>11</v>
      </c>
      <c r="F67" s="1" t="s">
        <v>89</v>
      </c>
      <c r="G67">
        <v>14565000</v>
      </c>
      <c r="H67">
        <v>3315000</v>
      </c>
    </row>
    <row r="68" spans="1:8" x14ac:dyDescent="0.35">
      <c r="A68" s="1" t="s">
        <v>1175</v>
      </c>
      <c r="B68" s="1" t="s">
        <v>197</v>
      </c>
      <c r="C68" s="2">
        <v>45631</v>
      </c>
      <c r="D68" s="1" t="s">
        <v>1336</v>
      </c>
      <c r="E68" s="1" t="s">
        <v>11</v>
      </c>
      <c r="F68" s="1" t="s">
        <v>89</v>
      </c>
      <c r="G68">
        <v>16500000</v>
      </c>
      <c r="H68">
        <v>2100000</v>
      </c>
    </row>
    <row r="69" spans="1:8" x14ac:dyDescent="0.35">
      <c r="A69" s="1" t="s">
        <v>662</v>
      </c>
      <c r="B69" s="1" t="s">
        <v>197</v>
      </c>
      <c r="C69" s="2">
        <v>45293</v>
      </c>
      <c r="D69" s="1" t="s">
        <v>1336</v>
      </c>
      <c r="E69" s="1" t="s">
        <v>11</v>
      </c>
      <c r="F69" s="1" t="s">
        <v>89</v>
      </c>
      <c r="G69">
        <v>11000000</v>
      </c>
      <c r="H69">
        <v>1400000</v>
      </c>
    </row>
    <row r="70" spans="1:8" x14ac:dyDescent="0.35">
      <c r="A70" s="1" t="s">
        <v>1005</v>
      </c>
      <c r="B70" s="1" t="s">
        <v>191</v>
      </c>
      <c r="C70" s="2">
        <v>45415</v>
      </c>
      <c r="D70" s="1" t="s">
        <v>1311</v>
      </c>
      <c r="E70" s="1" t="s">
        <v>11</v>
      </c>
      <c r="F70" s="1" t="s">
        <v>89</v>
      </c>
      <c r="G70">
        <v>13963000</v>
      </c>
      <c r="H70">
        <v>1963000</v>
      </c>
    </row>
    <row r="71" spans="1:8" x14ac:dyDescent="0.35">
      <c r="A71" s="1" t="s">
        <v>249</v>
      </c>
      <c r="B71" s="1" t="s">
        <v>191</v>
      </c>
      <c r="C71" s="2">
        <v>45455</v>
      </c>
      <c r="D71" s="1" t="s">
        <v>1311</v>
      </c>
      <c r="E71" s="1" t="s">
        <v>11</v>
      </c>
      <c r="F71" s="1" t="s">
        <v>89</v>
      </c>
      <c r="G71">
        <v>167556000</v>
      </c>
      <c r="H71">
        <v>23556000</v>
      </c>
    </row>
    <row r="72" spans="1:8" x14ac:dyDescent="0.35">
      <c r="A72" s="1" t="s">
        <v>851</v>
      </c>
      <c r="B72" s="1" t="s">
        <v>133</v>
      </c>
      <c r="C72" s="2">
        <v>45498</v>
      </c>
      <c r="D72" s="1" t="s">
        <v>1330</v>
      </c>
      <c r="E72" s="1" t="s">
        <v>11</v>
      </c>
      <c r="F72" s="1" t="s">
        <v>89</v>
      </c>
      <c r="G72">
        <v>21560000</v>
      </c>
      <c r="H72">
        <v>4060000</v>
      </c>
    </row>
    <row r="73" spans="1:8" x14ac:dyDescent="0.35">
      <c r="A73" s="1" t="s">
        <v>481</v>
      </c>
      <c r="B73" s="1" t="s">
        <v>197</v>
      </c>
      <c r="C73" s="2">
        <v>45432</v>
      </c>
      <c r="D73" s="1" t="s">
        <v>1336</v>
      </c>
      <c r="E73" s="1" t="s">
        <v>11</v>
      </c>
      <c r="F73" s="1" t="s">
        <v>89</v>
      </c>
      <c r="G73">
        <v>4125000</v>
      </c>
      <c r="H73">
        <v>525000</v>
      </c>
    </row>
    <row r="74" spans="1:8" x14ac:dyDescent="0.35">
      <c r="A74" s="1" t="s">
        <v>610</v>
      </c>
      <c r="B74" s="1" t="s">
        <v>137</v>
      </c>
      <c r="C74" s="2">
        <v>45400</v>
      </c>
      <c r="D74" s="1" t="s">
        <v>1311</v>
      </c>
      <c r="E74" s="1" t="s">
        <v>11</v>
      </c>
      <c r="F74" s="1" t="s">
        <v>89</v>
      </c>
      <c r="G74">
        <v>20264000</v>
      </c>
      <c r="H74">
        <v>4264000</v>
      </c>
    </row>
    <row r="75" spans="1:8" x14ac:dyDescent="0.35">
      <c r="A75" s="1" t="s">
        <v>169</v>
      </c>
      <c r="B75" s="1" t="s">
        <v>111</v>
      </c>
      <c r="C75" s="2">
        <v>45598</v>
      </c>
      <c r="D75" s="1" t="s">
        <v>1311</v>
      </c>
      <c r="E75" s="1" t="s">
        <v>1323</v>
      </c>
      <c r="F75" s="1" t="s">
        <v>89</v>
      </c>
      <c r="G75">
        <v>27603000</v>
      </c>
      <c r="H75">
        <v>9603000</v>
      </c>
    </row>
    <row r="76" spans="1:8" x14ac:dyDescent="0.35">
      <c r="A76" s="1" t="s">
        <v>718</v>
      </c>
      <c r="B76" s="1" t="s">
        <v>173</v>
      </c>
      <c r="C76" s="2">
        <v>45537</v>
      </c>
      <c r="D76" s="1" t="s">
        <v>1317</v>
      </c>
      <c r="E76" s="1" t="s">
        <v>1323</v>
      </c>
      <c r="F76" s="1" t="s">
        <v>89</v>
      </c>
      <c r="G76">
        <v>1380000</v>
      </c>
      <c r="H76">
        <v>180000</v>
      </c>
    </row>
    <row r="77" spans="1:8" x14ac:dyDescent="0.35">
      <c r="A77" s="1" t="s">
        <v>129</v>
      </c>
      <c r="B77" s="1" t="s">
        <v>111</v>
      </c>
      <c r="C77" s="2">
        <v>45521</v>
      </c>
      <c r="D77" s="1" t="s">
        <v>1311</v>
      </c>
      <c r="E77" s="1" t="s">
        <v>1323</v>
      </c>
      <c r="F77" s="1" t="s">
        <v>89</v>
      </c>
      <c r="G77">
        <v>193221000</v>
      </c>
      <c r="H77">
        <v>67221000</v>
      </c>
    </row>
    <row r="78" spans="1:8" x14ac:dyDescent="0.35">
      <c r="A78" s="1" t="s">
        <v>526</v>
      </c>
      <c r="B78" s="1" t="s">
        <v>173</v>
      </c>
      <c r="C78" s="2">
        <v>45400</v>
      </c>
      <c r="D78" s="1" t="s">
        <v>1317</v>
      </c>
      <c r="E78" s="1" t="s">
        <v>1323</v>
      </c>
      <c r="F78" s="1" t="s">
        <v>89</v>
      </c>
      <c r="G78">
        <v>1196000</v>
      </c>
      <c r="H78">
        <v>156000</v>
      </c>
    </row>
    <row r="79" spans="1:8" x14ac:dyDescent="0.35">
      <c r="A79" s="1" t="s">
        <v>703</v>
      </c>
      <c r="B79" s="1" t="s">
        <v>173</v>
      </c>
      <c r="C79" s="2">
        <v>45624</v>
      </c>
      <c r="D79" s="1" t="s">
        <v>1317</v>
      </c>
      <c r="E79" s="1" t="s">
        <v>1323</v>
      </c>
      <c r="F79" s="1" t="s">
        <v>89</v>
      </c>
      <c r="G79">
        <v>828000</v>
      </c>
      <c r="H79">
        <v>108000</v>
      </c>
    </row>
    <row r="80" spans="1:8" x14ac:dyDescent="0.35">
      <c r="A80" s="1" t="s">
        <v>766</v>
      </c>
      <c r="B80" s="1" t="s">
        <v>111</v>
      </c>
      <c r="C80" s="2">
        <v>45606</v>
      </c>
      <c r="D80" s="1" t="s">
        <v>1311</v>
      </c>
      <c r="E80" s="1" t="s">
        <v>1323</v>
      </c>
      <c r="F80" s="1" t="s">
        <v>89</v>
      </c>
      <c r="G80">
        <v>82809000</v>
      </c>
      <c r="H80">
        <v>28809000</v>
      </c>
    </row>
    <row r="81" spans="1:8" x14ac:dyDescent="0.35">
      <c r="A81" s="1" t="s">
        <v>296</v>
      </c>
      <c r="B81" s="1" t="s">
        <v>272</v>
      </c>
      <c r="C81" s="2">
        <v>45478</v>
      </c>
      <c r="D81" s="1" t="s">
        <v>1317</v>
      </c>
      <c r="E81" s="1" t="s">
        <v>1323</v>
      </c>
      <c r="F81" s="1" t="s">
        <v>89</v>
      </c>
      <c r="G81">
        <v>10374000</v>
      </c>
      <c r="H81">
        <v>1274000</v>
      </c>
    </row>
    <row r="82" spans="1:8" x14ac:dyDescent="0.35">
      <c r="A82" s="1" t="s">
        <v>144</v>
      </c>
      <c r="B82" s="1" t="s">
        <v>111</v>
      </c>
      <c r="C82" s="2">
        <v>45310</v>
      </c>
      <c r="D82" s="1" t="s">
        <v>1311</v>
      </c>
      <c r="E82" s="1" t="s">
        <v>1323</v>
      </c>
      <c r="F82" s="1" t="s">
        <v>89</v>
      </c>
      <c r="G82">
        <v>386442000</v>
      </c>
      <c r="H82">
        <v>134442000</v>
      </c>
    </row>
    <row r="83" spans="1:8" x14ac:dyDescent="0.35">
      <c r="A83" s="1" t="s">
        <v>169</v>
      </c>
      <c r="B83" s="1" t="s">
        <v>173</v>
      </c>
      <c r="C83" s="2">
        <v>45598</v>
      </c>
      <c r="D83" s="1" t="s">
        <v>1317</v>
      </c>
      <c r="E83" s="1" t="s">
        <v>1323</v>
      </c>
      <c r="F83" s="1" t="s">
        <v>89</v>
      </c>
      <c r="G83">
        <v>92000</v>
      </c>
      <c r="H83">
        <v>12000</v>
      </c>
    </row>
    <row r="84" spans="1:8" x14ac:dyDescent="0.35">
      <c r="A84" s="1" t="s">
        <v>654</v>
      </c>
      <c r="B84" s="1" t="s">
        <v>173</v>
      </c>
      <c r="C84" s="2">
        <v>45425</v>
      </c>
      <c r="D84" s="1" t="s">
        <v>1317</v>
      </c>
      <c r="E84" s="1" t="s">
        <v>1323</v>
      </c>
      <c r="F84" s="1" t="s">
        <v>89</v>
      </c>
      <c r="G84">
        <v>1288000</v>
      </c>
      <c r="H84">
        <v>168000</v>
      </c>
    </row>
    <row r="85" spans="1:8" x14ac:dyDescent="0.35">
      <c r="A85" s="1" t="s">
        <v>154</v>
      </c>
      <c r="B85" s="1" t="s">
        <v>113</v>
      </c>
      <c r="C85" s="2">
        <v>45362</v>
      </c>
      <c r="D85" s="1" t="s">
        <v>1311</v>
      </c>
      <c r="E85" s="1" t="s">
        <v>1323</v>
      </c>
      <c r="F85" s="1" t="s">
        <v>89</v>
      </c>
      <c r="G85">
        <v>44176000</v>
      </c>
      <c r="H85">
        <v>8176000</v>
      </c>
    </row>
    <row r="86" spans="1:8" x14ac:dyDescent="0.35">
      <c r="A86" s="1" t="s">
        <v>294</v>
      </c>
      <c r="B86" s="1" t="s">
        <v>176</v>
      </c>
      <c r="C86" s="2">
        <v>45296</v>
      </c>
      <c r="D86" s="1" t="s">
        <v>1330</v>
      </c>
      <c r="E86" s="1" t="s">
        <v>1323</v>
      </c>
      <c r="F86" s="1" t="s">
        <v>89</v>
      </c>
      <c r="G86">
        <v>19492000</v>
      </c>
      <c r="H86">
        <v>2992000</v>
      </c>
    </row>
    <row r="87" spans="1:8" x14ac:dyDescent="0.35">
      <c r="A87" s="1" t="s">
        <v>1132</v>
      </c>
      <c r="B87" s="1" t="s">
        <v>109</v>
      </c>
      <c r="C87" s="2">
        <v>45331</v>
      </c>
      <c r="D87" s="1" t="s">
        <v>1358</v>
      </c>
      <c r="E87" s="1" t="s">
        <v>41</v>
      </c>
      <c r="F87" s="1" t="s">
        <v>24</v>
      </c>
      <c r="G87">
        <v>50730000</v>
      </c>
      <c r="H87">
        <v>20730000</v>
      </c>
    </row>
    <row r="88" spans="1:8" x14ac:dyDescent="0.35">
      <c r="A88" s="1" t="s">
        <v>1083</v>
      </c>
      <c r="B88" s="1" t="s">
        <v>240</v>
      </c>
      <c r="C88" s="2">
        <v>45348</v>
      </c>
      <c r="D88" s="1" t="s">
        <v>1317</v>
      </c>
      <c r="E88" s="1" t="s">
        <v>41</v>
      </c>
      <c r="F88" s="1" t="s">
        <v>24</v>
      </c>
      <c r="G88">
        <v>626000</v>
      </c>
      <c r="H88">
        <v>276000</v>
      </c>
    </row>
    <row r="89" spans="1:8" x14ac:dyDescent="0.35">
      <c r="A89" s="1" t="s">
        <v>399</v>
      </c>
      <c r="B89" s="1" t="s">
        <v>188</v>
      </c>
      <c r="C89" s="2">
        <v>45478</v>
      </c>
      <c r="D89" s="1" t="s">
        <v>1311</v>
      </c>
      <c r="E89" s="1" t="s">
        <v>41</v>
      </c>
      <c r="F89" s="1" t="s">
        <v>24</v>
      </c>
      <c r="G89">
        <v>71205000</v>
      </c>
      <c r="H89">
        <v>29205000</v>
      </c>
    </row>
    <row r="90" spans="1:8" x14ac:dyDescent="0.35">
      <c r="A90" s="1" t="s">
        <v>278</v>
      </c>
      <c r="B90" s="1" t="s">
        <v>248</v>
      </c>
      <c r="C90" s="2">
        <v>45543</v>
      </c>
      <c r="D90" s="1" t="s">
        <v>1336</v>
      </c>
      <c r="E90" s="1" t="s">
        <v>41</v>
      </c>
      <c r="F90" s="1" t="s">
        <v>24</v>
      </c>
      <c r="G90">
        <v>4602000</v>
      </c>
      <c r="H90">
        <v>1352000</v>
      </c>
    </row>
    <row r="91" spans="1:8" x14ac:dyDescent="0.35">
      <c r="A91" s="1" t="s">
        <v>333</v>
      </c>
      <c r="B91" s="1" t="s">
        <v>188</v>
      </c>
      <c r="C91" s="2">
        <v>45447</v>
      </c>
      <c r="D91" s="1" t="s">
        <v>1311</v>
      </c>
      <c r="E91" s="1" t="s">
        <v>41</v>
      </c>
      <c r="F91" s="1" t="s">
        <v>24</v>
      </c>
      <c r="G91">
        <v>33229000</v>
      </c>
      <c r="H91">
        <v>13629000</v>
      </c>
    </row>
    <row r="92" spans="1:8" x14ac:dyDescent="0.35">
      <c r="A92" s="1" t="s">
        <v>391</v>
      </c>
      <c r="B92" s="1" t="s">
        <v>248</v>
      </c>
      <c r="C92" s="2">
        <v>45340</v>
      </c>
      <c r="D92" s="1" t="s">
        <v>1336</v>
      </c>
      <c r="E92" s="1" t="s">
        <v>41</v>
      </c>
      <c r="F92" s="1" t="s">
        <v>24</v>
      </c>
      <c r="G92">
        <v>4602000</v>
      </c>
      <c r="H92">
        <v>1352000</v>
      </c>
    </row>
    <row r="93" spans="1:8" x14ac:dyDescent="0.35">
      <c r="A93" s="1" t="s">
        <v>1286</v>
      </c>
      <c r="B93" s="1" t="s">
        <v>168</v>
      </c>
      <c r="C93" s="2">
        <v>45341</v>
      </c>
      <c r="D93" s="1" t="s">
        <v>1336</v>
      </c>
      <c r="E93" s="1" t="s">
        <v>41</v>
      </c>
      <c r="F93" s="1" t="s">
        <v>24</v>
      </c>
      <c r="G93">
        <v>5908000</v>
      </c>
      <c r="H93">
        <v>2408000</v>
      </c>
    </row>
    <row r="94" spans="1:8" x14ac:dyDescent="0.35">
      <c r="A94" s="1" t="s">
        <v>327</v>
      </c>
      <c r="B94" s="1" t="s">
        <v>188</v>
      </c>
      <c r="C94" s="2">
        <v>45386</v>
      </c>
      <c r="D94" s="1" t="s">
        <v>1311</v>
      </c>
      <c r="E94" s="1" t="s">
        <v>41</v>
      </c>
      <c r="F94" s="1" t="s">
        <v>24</v>
      </c>
      <c r="G94">
        <v>42723000</v>
      </c>
      <c r="H94">
        <v>17523000</v>
      </c>
    </row>
    <row r="95" spans="1:8" x14ac:dyDescent="0.35">
      <c r="A95" s="1" t="s">
        <v>947</v>
      </c>
      <c r="B95" s="1" t="s">
        <v>168</v>
      </c>
      <c r="C95" s="2">
        <v>45332</v>
      </c>
      <c r="D95" s="1" t="s">
        <v>1336</v>
      </c>
      <c r="E95" s="1" t="s">
        <v>41</v>
      </c>
      <c r="F95" s="1" t="s">
        <v>24</v>
      </c>
      <c r="G95">
        <v>9284000</v>
      </c>
      <c r="H95">
        <v>3784000</v>
      </c>
    </row>
    <row r="96" spans="1:8" x14ac:dyDescent="0.35">
      <c r="A96" s="1" t="s">
        <v>951</v>
      </c>
      <c r="B96" s="1" t="s">
        <v>172</v>
      </c>
      <c r="C96" s="2">
        <v>45653</v>
      </c>
      <c r="D96" s="1" t="s">
        <v>1330</v>
      </c>
      <c r="E96" s="1" t="s">
        <v>41</v>
      </c>
      <c r="F96" s="1" t="s">
        <v>24</v>
      </c>
      <c r="G96">
        <v>11543000</v>
      </c>
      <c r="H96">
        <v>4893000</v>
      </c>
    </row>
    <row r="97" spans="1:8" x14ac:dyDescent="0.35">
      <c r="A97" s="1" t="s">
        <v>740</v>
      </c>
      <c r="B97" s="1" t="s">
        <v>149</v>
      </c>
      <c r="C97" s="2">
        <v>45569</v>
      </c>
      <c r="D97" s="1" t="s">
        <v>1317</v>
      </c>
      <c r="E97" s="1" t="s">
        <v>41</v>
      </c>
      <c r="F97" s="1" t="s">
        <v>24</v>
      </c>
      <c r="G97">
        <v>1014000</v>
      </c>
      <c r="H97">
        <v>414000</v>
      </c>
    </row>
    <row r="98" spans="1:8" x14ac:dyDescent="0.35">
      <c r="A98" s="1" t="s">
        <v>955</v>
      </c>
      <c r="B98" s="1" t="s">
        <v>141</v>
      </c>
      <c r="C98" s="2">
        <v>45389</v>
      </c>
      <c r="D98" s="1" t="s">
        <v>1330</v>
      </c>
      <c r="E98" s="1" t="s">
        <v>41</v>
      </c>
      <c r="F98" s="1" t="s">
        <v>24</v>
      </c>
      <c r="G98">
        <v>623000</v>
      </c>
      <c r="H98">
        <v>223000</v>
      </c>
    </row>
    <row r="99" spans="1:8" x14ac:dyDescent="0.35">
      <c r="A99" s="1" t="s">
        <v>844</v>
      </c>
      <c r="B99" s="1" t="s">
        <v>109</v>
      </c>
      <c r="C99" s="2">
        <v>45450</v>
      </c>
      <c r="D99" s="1" t="s">
        <v>1358</v>
      </c>
      <c r="E99" s="1" t="s">
        <v>41</v>
      </c>
      <c r="F99" s="1" t="s">
        <v>24</v>
      </c>
      <c r="G99">
        <v>43966000</v>
      </c>
      <c r="H99">
        <v>17966000</v>
      </c>
    </row>
    <row r="100" spans="1:8" x14ac:dyDescent="0.35">
      <c r="A100" s="1" t="s">
        <v>645</v>
      </c>
      <c r="B100" s="1" t="s">
        <v>168</v>
      </c>
      <c r="C100" s="2">
        <v>45374</v>
      </c>
      <c r="D100" s="1" t="s">
        <v>1336</v>
      </c>
      <c r="E100" s="1" t="s">
        <v>41</v>
      </c>
      <c r="F100" s="1" t="s">
        <v>24</v>
      </c>
      <c r="G100">
        <v>12660000</v>
      </c>
      <c r="H100">
        <v>5160000</v>
      </c>
    </row>
    <row r="101" spans="1:8" x14ac:dyDescent="0.35">
      <c r="A101" s="1" t="s">
        <v>615</v>
      </c>
      <c r="B101" s="1" t="s">
        <v>168</v>
      </c>
      <c r="C101" s="2">
        <v>45621</v>
      </c>
      <c r="D101" s="1" t="s">
        <v>1336</v>
      </c>
      <c r="E101" s="1" t="s">
        <v>41</v>
      </c>
      <c r="F101" s="1" t="s">
        <v>24</v>
      </c>
      <c r="G101">
        <v>7596000</v>
      </c>
      <c r="H101">
        <v>3096000</v>
      </c>
    </row>
    <row r="102" spans="1:8" x14ac:dyDescent="0.35">
      <c r="A102" s="1" t="s">
        <v>1207</v>
      </c>
      <c r="B102" s="1" t="s">
        <v>188</v>
      </c>
      <c r="C102" s="2">
        <v>45624</v>
      </c>
      <c r="D102" s="1" t="s">
        <v>1311</v>
      </c>
      <c r="E102" s="1" t="s">
        <v>41</v>
      </c>
      <c r="F102" s="1" t="s">
        <v>24</v>
      </c>
      <c r="G102">
        <v>4747000</v>
      </c>
      <c r="H102">
        <v>1947000</v>
      </c>
    </row>
    <row r="103" spans="1:8" x14ac:dyDescent="0.35">
      <c r="A103" s="1" t="s">
        <v>375</v>
      </c>
      <c r="B103" s="1" t="s">
        <v>188</v>
      </c>
      <c r="C103" s="2">
        <v>45637</v>
      </c>
      <c r="D103" s="1" t="s">
        <v>1311</v>
      </c>
      <c r="E103" s="1" t="s">
        <v>41</v>
      </c>
      <c r="F103" s="1" t="s">
        <v>24</v>
      </c>
      <c r="G103">
        <v>28482000</v>
      </c>
      <c r="H103">
        <v>11682000</v>
      </c>
    </row>
    <row r="104" spans="1:8" x14ac:dyDescent="0.35">
      <c r="A104" s="1" t="s">
        <v>357</v>
      </c>
      <c r="B104" s="1" t="s">
        <v>172</v>
      </c>
      <c r="C104" s="2">
        <v>45393</v>
      </c>
      <c r="D104" s="1" t="s">
        <v>1330</v>
      </c>
      <c r="E104" s="1" t="s">
        <v>41</v>
      </c>
      <c r="F104" s="1" t="s">
        <v>24</v>
      </c>
      <c r="G104">
        <v>16490000</v>
      </c>
      <c r="H104">
        <v>6990000</v>
      </c>
    </row>
    <row r="105" spans="1:8" x14ac:dyDescent="0.35">
      <c r="A105" s="1" t="s">
        <v>1169</v>
      </c>
      <c r="B105" s="1" t="s">
        <v>248</v>
      </c>
      <c r="C105" s="2">
        <v>45373</v>
      </c>
      <c r="D105" s="1" t="s">
        <v>1336</v>
      </c>
      <c r="E105" s="1" t="s">
        <v>41</v>
      </c>
      <c r="F105" s="1" t="s">
        <v>24</v>
      </c>
      <c r="G105">
        <v>4956000</v>
      </c>
      <c r="H105">
        <v>1456000</v>
      </c>
    </row>
    <row r="106" spans="1:8" x14ac:dyDescent="0.35">
      <c r="A106" s="1" t="s">
        <v>1284</v>
      </c>
      <c r="B106" s="1" t="s">
        <v>172</v>
      </c>
      <c r="C106" s="2">
        <v>45513</v>
      </c>
      <c r="D106" s="1" t="s">
        <v>1330</v>
      </c>
      <c r="E106" s="1" t="s">
        <v>41</v>
      </c>
      <c r="F106" s="1" t="s">
        <v>24</v>
      </c>
      <c r="G106">
        <v>21437000</v>
      </c>
      <c r="H106">
        <v>9087000</v>
      </c>
    </row>
    <row r="107" spans="1:8" x14ac:dyDescent="0.35">
      <c r="A107" s="1" t="s">
        <v>857</v>
      </c>
      <c r="B107" s="1" t="s">
        <v>191</v>
      </c>
      <c r="C107" s="2">
        <v>45641</v>
      </c>
      <c r="D107" s="1" t="s">
        <v>1311</v>
      </c>
      <c r="E107" s="1" t="s">
        <v>11</v>
      </c>
      <c r="F107" s="1" t="s">
        <v>24</v>
      </c>
      <c r="G107">
        <v>139630000</v>
      </c>
      <c r="H107">
        <v>19630000</v>
      </c>
    </row>
    <row r="108" spans="1:8" x14ac:dyDescent="0.35">
      <c r="A108" s="1" t="s">
        <v>278</v>
      </c>
      <c r="B108" s="1" t="s">
        <v>164</v>
      </c>
      <c r="C108" s="2">
        <v>45543</v>
      </c>
      <c r="D108" s="1" t="s">
        <v>1330</v>
      </c>
      <c r="E108" s="1" t="s">
        <v>11</v>
      </c>
      <c r="F108" s="1" t="s">
        <v>24</v>
      </c>
      <c r="G108">
        <v>12623000</v>
      </c>
      <c r="H108">
        <v>2873000</v>
      </c>
    </row>
    <row r="109" spans="1:8" x14ac:dyDescent="0.35">
      <c r="A109" s="1" t="s">
        <v>1104</v>
      </c>
      <c r="B109" s="1" t="s">
        <v>164</v>
      </c>
      <c r="C109" s="2">
        <v>45517</v>
      </c>
      <c r="D109" s="1" t="s">
        <v>1330</v>
      </c>
      <c r="E109" s="1" t="s">
        <v>11</v>
      </c>
      <c r="F109" s="1" t="s">
        <v>24</v>
      </c>
      <c r="G109">
        <v>5826000</v>
      </c>
      <c r="H109">
        <v>1326000</v>
      </c>
    </row>
    <row r="110" spans="1:8" x14ac:dyDescent="0.35">
      <c r="A110" s="1" t="s">
        <v>135</v>
      </c>
      <c r="B110" s="1" t="s">
        <v>137</v>
      </c>
      <c r="C110" s="2">
        <v>45653</v>
      </c>
      <c r="D110" s="1" t="s">
        <v>1311</v>
      </c>
      <c r="E110" s="1" t="s">
        <v>11</v>
      </c>
      <c r="F110" s="1" t="s">
        <v>24</v>
      </c>
      <c r="G110">
        <v>22797000</v>
      </c>
      <c r="H110">
        <v>4797000</v>
      </c>
    </row>
    <row r="111" spans="1:8" x14ac:dyDescent="0.35">
      <c r="A111" s="1" t="s">
        <v>1028</v>
      </c>
      <c r="B111" s="1" t="s">
        <v>197</v>
      </c>
      <c r="C111" s="2">
        <v>45439</v>
      </c>
      <c r="D111" s="1" t="s">
        <v>1336</v>
      </c>
      <c r="E111" s="1" t="s">
        <v>11</v>
      </c>
      <c r="F111" s="1" t="s">
        <v>24</v>
      </c>
      <c r="G111">
        <v>1375000</v>
      </c>
      <c r="H111">
        <v>175000</v>
      </c>
    </row>
    <row r="112" spans="1:8" x14ac:dyDescent="0.35">
      <c r="A112" s="1" t="s">
        <v>634</v>
      </c>
      <c r="B112" s="1" t="s">
        <v>137</v>
      </c>
      <c r="C112" s="2">
        <v>45543</v>
      </c>
      <c r="D112" s="1" t="s">
        <v>1311</v>
      </c>
      <c r="E112" s="1" t="s">
        <v>11</v>
      </c>
      <c r="F112" s="1" t="s">
        <v>24</v>
      </c>
      <c r="G112">
        <v>20264000</v>
      </c>
      <c r="H112">
        <v>4264000</v>
      </c>
    </row>
    <row r="113" spans="1:8" x14ac:dyDescent="0.35">
      <c r="A113" s="1" t="s">
        <v>181</v>
      </c>
      <c r="B113" s="1" t="s">
        <v>133</v>
      </c>
      <c r="C113" s="2">
        <v>45545</v>
      </c>
      <c r="D113" s="1" t="s">
        <v>1330</v>
      </c>
      <c r="E113" s="1" t="s">
        <v>11</v>
      </c>
      <c r="F113" s="1" t="s">
        <v>24</v>
      </c>
      <c r="G113">
        <v>15400000</v>
      </c>
      <c r="H113">
        <v>2900000</v>
      </c>
    </row>
    <row r="114" spans="1:8" x14ac:dyDescent="0.35">
      <c r="A114" s="1" t="s">
        <v>768</v>
      </c>
      <c r="B114" s="1" t="s">
        <v>113</v>
      </c>
      <c r="C114" s="2">
        <v>45562</v>
      </c>
      <c r="D114" s="1" t="s">
        <v>1311</v>
      </c>
      <c r="E114" s="1" t="s">
        <v>1323</v>
      </c>
      <c r="F114" s="1" t="s">
        <v>24</v>
      </c>
      <c r="G114">
        <v>60742000</v>
      </c>
      <c r="H114">
        <v>11242000</v>
      </c>
    </row>
    <row r="115" spans="1:8" x14ac:dyDescent="0.35">
      <c r="A115" s="1" t="s">
        <v>825</v>
      </c>
      <c r="B115" s="1" t="s">
        <v>106</v>
      </c>
      <c r="C115" s="2">
        <v>45317</v>
      </c>
      <c r="D115" s="1" t="s">
        <v>1317</v>
      </c>
      <c r="E115" s="1" t="s">
        <v>1323</v>
      </c>
      <c r="F115" s="1" t="s">
        <v>24</v>
      </c>
      <c r="G115">
        <v>710000</v>
      </c>
      <c r="H115">
        <v>110000</v>
      </c>
    </row>
    <row r="116" spans="1:8" x14ac:dyDescent="0.35">
      <c r="A116" s="1" t="s">
        <v>746</v>
      </c>
      <c r="B116" s="1" t="s">
        <v>113</v>
      </c>
      <c r="C116" s="2">
        <v>45329</v>
      </c>
      <c r="D116" s="1" t="s">
        <v>1311</v>
      </c>
      <c r="E116" s="1" t="s">
        <v>1323</v>
      </c>
      <c r="F116" s="1" t="s">
        <v>24</v>
      </c>
      <c r="G116">
        <v>16566000</v>
      </c>
      <c r="H116">
        <v>3066000</v>
      </c>
    </row>
    <row r="117" spans="1:8" x14ac:dyDescent="0.35">
      <c r="A117" s="1" t="s">
        <v>964</v>
      </c>
      <c r="B117" s="1" t="s">
        <v>113</v>
      </c>
      <c r="C117" s="2">
        <v>45384</v>
      </c>
      <c r="D117" s="1" t="s">
        <v>1311</v>
      </c>
      <c r="E117" s="1" t="s">
        <v>1323</v>
      </c>
      <c r="F117" s="1" t="s">
        <v>24</v>
      </c>
      <c r="G117">
        <v>82830000</v>
      </c>
      <c r="H117">
        <v>15330000</v>
      </c>
    </row>
    <row r="118" spans="1:8" x14ac:dyDescent="0.35">
      <c r="A118" s="1" t="s">
        <v>876</v>
      </c>
      <c r="B118" s="1" t="s">
        <v>111</v>
      </c>
      <c r="C118" s="2">
        <v>45497</v>
      </c>
      <c r="D118" s="1" t="s">
        <v>1311</v>
      </c>
      <c r="E118" s="1" t="s">
        <v>1323</v>
      </c>
      <c r="F118" s="1" t="s">
        <v>24</v>
      </c>
      <c r="G118">
        <v>138015000</v>
      </c>
      <c r="H118">
        <v>48015000</v>
      </c>
    </row>
    <row r="119" spans="1:8" x14ac:dyDescent="0.35">
      <c r="A119" s="1" t="s">
        <v>904</v>
      </c>
      <c r="B119" s="1" t="s">
        <v>272</v>
      </c>
      <c r="C119" s="2">
        <v>45642</v>
      </c>
      <c r="D119" s="1" t="s">
        <v>1317</v>
      </c>
      <c r="E119" s="1" t="s">
        <v>1323</v>
      </c>
      <c r="F119" s="1" t="s">
        <v>24</v>
      </c>
      <c r="G119">
        <v>2223000</v>
      </c>
      <c r="H119">
        <v>273000</v>
      </c>
    </row>
    <row r="120" spans="1:8" x14ac:dyDescent="0.35">
      <c r="A120" s="1" t="s">
        <v>714</v>
      </c>
      <c r="B120" s="1" t="s">
        <v>173</v>
      </c>
      <c r="C120" s="2">
        <v>45502</v>
      </c>
      <c r="D120" s="1" t="s">
        <v>1317</v>
      </c>
      <c r="E120" s="1" t="s">
        <v>1323</v>
      </c>
      <c r="F120" s="1" t="s">
        <v>24</v>
      </c>
      <c r="G120">
        <v>1196000</v>
      </c>
      <c r="H120">
        <v>156000</v>
      </c>
    </row>
    <row r="121" spans="1:8" x14ac:dyDescent="0.35">
      <c r="A121" s="1" t="s">
        <v>321</v>
      </c>
      <c r="B121" s="1" t="s">
        <v>111</v>
      </c>
      <c r="C121" s="2">
        <v>45445</v>
      </c>
      <c r="D121" s="1" t="s">
        <v>1311</v>
      </c>
      <c r="E121" s="1" t="s">
        <v>1323</v>
      </c>
      <c r="F121" s="1" t="s">
        <v>24</v>
      </c>
      <c r="G121">
        <v>138015000</v>
      </c>
      <c r="H121">
        <v>48015000</v>
      </c>
    </row>
    <row r="122" spans="1:8" x14ac:dyDescent="0.35">
      <c r="A122" s="1" t="s">
        <v>979</v>
      </c>
      <c r="B122" s="1" t="s">
        <v>111</v>
      </c>
      <c r="C122" s="2">
        <v>45349</v>
      </c>
      <c r="D122" s="1" t="s">
        <v>1311</v>
      </c>
      <c r="E122" s="1" t="s">
        <v>1323</v>
      </c>
      <c r="F122" s="1" t="s">
        <v>24</v>
      </c>
      <c r="G122">
        <v>414045000</v>
      </c>
      <c r="H122">
        <v>144045000</v>
      </c>
    </row>
    <row r="123" spans="1:8" x14ac:dyDescent="0.35">
      <c r="A123" s="1" t="s">
        <v>278</v>
      </c>
      <c r="B123" s="1" t="s">
        <v>176</v>
      </c>
      <c r="C123" s="2">
        <v>45543</v>
      </c>
      <c r="D123" s="1" t="s">
        <v>1330</v>
      </c>
      <c r="E123" s="1" t="s">
        <v>1323</v>
      </c>
      <c r="F123" s="1" t="s">
        <v>24</v>
      </c>
      <c r="G123">
        <v>23036000</v>
      </c>
      <c r="H123">
        <v>3536000</v>
      </c>
    </row>
    <row r="124" spans="1:8" x14ac:dyDescent="0.35">
      <c r="A124" s="1" t="s">
        <v>1106</v>
      </c>
      <c r="B124" s="1" t="s">
        <v>106</v>
      </c>
      <c r="C124" s="2">
        <v>45503</v>
      </c>
      <c r="D124" s="1" t="s">
        <v>1317</v>
      </c>
      <c r="E124" s="1" t="s">
        <v>1323</v>
      </c>
      <c r="F124" s="1" t="s">
        <v>24</v>
      </c>
      <c r="G124">
        <v>710000</v>
      </c>
      <c r="H124">
        <v>110000</v>
      </c>
    </row>
    <row r="125" spans="1:8" x14ac:dyDescent="0.35">
      <c r="A125" s="1" t="s">
        <v>1061</v>
      </c>
      <c r="B125" s="1" t="s">
        <v>106</v>
      </c>
      <c r="C125" s="2">
        <v>45590</v>
      </c>
      <c r="D125" s="1" t="s">
        <v>1317</v>
      </c>
      <c r="E125" s="1" t="s">
        <v>1323</v>
      </c>
      <c r="F125" s="1" t="s">
        <v>24</v>
      </c>
      <c r="G125">
        <v>3905000</v>
      </c>
      <c r="H125">
        <v>605000</v>
      </c>
    </row>
    <row r="126" spans="1:8" x14ac:dyDescent="0.35">
      <c r="A126" s="1" t="s">
        <v>1084</v>
      </c>
      <c r="B126" s="1" t="s">
        <v>106</v>
      </c>
      <c r="C126" s="2">
        <v>45534</v>
      </c>
      <c r="D126" s="1" t="s">
        <v>1317</v>
      </c>
      <c r="E126" s="1" t="s">
        <v>1323</v>
      </c>
      <c r="F126" s="1" t="s">
        <v>24</v>
      </c>
      <c r="G126">
        <v>4970000</v>
      </c>
      <c r="H126">
        <v>770000</v>
      </c>
    </row>
    <row r="127" spans="1:8" x14ac:dyDescent="0.35">
      <c r="A127" s="1" t="s">
        <v>1130</v>
      </c>
      <c r="B127" s="1" t="s">
        <v>176</v>
      </c>
      <c r="C127" s="2">
        <v>45530</v>
      </c>
      <c r="D127" s="1" t="s">
        <v>1330</v>
      </c>
      <c r="E127" s="1" t="s">
        <v>1323</v>
      </c>
      <c r="F127" s="1" t="s">
        <v>24</v>
      </c>
      <c r="G127">
        <v>24808000</v>
      </c>
      <c r="H127">
        <v>3808000</v>
      </c>
    </row>
    <row r="128" spans="1:8" x14ac:dyDescent="0.35">
      <c r="A128" s="1" t="s">
        <v>1243</v>
      </c>
      <c r="B128" s="1" t="s">
        <v>173</v>
      </c>
      <c r="C128" s="2">
        <v>45477</v>
      </c>
      <c r="D128" s="1" t="s">
        <v>1317</v>
      </c>
      <c r="E128" s="1" t="s">
        <v>1323</v>
      </c>
      <c r="F128" s="1" t="s">
        <v>24</v>
      </c>
      <c r="G128">
        <v>276000</v>
      </c>
      <c r="H128">
        <v>36000</v>
      </c>
    </row>
    <row r="129" spans="1:8" x14ac:dyDescent="0.35">
      <c r="A129" s="1" t="s">
        <v>1138</v>
      </c>
      <c r="B129" s="1" t="s">
        <v>248</v>
      </c>
      <c r="C129" s="2">
        <v>45581</v>
      </c>
      <c r="D129" s="1" t="s">
        <v>1336</v>
      </c>
      <c r="E129" s="1" t="s">
        <v>41</v>
      </c>
      <c r="F129" s="1" t="s">
        <v>84</v>
      </c>
      <c r="G129">
        <v>708000</v>
      </c>
      <c r="H129">
        <v>208000</v>
      </c>
    </row>
    <row r="130" spans="1:8" x14ac:dyDescent="0.35">
      <c r="A130" s="1" t="s">
        <v>1221</v>
      </c>
      <c r="B130" s="1" t="s">
        <v>141</v>
      </c>
      <c r="C130" s="2">
        <v>45534</v>
      </c>
      <c r="D130" s="1" t="s">
        <v>1330</v>
      </c>
      <c r="E130" s="1" t="s">
        <v>41</v>
      </c>
      <c r="F130" s="1" t="s">
        <v>84</v>
      </c>
      <c r="G130">
        <v>4984000</v>
      </c>
      <c r="H130">
        <v>1784000</v>
      </c>
    </row>
    <row r="131" spans="1:8" x14ac:dyDescent="0.35">
      <c r="A131" s="1" t="s">
        <v>616</v>
      </c>
      <c r="B131" s="1" t="s">
        <v>149</v>
      </c>
      <c r="C131" s="2">
        <v>45647</v>
      </c>
      <c r="D131" s="1" t="s">
        <v>1317</v>
      </c>
      <c r="E131" s="1" t="s">
        <v>41</v>
      </c>
      <c r="F131" s="1" t="s">
        <v>84</v>
      </c>
      <c r="G131">
        <v>2366000</v>
      </c>
      <c r="H131">
        <v>966000</v>
      </c>
    </row>
    <row r="132" spans="1:8" x14ac:dyDescent="0.35">
      <c r="A132" s="1" t="s">
        <v>584</v>
      </c>
      <c r="B132" s="1" t="s">
        <v>109</v>
      </c>
      <c r="C132" s="2">
        <v>45568</v>
      </c>
      <c r="D132" s="1" t="s">
        <v>1358</v>
      </c>
      <c r="E132" s="1" t="s">
        <v>41</v>
      </c>
      <c r="F132" s="1" t="s">
        <v>84</v>
      </c>
      <c r="G132">
        <v>16910000</v>
      </c>
      <c r="H132">
        <v>6910000</v>
      </c>
    </row>
    <row r="133" spans="1:8" x14ac:dyDescent="0.35">
      <c r="A133" s="1" t="s">
        <v>532</v>
      </c>
      <c r="B133" s="1" t="s">
        <v>168</v>
      </c>
      <c r="C133" s="2">
        <v>45400</v>
      </c>
      <c r="D133" s="1" t="s">
        <v>1336</v>
      </c>
      <c r="E133" s="1" t="s">
        <v>41</v>
      </c>
      <c r="F133" s="1" t="s">
        <v>84</v>
      </c>
      <c r="G133">
        <v>11816000</v>
      </c>
      <c r="H133">
        <v>4816000</v>
      </c>
    </row>
    <row r="134" spans="1:8" x14ac:dyDescent="0.35">
      <c r="A134" s="1" t="s">
        <v>1094</v>
      </c>
      <c r="B134" s="1" t="s">
        <v>248</v>
      </c>
      <c r="C134" s="2">
        <v>45385</v>
      </c>
      <c r="D134" s="1" t="s">
        <v>1336</v>
      </c>
      <c r="E134" s="1" t="s">
        <v>41</v>
      </c>
      <c r="F134" s="1" t="s">
        <v>84</v>
      </c>
      <c r="G134">
        <v>2478000</v>
      </c>
      <c r="H134">
        <v>728000</v>
      </c>
    </row>
    <row r="135" spans="1:8" x14ac:dyDescent="0.35">
      <c r="A135" s="1" t="s">
        <v>193</v>
      </c>
      <c r="B135" s="1" t="s">
        <v>172</v>
      </c>
      <c r="C135" s="2">
        <v>45348</v>
      </c>
      <c r="D135" s="1" t="s">
        <v>1330</v>
      </c>
      <c r="E135" s="1" t="s">
        <v>41</v>
      </c>
      <c r="F135" s="1" t="s">
        <v>84</v>
      </c>
      <c r="G135">
        <v>6596000</v>
      </c>
      <c r="H135">
        <v>2796000</v>
      </c>
    </row>
    <row r="136" spans="1:8" x14ac:dyDescent="0.35">
      <c r="A136" s="1" t="s">
        <v>253</v>
      </c>
      <c r="B136" s="1" t="s">
        <v>109</v>
      </c>
      <c r="C136" s="2">
        <v>45319</v>
      </c>
      <c r="D136" s="1" t="s">
        <v>1358</v>
      </c>
      <c r="E136" s="1" t="s">
        <v>41</v>
      </c>
      <c r="F136" s="1" t="s">
        <v>84</v>
      </c>
      <c r="G136">
        <v>40584000</v>
      </c>
      <c r="H136">
        <v>16584000</v>
      </c>
    </row>
    <row r="137" spans="1:8" x14ac:dyDescent="0.35">
      <c r="A137" s="1" t="s">
        <v>359</v>
      </c>
      <c r="B137" s="1" t="s">
        <v>149</v>
      </c>
      <c r="C137" s="2">
        <v>45432</v>
      </c>
      <c r="D137" s="1" t="s">
        <v>1317</v>
      </c>
      <c r="E137" s="1" t="s">
        <v>41</v>
      </c>
      <c r="F137" s="1" t="s">
        <v>84</v>
      </c>
      <c r="G137">
        <v>1183000</v>
      </c>
      <c r="H137">
        <v>483000</v>
      </c>
    </row>
    <row r="138" spans="1:8" x14ac:dyDescent="0.35">
      <c r="A138" s="1" t="s">
        <v>501</v>
      </c>
      <c r="B138" s="1" t="s">
        <v>164</v>
      </c>
      <c r="C138" s="2">
        <v>45455</v>
      </c>
      <c r="D138" s="1" t="s">
        <v>1330</v>
      </c>
      <c r="E138" s="1" t="s">
        <v>11</v>
      </c>
      <c r="F138" s="1" t="s">
        <v>84</v>
      </c>
      <c r="G138">
        <v>4855000</v>
      </c>
      <c r="H138">
        <v>1105000</v>
      </c>
    </row>
    <row r="139" spans="1:8" x14ac:dyDescent="0.35">
      <c r="A139" s="1" t="s">
        <v>1142</v>
      </c>
      <c r="B139" s="1" t="s">
        <v>133</v>
      </c>
      <c r="C139" s="2">
        <v>45456</v>
      </c>
      <c r="D139" s="1" t="s">
        <v>1330</v>
      </c>
      <c r="E139" s="1" t="s">
        <v>11</v>
      </c>
      <c r="F139" s="1" t="s">
        <v>84</v>
      </c>
      <c r="G139">
        <v>33880000</v>
      </c>
      <c r="H139">
        <v>6380000</v>
      </c>
    </row>
    <row r="140" spans="1:8" x14ac:dyDescent="0.35">
      <c r="A140" s="1" t="s">
        <v>491</v>
      </c>
      <c r="B140" s="1" t="s">
        <v>164</v>
      </c>
      <c r="C140" s="2">
        <v>45526</v>
      </c>
      <c r="D140" s="1" t="s">
        <v>1330</v>
      </c>
      <c r="E140" s="1" t="s">
        <v>11</v>
      </c>
      <c r="F140" s="1" t="s">
        <v>84</v>
      </c>
      <c r="G140">
        <v>9710000</v>
      </c>
      <c r="H140">
        <v>2210000</v>
      </c>
    </row>
    <row r="141" spans="1:8" x14ac:dyDescent="0.35">
      <c r="A141" s="1" t="s">
        <v>606</v>
      </c>
      <c r="B141" s="1" t="s">
        <v>191</v>
      </c>
      <c r="C141" s="2">
        <v>45297</v>
      </c>
      <c r="D141" s="1" t="s">
        <v>1311</v>
      </c>
      <c r="E141" s="1" t="s">
        <v>11</v>
      </c>
      <c r="F141" s="1" t="s">
        <v>84</v>
      </c>
      <c r="G141">
        <v>55852000</v>
      </c>
      <c r="H141">
        <v>7852000</v>
      </c>
    </row>
    <row r="142" spans="1:8" x14ac:dyDescent="0.35">
      <c r="A142" s="1" t="s">
        <v>602</v>
      </c>
      <c r="B142" s="1" t="s">
        <v>133</v>
      </c>
      <c r="C142" s="2">
        <v>45621</v>
      </c>
      <c r="D142" s="1" t="s">
        <v>1330</v>
      </c>
      <c r="E142" s="1" t="s">
        <v>11</v>
      </c>
      <c r="F142" s="1" t="s">
        <v>84</v>
      </c>
      <c r="G142">
        <v>3080000</v>
      </c>
      <c r="H142">
        <v>580000</v>
      </c>
    </row>
    <row r="143" spans="1:8" x14ac:dyDescent="0.35">
      <c r="A143" s="1" t="s">
        <v>184</v>
      </c>
      <c r="B143" s="1" t="s">
        <v>137</v>
      </c>
      <c r="C143" s="2">
        <v>45645</v>
      </c>
      <c r="D143" s="1" t="s">
        <v>1311</v>
      </c>
      <c r="E143" s="1" t="s">
        <v>11</v>
      </c>
      <c r="F143" s="1" t="s">
        <v>84</v>
      </c>
      <c r="G143">
        <v>7599000</v>
      </c>
      <c r="H143">
        <v>1599000</v>
      </c>
    </row>
    <row r="144" spans="1:8" x14ac:dyDescent="0.35">
      <c r="A144" s="1" t="s">
        <v>647</v>
      </c>
      <c r="B144" s="1" t="s">
        <v>164</v>
      </c>
      <c r="C144" s="2">
        <v>45447</v>
      </c>
      <c r="D144" s="1" t="s">
        <v>1330</v>
      </c>
      <c r="E144" s="1" t="s">
        <v>11</v>
      </c>
      <c r="F144" s="1" t="s">
        <v>84</v>
      </c>
      <c r="G144">
        <v>12623000</v>
      </c>
      <c r="H144">
        <v>2873000</v>
      </c>
    </row>
    <row r="145" spans="1:8" x14ac:dyDescent="0.35">
      <c r="A145" s="1" t="s">
        <v>1108</v>
      </c>
      <c r="B145" s="1" t="s">
        <v>197</v>
      </c>
      <c r="C145" s="2">
        <v>45413</v>
      </c>
      <c r="D145" s="1" t="s">
        <v>1336</v>
      </c>
      <c r="E145" s="1" t="s">
        <v>11</v>
      </c>
      <c r="F145" s="1" t="s">
        <v>84</v>
      </c>
      <c r="G145">
        <v>1375000</v>
      </c>
      <c r="H145">
        <v>175000</v>
      </c>
    </row>
    <row r="146" spans="1:8" x14ac:dyDescent="0.35">
      <c r="A146" s="1" t="s">
        <v>1290</v>
      </c>
      <c r="B146" s="1" t="s">
        <v>137</v>
      </c>
      <c r="C146" s="2">
        <v>45621</v>
      </c>
      <c r="D146" s="1" t="s">
        <v>1311</v>
      </c>
      <c r="E146" s="1" t="s">
        <v>11</v>
      </c>
      <c r="F146" s="1" t="s">
        <v>84</v>
      </c>
      <c r="G146">
        <v>7599000</v>
      </c>
      <c r="H146">
        <v>1599000</v>
      </c>
    </row>
    <row r="147" spans="1:8" x14ac:dyDescent="0.35">
      <c r="A147" s="1" t="s">
        <v>1231</v>
      </c>
      <c r="B147" s="1" t="s">
        <v>191</v>
      </c>
      <c r="C147" s="2">
        <v>45398</v>
      </c>
      <c r="D147" s="1" t="s">
        <v>1311</v>
      </c>
      <c r="E147" s="1" t="s">
        <v>11</v>
      </c>
      <c r="F147" s="1" t="s">
        <v>84</v>
      </c>
      <c r="G147">
        <v>41889000</v>
      </c>
      <c r="H147">
        <v>5889000</v>
      </c>
    </row>
    <row r="148" spans="1:8" x14ac:dyDescent="0.35">
      <c r="A148" s="1" t="s">
        <v>234</v>
      </c>
      <c r="B148" s="1" t="s">
        <v>137</v>
      </c>
      <c r="C148" s="2">
        <v>45451</v>
      </c>
      <c r="D148" s="1" t="s">
        <v>1311</v>
      </c>
      <c r="E148" s="1" t="s">
        <v>11</v>
      </c>
      <c r="F148" s="1" t="s">
        <v>84</v>
      </c>
      <c r="G148">
        <v>20264000</v>
      </c>
      <c r="H148">
        <v>4264000</v>
      </c>
    </row>
    <row r="149" spans="1:8" x14ac:dyDescent="0.35">
      <c r="A149" s="1" t="s">
        <v>813</v>
      </c>
      <c r="B149" s="1" t="s">
        <v>164</v>
      </c>
      <c r="C149" s="2">
        <v>45586</v>
      </c>
      <c r="D149" s="1" t="s">
        <v>1330</v>
      </c>
      <c r="E149" s="1" t="s">
        <v>11</v>
      </c>
      <c r="F149" s="1" t="s">
        <v>84</v>
      </c>
      <c r="G149">
        <v>2913000</v>
      </c>
      <c r="H149">
        <v>663000</v>
      </c>
    </row>
    <row r="150" spans="1:8" x14ac:dyDescent="0.35">
      <c r="A150" s="1" t="s">
        <v>1163</v>
      </c>
      <c r="B150" s="1" t="s">
        <v>164</v>
      </c>
      <c r="C150" s="2">
        <v>45475</v>
      </c>
      <c r="D150" s="1" t="s">
        <v>1330</v>
      </c>
      <c r="E150" s="1" t="s">
        <v>11</v>
      </c>
      <c r="F150" s="1" t="s">
        <v>84</v>
      </c>
      <c r="G150">
        <v>7768000</v>
      </c>
      <c r="H150">
        <v>1768000</v>
      </c>
    </row>
    <row r="151" spans="1:8" x14ac:dyDescent="0.35">
      <c r="A151" s="1" t="s">
        <v>516</v>
      </c>
      <c r="B151" s="1" t="s">
        <v>137</v>
      </c>
      <c r="C151" s="2">
        <v>45495</v>
      </c>
      <c r="D151" s="1" t="s">
        <v>1311</v>
      </c>
      <c r="E151" s="1" t="s">
        <v>11</v>
      </c>
      <c r="F151" s="1" t="s">
        <v>84</v>
      </c>
      <c r="G151">
        <v>22797000</v>
      </c>
      <c r="H151">
        <v>4797000</v>
      </c>
    </row>
    <row r="152" spans="1:8" x14ac:dyDescent="0.35">
      <c r="A152" s="1" t="s">
        <v>582</v>
      </c>
      <c r="B152" s="1" t="s">
        <v>113</v>
      </c>
      <c r="C152" s="2">
        <v>45579</v>
      </c>
      <c r="D152" s="1" t="s">
        <v>1311</v>
      </c>
      <c r="E152" s="1" t="s">
        <v>1323</v>
      </c>
      <c r="F152" s="1" t="s">
        <v>84</v>
      </c>
      <c r="G152">
        <v>55220000</v>
      </c>
      <c r="H152">
        <v>10220000</v>
      </c>
    </row>
    <row r="153" spans="1:8" x14ac:dyDescent="0.35">
      <c r="A153" s="1" t="s">
        <v>801</v>
      </c>
      <c r="B153" s="1" t="s">
        <v>111</v>
      </c>
      <c r="C153" s="2">
        <v>45320</v>
      </c>
      <c r="D153" s="1" t="s">
        <v>1311</v>
      </c>
      <c r="E153" s="1" t="s">
        <v>1323</v>
      </c>
      <c r="F153" s="1" t="s">
        <v>84</v>
      </c>
      <c r="G153">
        <v>55206000</v>
      </c>
      <c r="H153">
        <v>19206000</v>
      </c>
    </row>
    <row r="154" spans="1:8" x14ac:dyDescent="0.35">
      <c r="A154" s="1" t="s">
        <v>1163</v>
      </c>
      <c r="B154" s="1" t="s">
        <v>176</v>
      </c>
      <c r="C154" s="2">
        <v>45475</v>
      </c>
      <c r="D154" s="1" t="s">
        <v>1330</v>
      </c>
      <c r="E154" s="1" t="s">
        <v>1323</v>
      </c>
      <c r="F154" s="1" t="s">
        <v>84</v>
      </c>
      <c r="G154">
        <v>14176000</v>
      </c>
      <c r="H154">
        <v>2176000</v>
      </c>
    </row>
    <row r="155" spans="1:8" x14ac:dyDescent="0.35">
      <c r="A155" s="1" t="s">
        <v>1274</v>
      </c>
      <c r="B155" s="1" t="s">
        <v>116</v>
      </c>
      <c r="C155" s="2">
        <v>45462</v>
      </c>
      <c r="D155" s="1" t="s">
        <v>1330</v>
      </c>
      <c r="E155" s="1" t="s">
        <v>1323</v>
      </c>
      <c r="F155" s="1" t="s">
        <v>84</v>
      </c>
      <c r="G155">
        <v>67914000</v>
      </c>
      <c r="H155">
        <v>22914000</v>
      </c>
    </row>
    <row r="156" spans="1:8" x14ac:dyDescent="0.35">
      <c r="A156" s="1" t="s">
        <v>228</v>
      </c>
      <c r="B156" s="1" t="s">
        <v>116</v>
      </c>
      <c r="C156" s="2">
        <v>45489</v>
      </c>
      <c r="D156" s="1" t="s">
        <v>1330</v>
      </c>
      <c r="E156" s="1" t="s">
        <v>1323</v>
      </c>
      <c r="F156" s="1" t="s">
        <v>84</v>
      </c>
      <c r="G156">
        <v>30184000</v>
      </c>
      <c r="H156">
        <v>10184000</v>
      </c>
    </row>
    <row r="157" spans="1:8" x14ac:dyDescent="0.35">
      <c r="A157" s="1" t="s">
        <v>158</v>
      </c>
      <c r="B157" s="1" t="s">
        <v>106</v>
      </c>
      <c r="C157" s="2">
        <v>45632</v>
      </c>
      <c r="D157" s="1" t="s">
        <v>1317</v>
      </c>
      <c r="E157" s="1" t="s">
        <v>1323</v>
      </c>
      <c r="F157" s="1" t="s">
        <v>84</v>
      </c>
      <c r="G157">
        <v>1420000</v>
      </c>
      <c r="H157">
        <v>220000</v>
      </c>
    </row>
    <row r="158" spans="1:8" x14ac:dyDescent="0.35">
      <c r="A158" s="1" t="s">
        <v>487</v>
      </c>
      <c r="B158" s="1" t="s">
        <v>111</v>
      </c>
      <c r="C158" s="2">
        <v>45325</v>
      </c>
      <c r="D158" s="1" t="s">
        <v>1311</v>
      </c>
      <c r="E158" s="1" t="s">
        <v>1323</v>
      </c>
      <c r="F158" s="1" t="s">
        <v>84</v>
      </c>
      <c r="G158">
        <v>276030000</v>
      </c>
      <c r="H158">
        <v>96030000</v>
      </c>
    </row>
    <row r="159" spans="1:8" x14ac:dyDescent="0.35">
      <c r="A159" s="1" t="s">
        <v>1102</v>
      </c>
      <c r="B159" s="1" t="s">
        <v>173</v>
      </c>
      <c r="C159" s="2">
        <v>45385</v>
      </c>
      <c r="D159" s="1" t="s">
        <v>1317</v>
      </c>
      <c r="E159" s="1" t="s">
        <v>1323</v>
      </c>
      <c r="F159" s="1" t="s">
        <v>84</v>
      </c>
      <c r="G159">
        <v>1380000</v>
      </c>
      <c r="H159">
        <v>180000</v>
      </c>
    </row>
    <row r="160" spans="1:8" x14ac:dyDescent="0.35">
      <c r="A160" s="1" t="s">
        <v>1163</v>
      </c>
      <c r="B160" s="1" t="s">
        <v>113</v>
      </c>
      <c r="C160" s="2">
        <v>45475</v>
      </c>
      <c r="D160" s="1" t="s">
        <v>1311</v>
      </c>
      <c r="E160" s="1" t="s">
        <v>1323</v>
      </c>
      <c r="F160" s="1" t="s">
        <v>84</v>
      </c>
      <c r="G160">
        <v>88352000</v>
      </c>
      <c r="H160">
        <v>16352000</v>
      </c>
    </row>
    <row r="161" spans="1:8" x14ac:dyDescent="0.35">
      <c r="A161" s="1" t="s">
        <v>1163</v>
      </c>
      <c r="B161" s="1" t="s">
        <v>106</v>
      </c>
      <c r="C161" s="2">
        <v>45475</v>
      </c>
      <c r="D161" s="1" t="s">
        <v>1317</v>
      </c>
      <c r="E161" s="1" t="s">
        <v>1323</v>
      </c>
      <c r="F161" s="1" t="s">
        <v>84</v>
      </c>
      <c r="G161">
        <v>2840000</v>
      </c>
      <c r="H161">
        <v>440000</v>
      </c>
    </row>
    <row r="162" spans="1:8" x14ac:dyDescent="0.35">
      <c r="A162" s="1" t="s">
        <v>241</v>
      </c>
      <c r="B162" s="1" t="s">
        <v>173</v>
      </c>
      <c r="C162" s="2">
        <v>45496</v>
      </c>
      <c r="D162" s="1" t="s">
        <v>1317</v>
      </c>
      <c r="E162" s="1" t="s">
        <v>1323</v>
      </c>
      <c r="F162" s="1" t="s">
        <v>84</v>
      </c>
      <c r="G162">
        <v>1104000</v>
      </c>
      <c r="H162">
        <v>144000</v>
      </c>
    </row>
    <row r="163" spans="1:8" x14ac:dyDescent="0.35">
      <c r="A163" s="1" t="s">
        <v>1009</v>
      </c>
      <c r="B163" s="1" t="s">
        <v>116</v>
      </c>
      <c r="C163" s="2">
        <v>45581</v>
      </c>
      <c r="D163" s="1" t="s">
        <v>1330</v>
      </c>
      <c r="E163" s="1" t="s">
        <v>1323</v>
      </c>
      <c r="F163" s="1" t="s">
        <v>84</v>
      </c>
      <c r="G163">
        <v>98098000</v>
      </c>
      <c r="H163">
        <v>33098000</v>
      </c>
    </row>
    <row r="164" spans="1:8" x14ac:dyDescent="0.35">
      <c r="A164" s="1" t="s">
        <v>389</v>
      </c>
      <c r="B164" s="1" t="s">
        <v>113</v>
      </c>
      <c r="C164" s="2">
        <v>45539</v>
      </c>
      <c r="D164" s="1" t="s">
        <v>1311</v>
      </c>
      <c r="E164" s="1" t="s">
        <v>1323</v>
      </c>
      <c r="F164" s="1" t="s">
        <v>84</v>
      </c>
      <c r="G164">
        <v>55220000</v>
      </c>
      <c r="H164">
        <v>10220000</v>
      </c>
    </row>
    <row r="165" spans="1:8" x14ac:dyDescent="0.35">
      <c r="A165" s="1" t="s">
        <v>995</v>
      </c>
      <c r="B165" s="1" t="s">
        <v>176</v>
      </c>
      <c r="C165" s="2">
        <v>45399</v>
      </c>
      <c r="D165" s="1" t="s">
        <v>1330</v>
      </c>
      <c r="E165" s="1" t="s">
        <v>1323</v>
      </c>
      <c r="F165" s="1" t="s">
        <v>84</v>
      </c>
      <c r="G165">
        <v>10632000</v>
      </c>
      <c r="H165">
        <v>1632000</v>
      </c>
    </row>
    <row r="166" spans="1:8" x14ac:dyDescent="0.35">
      <c r="A166" s="1" t="s">
        <v>174</v>
      </c>
      <c r="B166" s="1" t="s">
        <v>176</v>
      </c>
      <c r="C166" s="2">
        <v>45477</v>
      </c>
      <c r="D166" s="1" t="s">
        <v>1330</v>
      </c>
      <c r="E166" s="1" t="s">
        <v>1323</v>
      </c>
      <c r="F166" s="1" t="s">
        <v>84</v>
      </c>
      <c r="G166">
        <v>12404000</v>
      </c>
      <c r="H166">
        <v>1904000</v>
      </c>
    </row>
    <row r="167" spans="1:8" x14ac:dyDescent="0.35">
      <c r="A167" s="1" t="s">
        <v>456</v>
      </c>
      <c r="B167" s="1" t="s">
        <v>272</v>
      </c>
      <c r="C167" s="2">
        <v>45419</v>
      </c>
      <c r="D167" s="1" t="s">
        <v>1317</v>
      </c>
      <c r="E167" s="1" t="s">
        <v>1323</v>
      </c>
      <c r="F167" s="1" t="s">
        <v>84</v>
      </c>
      <c r="G167">
        <v>5928000</v>
      </c>
      <c r="H167">
        <v>728000</v>
      </c>
    </row>
    <row r="168" spans="1:8" x14ac:dyDescent="0.35">
      <c r="A168" s="1" t="s">
        <v>1122</v>
      </c>
      <c r="B168" s="1" t="s">
        <v>106</v>
      </c>
      <c r="C168" s="2">
        <v>45383</v>
      </c>
      <c r="D168" s="1" t="s">
        <v>1317</v>
      </c>
      <c r="E168" s="1" t="s">
        <v>1323</v>
      </c>
      <c r="F168" s="1" t="s">
        <v>84</v>
      </c>
      <c r="G168">
        <v>5325000</v>
      </c>
      <c r="H168">
        <v>825000</v>
      </c>
    </row>
    <row r="169" spans="1:8" x14ac:dyDescent="0.35">
      <c r="A169" s="1" t="s">
        <v>546</v>
      </c>
      <c r="B169" s="1" t="s">
        <v>116</v>
      </c>
      <c r="C169" s="2">
        <v>45448</v>
      </c>
      <c r="D169" s="1" t="s">
        <v>1330</v>
      </c>
      <c r="E169" s="1" t="s">
        <v>1323</v>
      </c>
      <c r="F169" s="1" t="s">
        <v>84</v>
      </c>
      <c r="G169">
        <v>15092000</v>
      </c>
      <c r="H169">
        <v>5092000</v>
      </c>
    </row>
    <row r="170" spans="1:8" x14ac:dyDescent="0.35">
      <c r="A170" s="1" t="s">
        <v>991</v>
      </c>
      <c r="B170" s="1" t="s">
        <v>116</v>
      </c>
      <c r="C170" s="2">
        <v>45619</v>
      </c>
      <c r="D170" s="1" t="s">
        <v>1330</v>
      </c>
      <c r="E170" s="1" t="s">
        <v>1323</v>
      </c>
      <c r="F170" s="1" t="s">
        <v>84</v>
      </c>
      <c r="G170">
        <v>60368000</v>
      </c>
      <c r="H170">
        <v>20368000</v>
      </c>
    </row>
    <row r="171" spans="1:8" x14ac:dyDescent="0.35">
      <c r="A171" s="1" t="s">
        <v>1140</v>
      </c>
      <c r="B171" s="1" t="s">
        <v>172</v>
      </c>
      <c r="C171" s="2">
        <v>45352</v>
      </c>
      <c r="D171" s="1" t="s">
        <v>1330</v>
      </c>
      <c r="E171" s="1" t="s">
        <v>41</v>
      </c>
      <c r="F171" s="1" t="s">
        <v>41</v>
      </c>
      <c r="G171">
        <v>1649000</v>
      </c>
      <c r="H171">
        <v>699000</v>
      </c>
    </row>
    <row r="172" spans="1:8" x14ac:dyDescent="0.35">
      <c r="A172" s="1" t="s">
        <v>1161</v>
      </c>
      <c r="B172" s="1" t="s">
        <v>141</v>
      </c>
      <c r="C172" s="2">
        <v>45532</v>
      </c>
      <c r="D172" s="1" t="s">
        <v>1330</v>
      </c>
      <c r="E172" s="1" t="s">
        <v>41</v>
      </c>
      <c r="F172" s="1" t="s">
        <v>41</v>
      </c>
      <c r="G172">
        <v>3115000</v>
      </c>
      <c r="H172">
        <v>1115000</v>
      </c>
    </row>
    <row r="173" spans="1:8" x14ac:dyDescent="0.35">
      <c r="A173" s="1" t="s">
        <v>809</v>
      </c>
      <c r="B173" s="1" t="s">
        <v>149</v>
      </c>
      <c r="C173" s="2">
        <v>45474</v>
      </c>
      <c r="D173" s="1" t="s">
        <v>1317</v>
      </c>
      <c r="E173" s="1" t="s">
        <v>41</v>
      </c>
      <c r="F173" s="1" t="s">
        <v>41</v>
      </c>
      <c r="G173">
        <v>1690000</v>
      </c>
      <c r="H173">
        <v>690000</v>
      </c>
    </row>
    <row r="174" spans="1:8" x14ac:dyDescent="0.35">
      <c r="A174" s="1" t="s">
        <v>104</v>
      </c>
      <c r="B174" s="1" t="s">
        <v>109</v>
      </c>
      <c r="C174" s="2">
        <v>45617</v>
      </c>
      <c r="D174" s="1" t="s">
        <v>1358</v>
      </c>
      <c r="E174" s="1" t="s">
        <v>41</v>
      </c>
      <c r="F174" s="1" t="s">
        <v>41</v>
      </c>
      <c r="G174">
        <v>6764000</v>
      </c>
      <c r="H174">
        <v>2764000</v>
      </c>
    </row>
    <row r="175" spans="1:8" x14ac:dyDescent="0.35">
      <c r="A175" s="1" t="s">
        <v>347</v>
      </c>
      <c r="B175" s="1" t="s">
        <v>240</v>
      </c>
      <c r="C175" s="2">
        <v>45293</v>
      </c>
      <c r="D175" s="1" t="s">
        <v>1317</v>
      </c>
      <c r="E175" s="1" t="s">
        <v>41</v>
      </c>
      <c r="F175" s="1" t="s">
        <v>41</v>
      </c>
      <c r="G175">
        <v>8764000</v>
      </c>
      <c r="H175">
        <v>3864000</v>
      </c>
    </row>
    <row r="176" spans="1:8" x14ac:dyDescent="0.35">
      <c r="A176" s="1" t="s">
        <v>246</v>
      </c>
      <c r="B176" s="1" t="s">
        <v>248</v>
      </c>
      <c r="C176" s="2">
        <v>45447</v>
      </c>
      <c r="D176" s="1" t="s">
        <v>1336</v>
      </c>
      <c r="E176" s="1" t="s">
        <v>41</v>
      </c>
      <c r="F176" s="1" t="s">
        <v>41</v>
      </c>
      <c r="G176">
        <v>4956000</v>
      </c>
      <c r="H176">
        <v>1456000</v>
      </c>
    </row>
    <row r="177" spans="1:8" x14ac:dyDescent="0.35">
      <c r="A177" s="1" t="s">
        <v>1098</v>
      </c>
      <c r="B177" s="1" t="s">
        <v>141</v>
      </c>
      <c r="C177" s="2">
        <v>45509</v>
      </c>
      <c r="D177" s="1" t="s">
        <v>1330</v>
      </c>
      <c r="E177" s="1" t="s">
        <v>41</v>
      </c>
      <c r="F177" s="1" t="s">
        <v>41</v>
      </c>
      <c r="G177">
        <v>9345000</v>
      </c>
      <c r="H177">
        <v>3345000</v>
      </c>
    </row>
    <row r="178" spans="1:8" x14ac:dyDescent="0.35">
      <c r="A178" s="1" t="s">
        <v>1120</v>
      </c>
      <c r="B178" s="1" t="s">
        <v>168</v>
      </c>
      <c r="C178" s="2">
        <v>45396</v>
      </c>
      <c r="D178" s="1" t="s">
        <v>1336</v>
      </c>
      <c r="E178" s="1" t="s">
        <v>41</v>
      </c>
      <c r="F178" s="1" t="s">
        <v>41</v>
      </c>
      <c r="G178">
        <v>6752000</v>
      </c>
      <c r="H178">
        <v>2752000</v>
      </c>
    </row>
    <row r="179" spans="1:8" x14ac:dyDescent="0.35">
      <c r="A179" s="1" t="s">
        <v>945</v>
      </c>
      <c r="B179" s="1" t="s">
        <v>149</v>
      </c>
      <c r="C179" s="2">
        <v>45594</v>
      </c>
      <c r="D179" s="1" t="s">
        <v>1317</v>
      </c>
      <c r="E179" s="1" t="s">
        <v>41</v>
      </c>
      <c r="F179" s="1" t="s">
        <v>41</v>
      </c>
      <c r="G179">
        <v>676000</v>
      </c>
      <c r="H179">
        <v>276000</v>
      </c>
    </row>
    <row r="180" spans="1:8" x14ac:dyDescent="0.35">
      <c r="A180" s="1" t="s">
        <v>438</v>
      </c>
      <c r="B180" s="1" t="s">
        <v>149</v>
      </c>
      <c r="C180" s="2">
        <v>45635</v>
      </c>
      <c r="D180" s="1" t="s">
        <v>1317</v>
      </c>
      <c r="E180" s="1" t="s">
        <v>41</v>
      </c>
      <c r="F180" s="1" t="s">
        <v>41</v>
      </c>
      <c r="G180">
        <v>169000</v>
      </c>
      <c r="H180">
        <v>69000</v>
      </c>
    </row>
    <row r="181" spans="1:8" x14ac:dyDescent="0.35">
      <c r="A181" s="1" t="s">
        <v>166</v>
      </c>
      <c r="B181" s="1" t="s">
        <v>168</v>
      </c>
      <c r="C181" s="2">
        <v>45477</v>
      </c>
      <c r="D181" s="1" t="s">
        <v>1336</v>
      </c>
      <c r="E181" s="1" t="s">
        <v>41</v>
      </c>
      <c r="F181" s="1" t="s">
        <v>41</v>
      </c>
      <c r="G181">
        <v>844000</v>
      </c>
      <c r="H181">
        <v>344000</v>
      </c>
    </row>
    <row r="182" spans="1:8" x14ac:dyDescent="0.35">
      <c r="A182" s="1" t="s">
        <v>961</v>
      </c>
      <c r="B182" s="1" t="s">
        <v>172</v>
      </c>
      <c r="C182" s="2">
        <v>45333</v>
      </c>
      <c r="D182" s="1" t="s">
        <v>1330</v>
      </c>
      <c r="E182" s="1" t="s">
        <v>41</v>
      </c>
      <c r="F182" s="1" t="s">
        <v>41</v>
      </c>
      <c r="G182">
        <v>13192000</v>
      </c>
      <c r="H182">
        <v>5592000</v>
      </c>
    </row>
    <row r="183" spans="1:8" x14ac:dyDescent="0.35">
      <c r="A183" s="1" t="s">
        <v>454</v>
      </c>
      <c r="B183" s="1" t="s">
        <v>168</v>
      </c>
      <c r="C183" s="2">
        <v>45631</v>
      </c>
      <c r="D183" s="1" t="s">
        <v>1336</v>
      </c>
      <c r="E183" s="1" t="s">
        <v>41</v>
      </c>
      <c r="F183" s="1" t="s">
        <v>41</v>
      </c>
      <c r="G183">
        <v>11816000</v>
      </c>
      <c r="H183">
        <v>4816000</v>
      </c>
    </row>
    <row r="184" spans="1:8" x14ac:dyDescent="0.35">
      <c r="A184" s="1" t="s">
        <v>1149</v>
      </c>
      <c r="B184" s="1" t="s">
        <v>149</v>
      </c>
      <c r="C184" s="2">
        <v>45611</v>
      </c>
      <c r="D184" s="1" t="s">
        <v>1317</v>
      </c>
      <c r="E184" s="1" t="s">
        <v>41</v>
      </c>
      <c r="F184" s="1" t="s">
        <v>41</v>
      </c>
      <c r="G184">
        <v>2366000</v>
      </c>
      <c r="H184">
        <v>966000</v>
      </c>
    </row>
    <row r="185" spans="1:8" x14ac:dyDescent="0.35">
      <c r="A185" s="1" t="s">
        <v>444</v>
      </c>
      <c r="B185" s="1" t="s">
        <v>172</v>
      </c>
      <c r="C185" s="2">
        <v>45546</v>
      </c>
      <c r="D185" s="1" t="s">
        <v>1330</v>
      </c>
      <c r="E185" s="1" t="s">
        <v>41</v>
      </c>
      <c r="F185" s="1" t="s">
        <v>41</v>
      </c>
      <c r="G185">
        <v>1649000</v>
      </c>
      <c r="H185">
        <v>699000</v>
      </c>
    </row>
    <row r="186" spans="1:8" x14ac:dyDescent="0.35">
      <c r="A186" s="1" t="s">
        <v>292</v>
      </c>
      <c r="B186" s="1" t="s">
        <v>197</v>
      </c>
      <c r="C186" s="2">
        <v>45396</v>
      </c>
      <c r="D186" s="1" t="s">
        <v>1336</v>
      </c>
      <c r="E186" s="1" t="s">
        <v>11</v>
      </c>
      <c r="F186" s="1" t="s">
        <v>41</v>
      </c>
      <c r="G186">
        <v>9625000</v>
      </c>
      <c r="H186">
        <v>1225000</v>
      </c>
    </row>
    <row r="187" spans="1:8" x14ac:dyDescent="0.35">
      <c r="A187" s="1" t="s">
        <v>162</v>
      </c>
      <c r="B187" s="1" t="s">
        <v>164</v>
      </c>
      <c r="C187" s="2">
        <v>45477</v>
      </c>
      <c r="D187" s="1" t="s">
        <v>1330</v>
      </c>
      <c r="E187" s="1" t="s">
        <v>11</v>
      </c>
      <c r="F187" s="1" t="s">
        <v>41</v>
      </c>
      <c r="G187">
        <v>14565000</v>
      </c>
      <c r="H187">
        <v>3315000</v>
      </c>
    </row>
    <row r="188" spans="1:8" x14ac:dyDescent="0.35">
      <c r="A188" s="1" t="s">
        <v>131</v>
      </c>
      <c r="B188" s="1" t="s">
        <v>133</v>
      </c>
      <c r="C188" s="2">
        <v>45372</v>
      </c>
      <c r="D188" s="1" t="s">
        <v>1330</v>
      </c>
      <c r="E188" s="1" t="s">
        <v>11</v>
      </c>
      <c r="F188" s="1" t="s">
        <v>41</v>
      </c>
      <c r="G188">
        <v>9240000</v>
      </c>
      <c r="H188">
        <v>1740000</v>
      </c>
    </row>
    <row r="189" spans="1:8" x14ac:dyDescent="0.35">
      <c r="A189" s="1" t="s">
        <v>259</v>
      </c>
      <c r="B189" s="1" t="s">
        <v>137</v>
      </c>
      <c r="C189" s="2">
        <v>45480</v>
      </c>
      <c r="D189" s="1" t="s">
        <v>1311</v>
      </c>
      <c r="E189" s="1" t="s">
        <v>11</v>
      </c>
      <c r="F189" s="1" t="s">
        <v>41</v>
      </c>
      <c r="G189">
        <v>27863000</v>
      </c>
      <c r="H189">
        <v>5863000</v>
      </c>
    </row>
    <row r="190" spans="1:8" x14ac:dyDescent="0.35">
      <c r="A190" s="1" t="s">
        <v>891</v>
      </c>
      <c r="B190" s="1" t="s">
        <v>191</v>
      </c>
      <c r="C190" s="2">
        <v>45354</v>
      </c>
      <c r="D190" s="1" t="s">
        <v>1311</v>
      </c>
      <c r="E190" s="1" t="s">
        <v>11</v>
      </c>
      <c r="F190" s="1" t="s">
        <v>41</v>
      </c>
      <c r="G190">
        <v>167556000</v>
      </c>
      <c r="H190">
        <v>23556000</v>
      </c>
    </row>
    <row r="191" spans="1:8" x14ac:dyDescent="0.35">
      <c r="A191" s="1" t="s">
        <v>699</v>
      </c>
      <c r="B191" s="1" t="s">
        <v>164</v>
      </c>
      <c r="C191" s="2">
        <v>45605</v>
      </c>
      <c r="D191" s="1" t="s">
        <v>1330</v>
      </c>
      <c r="E191" s="1" t="s">
        <v>11</v>
      </c>
      <c r="F191" s="1" t="s">
        <v>41</v>
      </c>
      <c r="G191">
        <v>9710000</v>
      </c>
      <c r="H191">
        <v>2210000</v>
      </c>
    </row>
    <row r="192" spans="1:8" x14ac:dyDescent="0.35">
      <c r="A192" s="1" t="s">
        <v>1250</v>
      </c>
      <c r="B192" s="1" t="s">
        <v>137</v>
      </c>
      <c r="C192" s="2">
        <v>45327</v>
      </c>
      <c r="D192" s="1" t="s">
        <v>1311</v>
      </c>
      <c r="E192" s="1" t="s">
        <v>11</v>
      </c>
      <c r="F192" s="1" t="s">
        <v>41</v>
      </c>
      <c r="G192">
        <v>15198000</v>
      </c>
      <c r="H192">
        <v>3198000</v>
      </c>
    </row>
    <row r="193" spans="1:8" x14ac:dyDescent="0.35">
      <c r="A193" s="1" t="s">
        <v>1030</v>
      </c>
      <c r="B193" s="1" t="s">
        <v>137</v>
      </c>
      <c r="C193" s="2">
        <v>45637</v>
      </c>
      <c r="D193" s="1" t="s">
        <v>1311</v>
      </c>
      <c r="E193" s="1" t="s">
        <v>11</v>
      </c>
      <c r="F193" s="1" t="s">
        <v>41</v>
      </c>
      <c r="G193">
        <v>37995000</v>
      </c>
      <c r="H193">
        <v>7995000</v>
      </c>
    </row>
    <row r="194" spans="1:8" x14ac:dyDescent="0.35">
      <c r="A194" s="1" t="s">
        <v>1185</v>
      </c>
      <c r="B194" s="1" t="s">
        <v>164</v>
      </c>
      <c r="C194" s="2">
        <v>45331</v>
      </c>
      <c r="D194" s="1" t="s">
        <v>1330</v>
      </c>
      <c r="E194" s="1" t="s">
        <v>11</v>
      </c>
      <c r="F194" s="1" t="s">
        <v>41</v>
      </c>
      <c r="G194">
        <v>9710000</v>
      </c>
      <c r="H194">
        <v>2210000</v>
      </c>
    </row>
    <row r="195" spans="1:8" x14ac:dyDescent="0.35">
      <c r="A195" s="1" t="s">
        <v>701</v>
      </c>
      <c r="B195" s="1" t="s">
        <v>106</v>
      </c>
      <c r="C195" s="2">
        <v>45366</v>
      </c>
      <c r="D195" s="1" t="s">
        <v>1317</v>
      </c>
      <c r="E195" s="1" t="s">
        <v>1323</v>
      </c>
      <c r="F195" s="1" t="s">
        <v>41</v>
      </c>
      <c r="G195">
        <v>710000</v>
      </c>
      <c r="H195">
        <v>110000</v>
      </c>
    </row>
    <row r="196" spans="1:8" x14ac:dyDescent="0.35">
      <c r="A196" s="1" t="s">
        <v>1144</v>
      </c>
      <c r="B196" s="1" t="s">
        <v>272</v>
      </c>
      <c r="C196" s="2">
        <v>45419</v>
      </c>
      <c r="D196" s="1" t="s">
        <v>1317</v>
      </c>
      <c r="E196" s="1" t="s">
        <v>1323</v>
      </c>
      <c r="F196" s="1" t="s">
        <v>41</v>
      </c>
      <c r="G196">
        <v>1482000</v>
      </c>
      <c r="H196">
        <v>182000</v>
      </c>
    </row>
    <row r="197" spans="1:8" x14ac:dyDescent="0.35">
      <c r="A197" s="1" t="s">
        <v>834</v>
      </c>
      <c r="B197" s="1" t="s">
        <v>176</v>
      </c>
      <c r="C197" s="2">
        <v>45503</v>
      </c>
      <c r="D197" s="1" t="s">
        <v>1330</v>
      </c>
      <c r="E197" s="1" t="s">
        <v>1323</v>
      </c>
      <c r="F197" s="1" t="s">
        <v>41</v>
      </c>
      <c r="G197">
        <v>14176000</v>
      </c>
      <c r="H197">
        <v>2176000</v>
      </c>
    </row>
    <row r="198" spans="1:8" x14ac:dyDescent="0.35">
      <c r="A198" s="1" t="s">
        <v>690</v>
      </c>
      <c r="B198" s="1" t="s">
        <v>106</v>
      </c>
      <c r="C198" s="2">
        <v>45476</v>
      </c>
      <c r="D198" s="1" t="s">
        <v>1317</v>
      </c>
      <c r="E198" s="1" t="s">
        <v>1323</v>
      </c>
      <c r="F198" s="1" t="s">
        <v>41</v>
      </c>
      <c r="G198">
        <v>710000</v>
      </c>
      <c r="H198">
        <v>110000</v>
      </c>
    </row>
    <row r="199" spans="1:8" x14ac:dyDescent="0.35">
      <c r="A199" s="1" t="s">
        <v>1213</v>
      </c>
      <c r="B199" s="1" t="s">
        <v>113</v>
      </c>
      <c r="C199" s="2">
        <v>45427</v>
      </c>
      <c r="D199" s="1" t="s">
        <v>1311</v>
      </c>
      <c r="E199" s="1" t="s">
        <v>1323</v>
      </c>
      <c r="F199" s="1" t="s">
        <v>41</v>
      </c>
      <c r="G199">
        <v>38654000</v>
      </c>
      <c r="H199">
        <v>7154000</v>
      </c>
    </row>
    <row r="200" spans="1:8" x14ac:dyDescent="0.35">
      <c r="A200" s="1" t="s">
        <v>815</v>
      </c>
      <c r="B200" s="1" t="s">
        <v>113</v>
      </c>
      <c r="C200" s="2">
        <v>45411</v>
      </c>
      <c r="D200" s="1" t="s">
        <v>1311</v>
      </c>
      <c r="E200" s="1" t="s">
        <v>1323</v>
      </c>
      <c r="F200" s="1" t="s">
        <v>41</v>
      </c>
      <c r="G200">
        <v>16566000</v>
      </c>
      <c r="H200">
        <v>3066000</v>
      </c>
    </row>
    <row r="201" spans="1:8" x14ac:dyDescent="0.35">
      <c r="A201" s="1" t="s">
        <v>626</v>
      </c>
      <c r="B201" s="1" t="s">
        <v>176</v>
      </c>
      <c r="C201" s="2">
        <v>45413</v>
      </c>
      <c r="D201" s="1" t="s">
        <v>1330</v>
      </c>
      <c r="E201" s="1" t="s">
        <v>1323</v>
      </c>
      <c r="F201" s="1" t="s">
        <v>41</v>
      </c>
      <c r="G201">
        <v>24808000</v>
      </c>
      <c r="H201">
        <v>3808000</v>
      </c>
    </row>
    <row r="202" spans="1:8" x14ac:dyDescent="0.35">
      <c r="A202" s="1" t="s">
        <v>564</v>
      </c>
      <c r="B202" s="1" t="s">
        <v>173</v>
      </c>
      <c r="C202" s="2">
        <v>45558</v>
      </c>
      <c r="D202" s="1" t="s">
        <v>1317</v>
      </c>
      <c r="E202" s="1" t="s">
        <v>1323</v>
      </c>
      <c r="F202" s="1" t="s">
        <v>41</v>
      </c>
      <c r="G202">
        <v>736000</v>
      </c>
      <c r="H202">
        <v>96000</v>
      </c>
    </row>
    <row r="203" spans="1:8" x14ac:dyDescent="0.35">
      <c r="A203" s="1" t="s">
        <v>962</v>
      </c>
      <c r="B203" s="1" t="s">
        <v>113</v>
      </c>
      <c r="C203" s="2">
        <v>45351</v>
      </c>
      <c r="D203" s="1" t="s">
        <v>1311</v>
      </c>
      <c r="E203" s="1" t="s">
        <v>1323</v>
      </c>
      <c r="F203" s="1" t="s">
        <v>41</v>
      </c>
      <c r="G203">
        <v>82830000</v>
      </c>
      <c r="H203">
        <v>15330000</v>
      </c>
    </row>
    <row r="204" spans="1:8" x14ac:dyDescent="0.35">
      <c r="A204" s="1" t="s">
        <v>985</v>
      </c>
      <c r="B204" s="1" t="s">
        <v>106</v>
      </c>
      <c r="C204" s="2">
        <v>45460</v>
      </c>
      <c r="D204" s="1" t="s">
        <v>1317</v>
      </c>
      <c r="E204" s="1" t="s">
        <v>1323</v>
      </c>
      <c r="F204" s="1" t="s">
        <v>41</v>
      </c>
      <c r="G204">
        <v>3195000</v>
      </c>
      <c r="H204">
        <v>495000</v>
      </c>
    </row>
    <row r="205" spans="1:8" x14ac:dyDescent="0.35">
      <c r="A205" s="1" t="s">
        <v>1039</v>
      </c>
      <c r="B205" s="1" t="s">
        <v>111</v>
      </c>
      <c r="C205" s="2">
        <v>45531</v>
      </c>
      <c r="D205" s="1" t="s">
        <v>1311</v>
      </c>
      <c r="E205" s="1" t="s">
        <v>1323</v>
      </c>
      <c r="F205" s="1" t="s">
        <v>41</v>
      </c>
      <c r="G205">
        <v>82809000</v>
      </c>
      <c r="H205">
        <v>28809000</v>
      </c>
    </row>
    <row r="206" spans="1:8" x14ac:dyDescent="0.35">
      <c r="A206" s="1" t="s">
        <v>594</v>
      </c>
      <c r="B206" s="1" t="s">
        <v>106</v>
      </c>
      <c r="C206" s="2">
        <v>45361</v>
      </c>
      <c r="D206" s="1" t="s">
        <v>1317</v>
      </c>
      <c r="E206" s="1" t="s">
        <v>1323</v>
      </c>
      <c r="F206" s="1" t="s">
        <v>41</v>
      </c>
      <c r="G206">
        <v>4615000</v>
      </c>
      <c r="H206">
        <v>715000</v>
      </c>
    </row>
    <row r="207" spans="1:8" x14ac:dyDescent="0.35">
      <c r="A207" s="1" t="s">
        <v>104</v>
      </c>
      <c r="B207" s="1" t="s">
        <v>106</v>
      </c>
      <c r="C207" s="2">
        <v>45617</v>
      </c>
      <c r="D207" s="1" t="s">
        <v>1317</v>
      </c>
      <c r="E207" s="1" t="s">
        <v>1323</v>
      </c>
      <c r="F207" s="1" t="s">
        <v>41</v>
      </c>
      <c r="G207">
        <v>1420000</v>
      </c>
      <c r="H207">
        <v>220000</v>
      </c>
    </row>
    <row r="208" spans="1:8" x14ac:dyDescent="0.35">
      <c r="A208" s="1" t="s">
        <v>465</v>
      </c>
      <c r="B208" s="1" t="s">
        <v>272</v>
      </c>
      <c r="C208" s="2">
        <v>45345</v>
      </c>
      <c r="D208" s="1" t="s">
        <v>1317</v>
      </c>
      <c r="E208" s="1" t="s">
        <v>1323</v>
      </c>
      <c r="F208" s="1" t="s">
        <v>41</v>
      </c>
      <c r="G208">
        <v>9633000</v>
      </c>
      <c r="H208">
        <v>1183000</v>
      </c>
    </row>
    <row r="209" spans="1:8" x14ac:dyDescent="0.35">
      <c r="A209" s="1" t="s">
        <v>104</v>
      </c>
      <c r="B209" s="1" t="s">
        <v>111</v>
      </c>
      <c r="C209" s="2">
        <v>45617</v>
      </c>
      <c r="D209" s="1" t="s">
        <v>1311</v>
      </c>
      <c r="E209" s="1" t="s">
        <v>1323</v>
      </c>
      <c r="F209" s="1" t="s">
        <v>41</v>
      </c>
      <c r="G209">
        <v>82809000</v>
      </c>
      <c r="H209">
        <v>28809000</v>
      </c>
    </row>
    <row r="210" spans="1:8" x14ac:dyDescent="0.35">
      <c r="A210" s="1" t="s">
        <v>104</v>
      </c>
      <c r="B210" s="1" t="s">
        <v>113</v>
      </c>
      <c r="C210" s="2">
        <v>45617</v>
      </c>
      <c r="D210" s="1" t="s">
        <v>1311</v>
      </c>
      <c r="E210" s="1" t="s">
        <v>1323</v>
      </c>
      <c r="F210" s="1" t="s">
        <v>41</v>
      </c>
      <c r="G210">
        <v>55220000</v>
      </c>
      <c r="H210">
        <v>10220000</v>
      </c>
    </row>
    <row r="211" spans="1:8" x14ac:dyDescent="0.35">
      <c r="A211" s="1" t="s">
        <v>530</v>
      </c>
      <c r="B211" s="1" t="s">
        <v>272</v>
      </c>
      <c r="C211" s="2">
        <v>45470</v>
      </c>
      <c r="D211" s="1" t="s">
        <v>1317</v>
      </c>
      <c r="E211" s="1" t="s">
        <v>1323</v>
      </c>
      <c r="F211" s="1" t="s">
        <v>41</v>
      </c>
      <c r="G211">
        <v>11115000</v>
      </c>
      <c r="H211">
        <v>1365000</v>
      </c>
    </row>
    <row r="212" spans="1:8" x14ac:dyDescent="0.35">
      <c r="A212" s="1" t="s">
        <v>343</v>
      </c>
      <c r="B212" s="1" t="s">
        <v>173</v>
      </c>
      <c r="C212" s="2">
        <v>45309</v>
      </c>
      <c r="D212" s="1" t="s">
        <v>1317</v>
      </c>
      <c r="E212" s="1" t="s">
        <v>1323</v>
      </c>
      <c r="F212" s="1" t="s">
        <v>41</v>
      </c>
      <c r="G212">
        <v>184000</v>
      </c>
      <c r="H212">
        <v>24000</v>
      </c>
    </row>
    <row r="213" spans="1:8" x14ac:dyDescent="0.35">
      <c r="A213" s="1" t="s">
        <v>345</v>
      </c>
      <c r="B213" s="1" t="s">
        <v>116</v>
      </c>
      <c r="C213" s="2">
        <v>45509</v>
      </c>
      <c r="D213" s="1" t="s">
        <v>1330</v>
      </c>
      <c r="E213" s="1" t="s">
        <v>1323</v>
      </c>
      <c r="F213" s="1" t="s">
        <v>41</v>
      </c>
      <c r="G213">
        <v>113190000</v>
      </c>
      <c r="H213">
        <v>38190000</v>
      </c>
    </row>
    <row r="214" spans="1:8" x14ac:dyDescent="0.35">
      <c r="A214" s="1" t="s">
        <v>949</v>
      </c>
      <c r="B214" s="1" t="s">
        <v>172</v>
      </c>
      <c r="C214" s="2">
        <v>45334</v>
      </c>
      <c r="D214" s="1" t="s">
        <v>1330</v>
      </c>
      <c r="E214" s="1" t="s">
        <v>41</v>
      </c>
      <c r="F214" s="1" t="s">
        <v>65</v>
      </c>
      <c r="G214">
        <v>3298000</v>
      </c>
      <c r="H214">
        <v>1398000</v>
      </c>
    </row>
    <row r="215" spans="1:8" x14ac:dyDescent="0.35">
      <c r="A215" s="1" t="s">
        <v>1167</v>
      </c>
      <c r="B215" s="1" t="s">
        <v>109</v>
      </c>
      <c r="C215" s="2">
        <v>45517</v>
      </c>
      <c r="D215" s="1" t="s">
        <v>1358</v>
      </c>
      <c r="E215" s="1" t="s">
        <v>41</v>
      </c>
      <c r="F215" s="1" t="s">
        <v>65</v>
      </c>
      <c r="G215">
        <v>50730000</v>
      </c>
      <c r="H215">
        <v>20730000</v>
      </c>
    </row>
    <row r="216" spans="1:8" x14ac:dyDescent="0.35">
      <c r="A216" s="1" t="s">
        <v>1024</v>
      </c>
      <c r="B216" s="1" t="s">
        <v>149</v>
      </c>
      <c r="C216" s="2">
        <v>45614</v>
      </c>
      <c r="D216" s="1" t="s">
        <v>1317</v>
      </c>
      <c r="E216" s="1" t="s">
        <v>41</v>
      </c>
      <c r="F216" s="1" t="s">
        <v>65</v>
      </c>
      <c r="G216">
        <v>507000</v>
      </c>
      <c r="H216">
        <v>207000</v>
      </c>
    </row>
    <row r="217" spans="1:8" x14ac:dyDescent="0.35">
      <c r="A217" s="1" t="s">
        <v>919</v>
      </c>
      <c r="B217" s="1" t="s">
        <v>109</v>
      </c>
      <c r="C217" s="2">
        <v>45341</v>
      </c>
      <c r="D217" s="1" t="s">
        <v>1358</v>
      </c>
      <c r="E217" s="1" t="s">
        <v>41</v>
      </c>
      <c r="F217" s="1" t="s">
        <v>65</v>
      </c>
      <c r="G217">
        <v>47348000</v>
      </c>
      <c r="H217">
        <v>19348000</v>
      </c>
    </row>
    <row r="218" spans="1:8" x14ac:dyDescent="0.35">
      <c r="A218" s="1" t="s">
        <v>895</v>
      </c>
      <c r="B218" s="1" t="s">
        <v>240</v>
      </c>
      <c r="C218" s="2">
        <v>45435</v>
      </c>
      <c r="D218" s="1" t="s">
        <v>1317</v>
      </c>
      <c r="E218" s="1" t="s">
        <v>41</v>
      </c>
      <c r="F218" s="1" t="s">
        <v>65</v>
      </c>
      <c r="G218">
        <v>6886000</v>
      </c>
      <c r="H218">
        <v>3036000</v>
      </c>
    </row>
    <row r="219" spans="1:8" x14ac:dyDescent="0.35">
      <c r="A219" s="1" t="s">
        <v>473</v>
      </c>
      <c r="B219" s="1" t="s">
        <v>172</v>
      </c>
      <c r="C219" s="2">
        <v>45657</v>
      </c>
      <c r="D219" s="1" t="s">
        <v>1330</v>
      </c>
      <c r="E219" s="1" t="s">
        <v>41</v>
      </c>
      <c r="F219" s="1" t="s">
        <v>65</v>
      </c>
      <c r="G219">
        <v>18139000</v>
      </c>
      <c r="H219">
        <v>7689000</v>
      </c>
    </row>
    <row r="220" spans="1:8" x14ac:dyDescent="0.35">
      <c r="A220" s="1" t="s">
        <v>349</v>
      </c>
      <c r="B220" s="1" t="s">
        <v>149</v>
      </c>
      <c r="C220" s="2">
        <v>45380</v>
      </c>
      <c r="D220" s="1" t="s">
        <v>1317</v>
      </c>
      <c r="E220" s="1" t="s">
        <v>41</v>
      </c>
      <c r="F220" s="1" t="s">
        <v>65</v>
      </c>
      <c r="G220">
        <v>1690000</v>
      </c>
      <c r="H220">
        <v>690000</v>
      </c>
    </row>
    <row r="221" spans="1:8" x14ac:dyDescent="0.35">
      <c r="A221" s="1" t="s">
        <v>1079</v>
      </c>
      <c r="B221" s="1" t="s">
        <v>240</v>
      </c>
      <c r="C221" s="2">
        <v>45643</v>
      </c>
      <c r="D221" s="1" t="s">
        <v>1317</v>
      </c>
      <c r="E221" s="1" t="s">
        <v>41</v>
      </c>
      <c r="F221" s="1" t="s">
        <v>65</v>
      </c>
      <c r="G221">
        <v>5634000</v>
      </c>
      <c r="H221">
        <v>2484000</v>
      </c>
    </row>
    <row r="222" spans="1:8" x14ac:dyDescent="0.35">
      <c r="A222" s="1" t="s">
        <v>1272</v>
      </c>
      <c r="B222" s="1" t="s">
        <v>141</v>
      </c>
      <c r="C222" s="2">
        <v>45526</v>
      </c>
      <c r="D222" s="1" t="s">
        <v>1330</v>
      </c>
      <c r="E222" s="1" t="s">
        <v>41</v>
      </c>
      <c r="F222" s="1" t="s">
        <v>65</v>
      </c>
      <c r="G222">
        <v>1246000</v>
      </c>
      <c r="H222">
        <v>446000</v>
      </c>
    </row>
    <row r="223" spans="1:8" x14ac:dyDescent="0.35">
      <c r="A223" s="1" t="s">
        <v>861</v>
      </c>
      <c r="B223" s="1" t="s">
        <v>149</v>
      </c>
      <c r="C223" s="2">
        <v>45409</v>
      </c>
      <c r="D223" s="1" t="s">
        <v>1317</v>
      </c>
      <c r="E223" s="1" t="s">
        <v>41</v>
      </c>
      <c r="F223" s="1" t="s">
        <v>65</v>
      </c>
      <c r="G223">
        <v>2535000</v>
      </c>
      <c r="H223">
        <v>1035000</v>
      </c>
    </row>
    <row r="224" spans="1:8" x14ac:dyDescent="0.35">
      <c r="A224" s="1" t="s">
        <v>656</v>
      </c>
      <c r="B224" s="1" t="s">
        <v>172</v>
      </c>
      <c r="C224" s="2">
        <v>45347</v>
      </c>
      <c r="D224" s="1" t="s">
        <v>1330</v>
      </c>
      <c r="E224" s="1" t="s">
        <v>41</v>
      </c>
      <c r="F224" s="1" t="s">
        <v>65</v>
      </c>
      <c r="G224">
        <v>3298000</v>
      </c>
      <c r="H224">
        <v>1398000</v>
      </c>
    </row>
    <row r="225" spans="1:8" x14ac:dyDescent="0.35">
      <c r="A225" s="1" t="s">
        <v>528</v>
      </c>
      <c r="B225" s="1" t="s">
        <v>149</v>
      </c>
      <c r="C225" s="2">
        <v>45616</v>
      </c>
      <c r="D225" s="1" t="s">
        <v>1317</v>
      </c>
      <c r="E225" s="1" t="s">
        <v>41</v>
      </c>
      <c r="F225" s="1" t="s">
        <v>65</v>
      </c>
      <c r="G225">
        <v>338000</v>
      </c>
      <c r="H225">
        <v>138000</v>
      </c>
    </row>
    <row r="226" spans="1:8" x14ac:dyDescent="0.35">
      <c r="A226" s="1" t="s">
        <v>797</v>
      </c>
      <c r="B226" s="1" t="s">
        <v>109</v>
      </c>
      <c r="C226" s="2">
        <v>45544</v>
      </c>
      <c r="D226" s="1" t="s">
        <v>1358</v>
      </c>
      <c r="E226" s="1" t="s">
        <v>41</v>
      </c>
      <c r="F226" s="1" t="s">
        <v>65</v>
      </c>
      <c r="G226">
        <v>50730000</v>
      </c>
      <c r="H226">
        <v>20730000</v>
      </c>
    </row>
    <row r="227" spans="1:8" x14ac:dyDescent="0.35">
      <c r="A227" s="1" t="s">
        <v>415</v>
      </c>
      <c r="B227" s="1" t="s">
        <v>172</v>
      </c>
      <c r="C227" s="2">
        <v>45618</v>
      </c>
      <c r="D227" s="1" t="s">
        <v>1330</v>
      </c>
      <c r="E227" s="1" t="s">
        <v>41</v>
      </c>
      <c r="F227" s="1" t="s">
        <v>65</v>
      </c>
      <c r="G227">
        <v>6596000</v>
      </c>
      <c r="H227">
        <v>2796000</v>
      </c>
    </row>
    <row r="228" spans="1:8" x14ac:dyDescent="0.35">
      <c r="A228" s="1" t="s">
        <v>424</v>
      </c>
      <c r="B228" s="1" t="s">
        <v>248</v>
      </c>
      <c r="C228" s="2">
        <v>45341</v>
      </c>
      <c r="D228" s="1" t="s">
        <v>1336</v>
      </c>
      <c r="E228" s="1" t="s">
        <v>41</v>
      </c>
      <c r="F228" s="1" t="s">
        <v>65</v>
      </c>
      <c r="G228">
        <v>4602000</v>
      </c>
      <c r="H228">
        <v>1352000</v>
      </c>
    </row>
    <row r="229" spans="1:8" x14ac:dyDescent="0.35">
      <c r="A229" s="1" t="s">
        <v>436</v>
      </c>
      <c r="B229" s="1" t="s">
        <v>188</v>
      </c>
      <c r="C229" s="2">
        <v>45391</v>
      </c>
      <c r="D229" s="1" t="s">
        <v>1311</v>
      </c>
      <c r="E229" s="1" t="s">
        <v>41</v>
      </c>
      <c r="F229" s="1" t="s">
        <v>65</v>
      </c>
      <c r="G229">
        <v>61711000</v>
      </c>
      <c r="H229">
        <v>25311000</v>
      </c>
    </row>
    <row r="230" spans="1:8" x14ac:dyDescent="0.35">
      <c r="A230" s="1" t="s">
        <v>446</v>
      </c>
      <c r="B230" s="1" t="s">
        <v>141</v>
      </c>
      <c r="C230" s="2">
        <v>45321</v>
      </c>
      <c r="D230" s="1" t="s">
        <v>1330</v>
      </c>
      <c r="E230" s="1" t="s">
        <v>41</v>
      </c>
      <c r="F230" s="1" t="s">
        <v>65</v>
      </c>
      <c r="G230">
        <v>3738000</v>
      </c>
      <c r="H230">
        <v>1338000</v>
      </c>
    </row>
    <row r="231" spans="1:8" x14ac:dyDescent="0.35">
      <c r="A231" s="1" t="s">
        <v>300</v>
      </c>
      <c r="B231" s="1" t="s">
        <v>109</v>
      </c>
      <c r="C231" s="2">
        <v>45501</v>
      </c>
      <c r="D231" s="1" t="s">
        <v>1358</v>
      </c>
      <c r="E231" s="1" t="s">
        <v>41</v>
      </c>
      <c r="F231" s="1" t="s">
        <v>65</v>
      </c>
      <c r="G231">
        <v>20292000</v>
      </c>
      <c r="H231">
        <v>8292000</v>
      </c>
    </row>
    <row r="232" spans="1:8" x14ac:dyDescent="0.35">
      <c r="A232" s="1" t="s">
        <v>650</v>
      </c>
      <c r="B232" s="1" t="s">
        <v>133</v>
      </c>
      <c r="C232" s="2">
        <v>45516</v>
      </c>
      <c r="D232" s="1" t="s">
        <v>1330</v>
      </c>
      <c r="E232" s="1" t="s">
        <v>11</v>
      </c>
      <c r="F232" s="1" t="s">
        <v>65</v>
      </c>
      <c r="G232">
        <v>27720000</v>
      </c>
      <c r="H232">
        <v>5220000</v>
      </c>
    </row>
    <row r="233" spans="1:8" x14ac:dyDescent="0.35">
      <c r="A233" s="1" t="s">
        <v>793</v>
      </c>
      <c r="B233" s="1" t="s">
        <v>191</v>
      </c>
      <c r="C233" s="2">
        <v>45657</v>
      </c>
      <c r="D233" s="1" t="s">
        <v>1311</v>
      </c>
      <c r="E233" s="1" t="s">
        <v>11</v>
      </c>
      <c r="F233" s="1" t="s">
        <v>65</v>
      </c>
      <c r="G233">
        <v>195482000</v>
      </c>
      <c r="H233">
        <v>27482000</v>
      </c>
    </row>
    <row r="234" spans="1:8" x14ac:dyDescent="0.35">
      <c r="A234" s="1" t="s">
        <v>430</v>
      </c>
      <c r="B234" s="1" t="s">
        <v>137</v>
      </c>
      <c r="C234" s="2">
        <v>45361</v>
      </c>
      <c r="D234" s="1" t="s">
        <v>1311</v>
      </c>
      <c r="E234" s="1" t="s">
        <v>11</v>
      </c>
      <c r="F234" s="1" t="s">
        <v>65</v>
      </c>
      <c r="G234">
        <v>25330000</v>
      </c>
      <c r="H234">
        <v>5330000</v>
      </c>
    </row>
    <row r="235" spans="1:8" x14ac:dyDescent="0.35">
      <c r="A235" s="1" t="s">
        <v>694</v>
      </c>
      <c r="B235" s="1" t="s">
        <v>133</v>
      </c>
      <c r="C235" s="2">
        <v>45323</v>
      </c>
      <c r="D235" s="1" t="s">
        <v>1330</v>
      </c>
      <c r="E235" s="1" t="s">
        <v>11</v>
      </c>
      <c r="F235" s="1" t="s">
        <v>65</v>
      </c>
      <c r="G235">
        <v>12320000</v>
      </c>
      <c r="H235">
        <v>2320000</v>
      </c>
    </row>
    <row r="236" spans="1:8" x14ac:dyDescent="0.35">
      <c r="A236" s="1" t="s">
        <v>1181</v>
      </c>
      <c r="B236" s="1" t="s">
        <v>133</v>
      </c>
      <c r="C236" s="2">
        <v>45293</v>
      </c>
      <c r="D236" s="1" t="s">
        <v>1330</v>
      </c>
      <c r="E236" s="1" t="s">
        <v>11</v>
      </c>
      <c r="F236" s="1" t="s">
        <v>65</v>
      </c>
      <c r="G236">
        <v>33880000</v>
      </c>
      <c r="H236">
        <v>6380000</v>
      </c>
    </row>
    <row r="237" spans="1:8" x14ac:dyDescent="0.35">
      <c r="A237" s="1" t="s">
        <v>612</v>
      </c>
      <c r="B237" s="1" t="s">
        <v>164</v>
      </c>
      <c r="C237" s="2">
        <v>45380</v>
      </c>
      <c r="D237" s="1" t="s">
        <v>1330</v>
      </c>
      <c r="E237" s="1" t="s">
        <v>11</v>
      </c>
      <c r="F237" s="1" t="s">
        <v>65</v>
      </c>
      <c r="G237">
        <v>2913000</v>
      </c>
      <c r="H237">
        <v>663000</v>
      </c>
    </row>
    <row r="238" spans="1:8" x14ac:dyDescent="0.35">
      <c r="A238" s="1" t="s">
        <v>827</v>
      </c>
      <c r="B238" s="1" t="s">
        <v>137</v>
      </c>
      <c r="C238" s="2">
        <v>45609</v>
      </c>
      <c r="D238" s="1" t="s">
        <v>1311</v>
      </c>
      <c r="E238" s="1" t="s">
        <v>11</v>
      </c>
      <c r="F238" s="1" t="s">
        <v>65</v>
      </c>
      <c r="G238">
        <v>12665000</v>
      </c>
      <c r="H238">
        <v>2665000</v>
      </c>
    </row>
    <row r="239" spans="1:8" x14ac:dyDescent="0.35">
      <c r="A239" s="1" t="s">
        <v>938</v>
      </c>
      <c r="B239" s="1" t="s">
        <v>164</v>
      </c>
      <c r="C239" s="2">
        <v>45311</v>
      </c>
      <c r="D239" s="1" t="s">
        <v>1330</v>
      </c>
      <c r="E239" s="1" t="s">
        <v>11</v>
      </c>
      <c r="F239" s="1" t="s">
        <v>65</v>
      </c>
      <c r="G239">
        <v>7768000</v>
      </c>
      <c r="H239">
        <v>1768000</v>
      </c>
    </row>
    <row r="240" spans="1:8" x14ac:dyDescent="0.35">
      <c r="A240" s="1" t="s">
        <v>1096</v>
      </c>
      <c r="B240" s="1" t="s">
        <v>191</v>
      </c>
      <c r="C240" s="2">
        <v>45570</v>
      </c>
      <c r="D240" s="1" t="s">
        <v>1311</v>
      </c>
      <c r="E240" s="1" t="s">
        <v>11</v>
      </c>
      <c r="F240" s="1" t="s">
        <v>65</v>
      </c>
      <c r="G240">
        <v>69815000</v>
      </c>
      <c r="H240">
        <v>9815000</v>
      </c>
    </row>
    <row r="241" spans="1:8" x14ac:dyDescent="0.35">
      <c r="A241" s="1" t="s">
        <v>1001</v>
      </c>
      <c r="B241" s="1" t="s">
        <v>137</v>
      </c>
      <c r="C241" s="2">
        <v>45325</v>
      </c>
      <c r="D241" s="1" t="s">
        <v>1311</v>
      </c>
      <c r="E241" s="1" t="s">
        <v>11</v>
      </c>
      <c r="F241" s="1" t="s">
        <v>65</v>
      </c>
      <c r="G241">
        <v>35462000</v>
      </c>
      <c r="H241">
        <v>7462000</v>
      </c>
    </row>
    <row r="242" spans="1:8" x14ac:dyDescent="0.35">
      <c r="A242" s="1" t="s">
        <v>1276</v>
      </c>
      <c r="B242" s="1" t="s">
        <v>197</v>
      </c>
      <c r="C242" s="2">
        <v>45410</v>
      </c>
      <c r="D242" s="1" t="s">
        <v>1336</v>
      </c>
      <c r="E242" s="1" t="s">
        <v>11</v>
      </c>
      <c r="F242" s="1" t="s">
        <v>65</v>
      </c>
      <c r="G242">
        <v>8250000</v>
      </c>
      <c r="H242">
        <v>1050000</v>
      </c>
    </row>
    <row r="243" spans="1:8" x14ac:dyDescent="0.35">
      <c r="A243" s="1" t="s">
        <v>503</v>
      </c>
      <c r="B243" s="1" t="s">
        <v>191</v>
      </c>
      <c r="C243" s="2">
        <v>45643</v>
      </c>
      <c r="D243" s="1" t="s">
        <v>1311</v>
      </c>
      <c r="E243" s="1" t="s">
        <v>11</v>
      </c>
      <c r="F243" s="1" t="s">
        <v>65</v>
      </c>
      <c r="G243">
        <v>209445000</v>
      </c>
      <c r="H243">
        <v>29445000</v>
      </c>
    </row>
    <row r="244" spans="1:8" x14ac:dyDescent="0.35">
      <c r="A244" s="1" t="s">
        <v>1018</v>
      </c>
      <c r="B244" s="1" t="s">
        <v>197</v>
      </c>
      <c r="C244" s="2">
        <v>45303</v>
      </c>
      <c r="D244" s="1" t="s">
        <v>1336</v>
      </c>
      <c r="E244" s="1" t="s">
        <v>11</v>
      </c>
      <c r="F244" s="1" t="s">
        <v>65</v>
      </c>
      <c r="G244">
        <v>20625000</v>
      </c>
      <c r="H244">
        <v>2625000</v>
      </c>
    </row>
    <row r="245" spans="1:8" x14ac:dyDescent="0.35">
      <c r="A245" s="1" t="s">
        <v>189</v>
      </c>
      <c r="B245" s="1" t="s">
        <v>191</v>
      </c>
      <c r="C245" s="2">
        <v>45306</v>
      </c>
      <c r="D245" s="1" t="s">
        <v>1311</v>
      </c>
      <c r="E245" s="1" t="s">
        <v>11</v>
      </c>
      <c r="F245" s="1" t="s">
        <v>65</v>
      </c>
      <c r="G245">
        <v>139630000</v>
      </c>
      <c r="H245">
        <v>19630000</v>
      </c>
    </row>
    <row r="246" spans="1:8" x14ac:dyDescent="0.35">
      <c r="A246" s="1" t="s">
        <v>467</v>
      </c>
      <c r="B246" s="1" t="s">
        <v>176</v>
      </c>
      <c r="C246" s="2">
        <v>45473</v>
      </c>
      <c r="D246" s="1" t="s">
        <v>1330</v>
      </c>
      <c r="E246" s="1" t="s">
        <v>1323</v>
      </c>
      <c r="F246" s="1" t="s">
        <v>65</v>
      </c>
      <c r="G246">
        <v>24808000</v>
      </c>
      <c r="H246">
        <v>3808000</v>
      </c>
    </row>
    <row r="247" spans="1:8" x14ac:dyDescent="0.35">
      <c r="A247" s="1" t="s">
        <v>1112</v>
      </c>
      <c r="B247" s="1" t="s">
        <v>173</v>
      </c>
      <c r="C247" s="2">
        <v>45642</v>
      </c>
      <c r="D247" s="1" t="s">
        <v>1317</v>
      </c>
      <c r="E247" s="1" t="s">
        <v>1323</v>
      </c>
      <c r="F247" s="1" t="s">
        <v>65</v>
      </c>
      <c r="G247">
        <v>368000</v>
      </c>
      <c r="H247">
        <v>48000</v>
      </c>
    </row>
    <row r="248" spans="1:8" x14ac:dyDescent="0.35">
      <c r="A248" s="1" t="s">
        <v>1116</v>
      </c>
      <c r="B248" s="1" t="s">
        <v>176</v>
      </c>
      <c r="C248" s="2">
        <v>45515</v>
      </c>
      <c r="D248" s="1" t="s">
        <v>1330</v>
      </c>
      <c r="E248" s="1" t="s">
        <v>1323</v>
      </c>
      <c r="F248" s="1" t="s">
        <v>65</v>
      </c>
      <c r="G248">
        <v>15948000</v>
      </c>
      <c r="H248">
        <v>2448000</v>
      </c>
    </row>
    <row r="249" spans="1:8" x14ac:dyDescent="0.35">
      <c r="A249" s="1" t="s">
        <v>668</v>
      </c>
      <c r="B249" s="1" t="s">
        <v>173</v>
      </c>
      <c r="C249" s="2">
        <v>45550</v>
      </c>
      <c r="D249" s="1" t="s">
        <v>1317</v>
      </c>
      <c r="E249" s="1" t="s">
        <v>1323</v>
      </c>
      <c r="F249" s="1" t="s">
        <v>65</v>
      </c>
      <c r="G249">
        <v>1012000</v>
      </c>
      <c r="H249">
        <v>132000</v>
      </c>
    </row>
    <row r="250" spans="1:8" x14ac:dyDescent="0.35">
      <c r="A250" s="1" t="s">
        <v>179</v>
      </c>
      <c r="B250" s="1" t="s">
        <v>116</v>
      </c>
      <c r="C250" s="2">
        <v>45609</v>
      </c>
      <c r="D250" s="1" t="s">
        <v>1330</v>
      </c>
      <c r="E250" s="1" t="s">
        <v>1323</v>
      </c>
      <c r="F250" s="1" t="s">
        <v>65</v>
      </c>
      <c r="G250">
        <v>45276000</v>
      </c>
      <c r="H250">
        <v>15276000</v>
      </c>
    </row>
    <row r="251" spans="1:8" x14ac:dyDescent="0.35">
      <c r="A251" s="1" t="s">
        <v>355</v>
      </c>
      <c r="B251" s="1" t="s">
        <v>106</v>
      </c>
      <c r="C251" s="2">
        <v>45515</v>
      </c>
      <c r="D251" s="1" t="s">
        <v>1317</v>
      </c>
      <c r="E251" s="1" t="s">
        <v>1323</v>
      </c>
      <c r="F251" s="1" t="s">
        <v>65</v>
      </c>
      <c r="G251">
        <v>4615000</v>
      </c>
      <c r="H251">
        <v>715000</v>
      </c>
    </row>
    <row r="252" spans="1:8" x14ac:dyDescent="0.35">
      <c r="A252" s="1" t="s">
        <v>886</v>
      </c>
      <c r="B252" s="1" t="s">
        <v>106</v>
      </c>
      <c r="C252" s="2">
        <v>45542</v>
      </c>
      <c r="D252" s="1" t="s">
        <v>1317</v>
      </c>
      <c r="E252" s="1" t="s">
        <v>1323</v>
      </c>
      <c r="F252" s="1" t="s">
        <v>65</v>
      </c>
      <c r="G252">
        <v>5325000</v>
      </c>
      <c r="H252">
        <v>825000</v>
      </c>
    </row>
    <row r="253" spans="1:8" x14ac:dyDescent="0.35">
      <c r="A253" s="1" t="s">
        <v>1241</v>
      </c>
      <c r="B253" s="1" t="s">
        <v>106</v>
      </c>
      <c r="C253" s="2">
        <v>45537</v>
      </c>
      <c r="D253" s="1" t="s">
        <v>1317</v>
      </c>
      <c r="E253" s="1" t="s">
        <v>1323</v>
      </c>
      <c r="F253" s="1" t="s">
        <v>65</v>
      </c>
      <c r="G253">
        <v>4615000</v>
      </c>
      <c r="H253">
        <v>715000</v>
      </c>
    </row>
    <row r="254" spans="1:8" x14ac:dyDescent="0.35">
      <c r="A254" s="1" t="s">
        <v>1215</v>
      </c>
      <c r="B254" s="1" t="s">
        <v>173</v>
      </c>
      <c r="C254" s="2">
        <v>45494</v>
      </c>
      <c r="D254" s="1" t="s">
        <v>1317</v>
      </c>
      <c r="E254" s="1" t="s">
        <v>1323</v>
      </c>
      <c r="F254" s="1" t="s">
        <v>65</v>
      </c>
      <c r="G254">
        <v>184000</v>
      </c>
      <c r="H254">
        <v>24000</v>
      </c>
    </row>
    <row r="255" spans="1:8" x14ac:dyDescent="0.35">
      <c r="A255" s="1" t="s">
        <v>628</v>
      </c>
      <c r="B255" s="1" t="s">
        <v>106</v>
      </c>
      <c r="C255" s="2">
        <v>45528</v>
      </c>
      <c r="D255" s="1" t="s">
        <v>1317</v>
      </c>
      <c r="E255" s="1" t="s">
        <v>1323</v>
      </c>
      <c r="F255" s="1" t="s">
        <v>65</v>
      </c>
      <c r="G255">
        <v>3550000</v>
      </c>
      <c r="H255">
        <v>550000</v>
      </c>
    </row>
    <row r="256" spans="1:8" x14ac:dyDescent="0.35">
      <c r="A256" s="1" t="s">
        <v>932</v>
      </c>
      <c r="B256" s="1" t="s">
        <v>173</v>
      </c>
      <c r="C256" s="2">
        <v>45655</v>
      </c>
      <c r="D256" s="1" t="s">
        <v>1317</v>
      </c>
      <c r="E256" s="1" t="s">
        <v>1323</v>
      </c>
      <c r="F256" s="1" t="s">
        <v>65</v>
      </c>
      <c r="G256">
        <v>276000</v>
      </c>
      <c r="H256">
        <v>36000</v>
      </c>
    </row>
    <row r="257" spans="1:8" x14ac:dyDescent="0.35">
      <c r="A257" s="1" t="s">
        <v>1229</v>
      </c>
      <c r="B257" s="1" t="s">
        <v>272</v>
      </c>
      <c r="C257" s="2">
        <v>45527</v>
      </c>
      <c r="D257" s="1" t="s">
        <v>1317</v>
      </c>
      <c r="E257" s="1" t="s">
        <v>1323</v>
      </c>
      <c r="F257" s="1" t="s">
        <v>65</v>
      </c>
      <c r="G257">
        <v>5928000</v>
      </c>
      <c r="H257">
        <v>728000</v>
      </c>
    </row>
    <row r="258" spans="1:8" x14ac:dyDescent="0.35">
      <c r="A258" s="1" t="s">
        <v>308</v>
      </c>
      <c r="B258" s="1" t="s">
        <v>272</v>
      </c>
      <c r="C258" s="2">
        <v>45419</v>
      </c>
      <c r="D258" s="1" t="s">
        <v>1317</v>
      </c>
      <c r="E258" s="1" t="s">
        <v>1323</v>
      </c>
      <c r="F258" s="1" t="s">
        <v>65</v>
      </c>
      <c r="G258">
        <v>5928000</v>
      </c>
      <c r="H258">
        <v>728000</v>
      </c>
    </row>
    <row r="259" spans="1:8" x14ac:dyDescent="0.35">
      <c r="A259" s="1" t="s">
        <v>712</v>
      </c>
      <c r="B259" s="1" t="s">
        <v>173</v>
      </c>
      <c r="C259" s="2">
        <v>45423</v>
      </c>
      <c r="D259" s="1" t="s">
        <v>1317</v>
      </c>
      <c r="E259" s="1" t="s">
        <v>1323</v>
      </c>
      <c r="F259" s="1" t="s">
        <v>65</v>
      </c>
      <c r="G259">
        <v>1288000</v>
      </c>
      <c r="H259">
        <v>168000</v>
      </c>
    </row>
    <row r="260" spans="1:8" x14ac:dyDescent="0.35">
      <c r="A260" s="1" t="s">
        <v>198</v>
      </c>
      <c r="B260" s="1" t="s">
        <v>106</v>
      </c>
      <c r="C260" s="2">
        <v>45596</v>
      </c>
      <c r="D260" s="1" t="s">
        <v>1317</v>
      </c>
      <c r="E260" s="1" t="s">
        <v>1323</v>
      </c>
      <c r="F260" s="1" t="s">
        <v>65</v>
      </c>
      <c r="G260">
        <v>2840000</v>
      </c>
      <c r="H260">
        <v>440000</v>
      </c>
    </row>
    <row r="261" spans="1:8" x14ac:dyDescent="0.35">
      <c r="A261" s="1" t="s">
        <v>463</v>
      </c>
      <c r="B261" s="1" t="s">
        <v>172</v>
      </c>
      <c r="C261" s="2">
        <v>45563</v>
      </c>
      <c r="D261" s="1" t="s">
        <v>1330</v>
      </c>
      <c r="E261" s="1" t="s">
        <v>41</v>
      </c>
      <c r="F261" s="1" t="s">
        <v>31</v>
      </c>
      <c r="G261">
        <v>18139000</v>
      </c>
      <c r="H261">
        <v>7689000</v>
      </c>
    </row>
    <row r="262" spans="1:8" x14ac:dyDescent="0.35">
      <c r="A262" s="1" t="s">
        <v>723</v>
      </c>
      <c r="B262" s="1" t="s">
        <v>141</v>
      </c>
      <c r="C262" s="2">
        <v>45444</v>
      </c>
      <c r="D262" s="1" t="s">
        <v>1330</v>
      </c>
      <c r="E262" s="1" t="s">
        <v>41</v>
      </c>
      <c r="F262" s="1" t="s">
        <v>31</v>
      </c>
      <c r="G262">
        <v>2492000</v>
      </c>
      <c r="H262">
        <v>892000</v>
      </c>
    </row>
    <row r="263" spans="1:8" x14ac:dyDescent="0.35">
      <c r="A263" s="1" t="s">
        <v>727</v>
      </c>
      <c r="B263" s="1" t="s">
        <v>149</v>
      </c>
      <c r="C263" s="2">
        <v>45393</v>
      </c>
      <c r="D263" s="1" t="s">
        <v>1317</v>
      </c>
      <c r="E263" s="1" t="s">
        <v>41</v>
      </c>
      <c r="F263" s="1" t="s">
        <v>31</v>
      </c>
      <c r="G263">
        <v>1014000</v>
      </c>
      <c r="H263">
        <v>414000</v>
      </c>
    </row>
    <row r="264" spans="1:8" x14ac:dyDescent="0.35">
      <c r="A264" s="1" t="s">
        <v>177</v>
      </c>
      <c r="B264" s="1" t="s">
        <v>141</v>
      </c>
      <c r="C264" s="2">
        <v>45608</v>
      </c>
      <c r="D264" s="1" t="s">
        <v>1330</v>
      </c>
      <c r="E264" s="1" t="s">
        <v>41</v>
      </c>
      <c r="F264" s="1" t="s">
        <v>31</v>
      </c>
      <c r="G264">
        <v>8722000</v>
      </c>
      <c r="H264">
        <v>3122000</v>
      </c>
    </row>
    <row r="265" spans="1:8" x14ac:dyDescent="0.35">
      <c r="A265" s="1" t="s">
        <v>1217</v>
      </c>
      <c r="B265" s="1" t="s">
        <v>248</v>
      </c>
      <c r="C265" s="2">
        <v>45431</v>
      </c>
      <c r="D265" s="1" t="s">
        <v>1336</v>
      </c>
      <c r="E265" s="1" t="s">
        <v>41</v>
      </c>
      <c r="F265" s="1" t="s">
        <v>31</v>
      </c>
      <c r="G265">
        <v>3186000</v>
      </c>
      <c r="H265">
        <v>936000</v>
      </c>
    </row>
    <row r="266" spans="1:8" x14ac:dyDescent="0.35">
      <c r="A266" s="1" t="s">
        <v>122</v>
      </c>
      <c r="B266" s="1" t="s">
        <v>109</v>
      </c>
      <c r="C266" s="2">
        <v>45387</v>
      </c>
      <c r="D266" s="1" t="s">
        <v>1358</v>
      </c>
      <c r="E266" s="1" t="s">
        <v>41</v>
      </c>
      <c r="F266" s="1" t="s">
        <v>31</v>
      </c>
      <c r="G266">
        <v>6764000</v>
      </c>
      <c r="H266">
        <v>2764000</v>
      </c>
    </row>
    <row r="267" spans="1:8" x14ac:dyDescent="0.35">
      <c r="A267" s="1" t="s">
        <v>696</v>
      </c>
      <c r="B267" s="1" t="s">
        <v>240</v>
      </c>
      <c r="C267" s="2">
        <v>45349</v>
      </c>
      <c r="D267" s="1" t="s">
        <v>1317</v>
      </c>
      <c r="E267" s="1" t="s">
        <v>41</v>
      </c>
      <c r="F267" s="1" t="s">
        <v>31</v>
      </c>
      <c r="G267">
        <v>1252000</v>
      </c>
      <c r="H267">
        <v>552000</v>
      </c>
    </row>
    <row r="268" spans="1:8" x14ac:dyDescent="0.35">
      <c r="A268" s="1" t="s">
        <v>968</v>
      </c>
      <c r="B268" s="1" t="s">
        <v>172</v>
      </c>
      <c r="C268" s="2">
        <v>45370</v>
      </c>
      <c r="D268" s="1" t="s">
        <v>1330</v>
      </c>
      <c r="E268" s="1" t="s">
        <v>41</v>
      </c>
      <c r="F268" s="1" t="s">
        <v>31</v>
      </c>
      <c r="G268">
        <v>19788000</v>
      </c>
      <c r="H268">
        <v>8388000</v>
      </c>
    </row>
    <row r="269" spans="1:8" x14ac:dyDescent="0.35">
      <c r="A269" s="1" t="s">
        <v>946</v>
      </c>
      <c r="B269" s="1" t="s">
        <v>188</v>
      </c>
      <c r="C269" s="2">
        <v>45505</v>
      </c>
      <c r="D269" s="1" t="s">
        <v>1311</v>
      </c>
      <c r="E269" s="1" t="s">
        <v>41</v>
      </c>
      <c r="F269" s="1" t="s">
        <v>31</v>
      </c>
      <c r="G269">
        <v>42723000</v>
      </c>
      <c r="H269">
        <v>17523000</v>
      </c>
    </row>
    <row r="270" spans="1:8" x14ac:dyDescent="0.35">
      <c r="A270" s="1" t="s">
        <v>1187</v>
      </c>
      <c r="B270" s="1" t="s">
        <v>168</v>
      </c>
      <c r="C270" s="2">
        <v>45481</v>
      </c>
      <c r="D270" s="1" t="s">
        <v>1336</v>
      </c>
      <c r="E270" s="1" t="s">
        <v>41</v>
      </c>
      <c r="F270" s="1" t="s">
        <v>31</v>
      </c>
      <c r="G270">
        <v>3376000</v>
      </c>
      <c r="H270">
        <v>1376000</v>
      </c>
    </row>
    <row r="271" spans="1:8" x14ac:dyDescent="0.35">
      <c r="A271" s="1" t="s">
        <v>974</v>
      </c>
      <c r="B271" s="1" t="s">
        <v>248</v>
      </c>
      <c r="C271" s="2">
        <v>45521</v>
      </c>
      <c r="D271" s="1" t="s">
        <v>1336</v>
      </c>
      <c r="E271" s="1" t="s">
        <v>41</v>
      </c>
      <c r="F271" s="1" t="s">
        <v>31</v>
      </c>
      <c r="G271">
        <v>5310000</v>
      </c>
      <c r="H271">
        <v>1560000</v>
      </c>
    </row>
    <row r="272" spans="1:8" x14ac:dyDescent="0.35">
      <c r="A272" s="1" t="s">
        <v>1044</v>
      </c>
      <c r="B272" s="1" t="s">
        <v>240</v>
      </c>
      <c r="C272" s="2">
        <v>45469</v>
      </c>
      <c r="D272" s="1" t="s">
        <v>1317</v>
      </c>
      <c r="E272" s="1" t="s">
        <v>41</v>
      </c>
      <c r="F272" s="1" t="s">
        <v>31</v>
      </c>
      <c r="G272">
        <v>626000</v>
      </c>
      <c r="H272">
        <v>276000</v>
      </c>
    </row>
    <row r="273" spans="1:8" x14ac:dyDescent="0.35">
      <c r="A273" s="1" t="s">
        <v>1077</v>
      </c>
      <c r="B273" s="1" t="s">
        <v>109</v>
      </c>
      <c r="C273" s="2">
        <v>45580</v>
      </c>
      <c r="D273" s="1" t="s">
        <v>1358</v>
      </c>
      <c r="E273" s="1" t="s">
        <v>41</v>
      </c>
      <c r="F273" s="1" t="s">
        <v>31</v>
      </c>
      <c r="G273">
        <v>30438000</v>
      </c>
      <c r="H273">
        <v>12438000</v>
      </c>
    </row>
    <row r="274" spans="1:8" x14ac:dyDescent="0.35">
      <c r="A274" s="1" t="s">
        <v>238</v>
      </c>
      <c r="B274" s="1" t="s">
        <v>240</v>
      </c>
      <c r="C274" s="2">
        <v>45518</v>
      </c>
      <c r="D274" s="1" t="s">
        <v>1317</v>
      </c>
      <c r="E274" s="1" t="s">
        <v>41</v>
      </c>
      <c r="F274" s="1" t="s">
        <v>31</v>
      </c>
      <c r="G274">
        <v>2504000</v>
      </c>
      <c r="H274">
        <v>1104000</v>
      </c>
    </row>
    <row r="275" spans="1:8" x14ac:dyDescent="0.35">
      <c r="A275" s="1" t="s">
        <v>238</v>
      </c>
      <c r="B275" s="1" t="s">
        <v>137</v>
      </c>
      <c r="C275" s="2">
        <v>45518</v>
      </c>
      <c r="D275" s="1" t="s">
        <v>1311</v>
      </c>
      <c r="E275" s="1" t="s">
        <v>11</v>
      </c>
      <c r="F275" s="1" t="s">
        <v>31</v>
      </c>
      <c r="G275">
        <v>10132000</v>
      </c>
      <c r="H275">
        <v>2132000</v>
      </c>
    </row>
    <row r="276" spans="1:8" x14ac:dyDescent="0.35">
      <c r="A276" s="1" t="s">
        <v>483</v>
      </c>
      <c r="B276" s="1" t="s">
        <v>197</v>
      </c>
      <c r="C276" s="2">
        <v>45640</v>
      </c>
      <c r="D276" s="1" t="s">
        <v>1336</v>
      </c>
      <c r="E276" s="1" t="s">
        <v>11</v>
      </c>
      <c r="F276" s="1" t="s">
        <v>31</v>
      </c>
      <c r="G276">
        <v>11000000</v>
      </c>
      <c r="H276">
        <v>1400000</v>
      </c>
    </row>
    <row r="277" spans="1:8" x14ac:dyDescent="0.35">
      <c r="A277" s="1" t="s">
        <v>866</v>
      </c>
      <c r="B277" s="1" t="s">
        <v>197</v>
      </c>
      <c r="C277" s="2">
        <v>45564</v>
      </c>
      <c r="D277" s="1" t="s">
        <v>1336</v>
      </c>
      <c r="E277" s="1" t="s">
        <v>11</v>
      </c>
      <c r="F277" s="1" t="s">
        <v>31</v>
      </c>
      <c r="G277">
        <v>8250000</v>
      </c>
      <c r="H277">
        <v>1050000</v>
      </c>
    </row>
    <row r="278" spans="1:8" x14ac:dyDescent="0.35">
      <c r="A278" s="1" t="s">
        <v>1055</v>
      </c>
      <c r="B278" s="1" t="s">
        <v>133</v>
      </c>
      <c r="C278" s="2">
        <v>45639</v>
      </c>
      <c r="D278" s="1" t="s">
        <v>1330</v>
      </c>
      <c r="E278" s="1" t="s">
        <v>11</v>
      </c>
      <c r="F278" s="1" t="s">
        <v>31</v>
      </c>
      <c r="G278">
        <v>9240000</v>
      </c>
      <c r="H278">
        <v>1740000</v>
      </c>
    </row>
    <row r="279" spans="1:8" x14ac:dyDescent="0.35">
      <c r="A279" s="1" t="s">
        <v>257</v>
      </c>
      <c r="B279" s="1" t="s">
        <v>116</v>
      </c>
      <c r="C279" s="2">
        <v>45393</v>
      </c>
      <c r="D279" s="1" t="s">
        <v>1330</v>
      </c>
      <c r="E279" s="1" t="s">
        <v>1323</v>
      </c>
      <c r="F279" s="1" t="s">
        <v>31</v>
      </c>
      <c r="G279">
        <v>30184000</v>
      </c>
      <c r="H279">
        <v>10184000</v>
      </c>
    </row>
    <row r="280" spans="1:8" x14ac:dyDescent="0.35">
      <c r="A280" s="1" t="s">
        <v>385</v>
      </c>
      <c r="B280" s="1" t="s">
        <v>113</v>
      </c>
      <c r="C280" s="2">
        <v>45297</v>
      </c>
      <c r="D280" s="1" t="s">
        <v>1311</v>
      </c>
      <c r="E280" s="1" t="s">
        <v>1323</v>
      </c>
      <c r="F280" s="1" t="s">
        <v>31</v>
      </c>
      <c r="G280">
        <v>5522000</v>
      </c>
      <c r="H280">
        <v>1022000</v>
      </c>
    </row>
    <row r="281" spans="1:8" x14ac:dyDescent="0.35">
      <c r="A281" s="1" t="s">
        <v>863</v>
      </c>
      <c r="B281" s="1" t="s">
        <v>176</v>
      </c>
      <c r="C281" s="2">
        <v>45545</v>
      </c>
      <c r="D281" s="1" t="s">
        <v>1330</v>
      </c>
      <c r="E281" s="1" t="s">
        <v>1323</v>
      </c>
      <c r="F281" s="1" t="s">
        <v>31</v>
      </c>
      <c r="G281">
        <v>8860000</v>
      </c>
      <c r="H281">
        <v>1360000</v>
      </c>
    </row>
    <row r="282" spans="1:8" x14ac:dyDescent="0.35">
      <c r="A282" s="1" t="s">
        <v>1198</v>
      </c>
      <c r="B282" s="1" t="s">
        <v>116</v>
      </c>
      <c r="C282" s="2">
        <v>45482</v>
      </c>
      <c r="D282" s="1" t="s">
        <v>1330</v>
      </c>
      <c r="E282" s="1" t="s">
        <v>1323</v>
      </c>
      <c r="F282" s="1" t="s">
        <v>31</v>
      </c>
      <c r="G282">
        <v>105644000</v>
      </c>
      <c r="H282">
        <v>35644000</v>
      </c>
    </row>
    <row r="283" spans="1:8" x14ac:dyDescent="0.35">
      <c r="A283" s="1" t="s">
        <v>1288</v>
      </c>
      <c r="B283" s="1" t="s">
        <v>106</v>
      </c>
      <c r="C283" s="2">
        <v>45405</v>
      </c>
      <c r="D283" s="1" t="s">
        <v>1317</v>
      </c>
      <c r="E283" s="1" t="s">
        <v>1323</v>
      </c>
      <c r="F283" s="1" t="s">
        <v>31</v>
      </c>
      <c r="G283">
        <v>710000</v>
      </c>
      <c r="H283">
        <v>110000</v>
      </c>
    </row>
    <row r="284" spans="1:8" x14ac:dyDescent="0.35">
      <c r="A284" s="1" t="s">
        <v>393</v>
      </c>
      <c r="B284" s="1" t="s">
        <v>272</v>
      </c>
      <c r="C284" s="2">
        <v>45460</v>
      </c>
      <c r="D284" s="1" t="s">
        <v>1317</v>
      </c>
      <c r="E284" s="1" t="s">
        <v>1323</v>
      </c>
      <c r="F284" s="1" t="s">
        <v>31</v>
      </c>
      <c r="G284">
        <v>6669000</v>
      </c>
      <c r="H284">
        <v>819000</v>
      </c>
    </row>
    <row r="285" spans="1:8" x14ac:dyDescent="0.35">
      <c r="A285" s="1" t="s">
        <v>202</v>
      </c>
      <c r="B285" s="1" t="s">
        <v>113</v>
      </c>
      <c r="C285" s="2">
        <v>45505</v>
      </c>
      <c r="D285" s="1" t="s">
        <v>1311</v>
      </c>
      <c r="E285" s="1" t="s">
        <v>1323</v>
      </c>
      <c r="F285" s="1" t="s">
        <v>31</v>
      </c>
      <c r="G285">
        <v>71786000</v>
      </c>
      <c r="H285">
        <v>13286000</v>
      </c>
    </row>
    <row r="286" spans="1:8" x14ac:dyDescent="0.35">
      <c r="A286" s="1" t="s">
        <v>387</v>
      </c>
      <c r="B286" s="1" t="s">
        <v>173</v>
      </c>
      <c r="C286" s="2">
        <v>45329</v>
      </c>
      <c r="D286" s="1" t="s">
        <v>1317</v>
      </c>
      <c r="E286" s="1" t="s">
        <v>1323</v>
      </c>
      <c r="F286" s="1" t="s">
        <v>31</v>
      </c>
      <c r="G286">
        <v>920000</v>
      </c>
      <c r="H286">
        <v>120000</v>
      </c>
    </row>
    <row r="287" spans="1:8" x14ac:dyDescent="0.35">
      <c r="A287" s="1" t="s">
        <v>692</v>
      </c>
      <c r="B287" s="1" t="s">
        <v>106</v>
      </c>
      <c r="C287" s="2">
        <v>45524</v>
      </c>
      <c r="D287" s="1" t="s">
        <v>1317</v>
      </c>
      <c r="E287" s="1" t="s">
        <v>1323</v>
      </c>
      <c r="F287" s="1" t="s">
        <v>31</v>
      </c>
      <c r="G287">
        <v>3550000</v>
      </c>
      <c r="H287">
        <v>550000</v>
      </c>
    </row>
    <row r="288" spans="1:8" x14ac:dyDescent="0.35">
      <c r="A288" s="1" t="s">
        <v>666</v>
      </c>
      <c r="B288" s="1" t="s">
        <v>176</v>
      </c>
      <c r="C288" s="2">
        <v>45356</v>
      </c>
      <c r="D288" s="1" t="s">
        <v>1330</v>
      </c>
      <c r="E288" s="1" t="s">
        <v>1323</v>
      </c>
      <c r="F288" s="1" t="s">
        <v>31</v>
      </c>
      <c r="G288">
        <v>3544000</v>
      </c>
      <c r="H288">
        <v>544000</v>
      </c>
    </row>
    <row r="289" spans="1:8" x14ac:dyDescent="0.35">
      <c r="A289" s="1" t="s">
        <v>452</v>
      </c>
      <c r="B289" s="1" t="s">
        <v>111</v>
      </c>
      <c r="C289" s="2">
        <v>45652</v>
      </c>
      <c r="D289" s="1" t="s">
        <v>1311</v>
      </c>
      <c r="E289" s="1" t="s">
        <v>1323</v>
      </c>
      <c r="F289" s="1" t="s">
        <v>31</v>
      </c>
      <c r="G289">
        <v>55206000</v>
      </c>
      <c r="H289">
        <v>19206000</v>
      </c>
    </row>
    <row r="290" spans="1:8" x14ac:dyDescent="0.35">
      <c r="A290" s="1" t="s">
        <v>785</v>
      </c>
      <c r="B290" s="1" t="s">
        <v>172</v>
      </c>
      <c r="C290" s="2">
        <v>45342</v>
      </c>
      <c r="D290" s="1" t="s">
        <v>1330</v>
      </c>
      <c r="E290" s="1" t="s">
        <v>41</v>
      </c>
      <c r="F290" s="1" t="s">
        <v>75</v>
      </c>
      <c r="G290">
        <v>8245000</v>
      </c>
      <c r="H290">
        <v>3495000</v>
      </c>
    </row>
    <row r="291" spans="1:8" x14ac:dyDescent="0.35">
      <c r="A291" s="1" t="s">
        <v>832</v>
      </c>
      <c r="B291" s="1" t="s">
        <v>172</v>
      </c>
      <c r="C291" s="2">
        <v>45389</v>
      </c>
      <c r="D291" s="1" t="s">
        <v>1330</v>
      </c>
      <c r="E291" s="1" t="s">
        <v>41</v>
      </c>
      <c r="F291" s="1" t="s">
        <v>75</v>
      </c>
      <c r="G291">
        <v>9894000</v>
      </c>
      <c r="H291">
        <v>4194000</v>
      </c>
    </row>
    <row r="292" spans="1:8" x14ac:dyDescent="0.35">
      <c r="A292" s="1" t="s">
        <v>139</v>
      </c>
      <c r="B292" s="1" t="s">
        <v>141</v>
      </c>
      <c r="C292" s="2">
        <v>45502</v>
      </c>
      <c r="D292" s="1" t="s">
        <v>1330</v>
      </c>
      <c r="E292" s="1" t="s">
        <v>41</v>
      </c>
      <c r="F292" s="1" t="s">
        <v>75</v>
      </c>
      <c r="G292">
        <v>3738000</v>
      </c>
      <c r="H292">
        <v>1338000</v>
      </c>
    </row>
    <row r="293" spans="1:8" x14ac:dyDescent="0.35">
      <c r="A293" s="1" t="s">
        <v>1239</v>
      </c>
      <c r="B293" s="1" t="s">
        <v>168</v>
      </c>
      <c r="C293" s="2">
        <v>45625</v>
      </c>
      <c r="D293" s="1" t="s">
        <v>1336</v>
      </c>
      <c r="E293" s="1" t="s">
        <v>41</v>
      </c>
      <c r="F293" s="1" t="s">
        <v>75</v>
      </c>
      <c r="G293">
        <v>5908000</v>
      </c>
      <c r="H293">
        <v>2408000</v>
      </c>
    </row>
    <row r="294" spans="1:8" x14ac:dyDescent="0.35">
      <c r="A294" s="1" t="s">
        <v>830</v>
      </c>
      <c r="B294" s="1" t="s">
        <v>240</v>
      </c>
      <c r="C294" s="2">
        <v>45366</v>
      </c>
      <c r="D294" s="1" t="s">
        <v>1317</v>
      </c>
      <c r="E294" s="1" t="s">
        <v>41</v>
      </c>
      <c r="F294" s="1" t="s">
        <v>75</v>
      </c>
      <c r="G294">
        <v>3756000</v>
      </c>
      <c r="H294">
        <v>1656000</v>
      </c>
    </row>
    <row r="295" spans="1:8" x14ac:dyDescent="0.35">
      <c r="A295" s="1" t="s">
        <v>1294</v>
      </c>
      <c r="B295" s="1" t="s">
        <v>172</v>
      </c>
      <c r="C295" s="2">
        <v>45496</v>
      </c>
      <c r="D295" s="1" t="s">
        <v>1330</v>
      </c>
      <c r="E295" s="1" t="s">
        <v>41</v>
      </c>
      <c r="F295" s="1" t="s">
        <v>75</v>
      </c>
      <c r="G295">
        <v>14841000</v>
      </c>
      <c r="H295">
        <v>6291000</v>
      </c>
    </row>
    <row r="296" spans="1:8" x14ac:dyDescent="0.35">
      <c r="A296" s="1" t="s">
        <v>859</v>
      </c>
      <c r="B296" s="1" t="s">
        <v>172</v>
      </c>
      <c r="C296" s="2">
        <v>45524</v>
      </c>
      <c r="D296" s="1" t="s">
        <v>1330</v>
      </c>
      <c r="E296" s="1" t="s">
        <v>41</v>
      </c>
      <c r="F296" s="1" t="s">
        <v>75</v>
      </c>
      <c r="G296">
        <v>4947000</v>
      </c>
      <c r="H296">
        <v>2097000</v>
      </c>
    </row>
    <row r="297" spans="1:8" x14ac:dyDescent="0.35">
      <c r="A297" s="1" t="s">
        <v>1052</v>
      </c>
      <c r="B297" s="1" t="s">
        <v>172</v>
      </c>
      <c r="C297" s="2">
        <v>45298</v>
      </c>
      <c r="D297" s="1" t="s">
        <v>1330</v>
      </c>
      <c r="E297" s="1" t="s">
        <v>41</v>
      </c>
      <c r="F297" s="1" t="s">
        <v>75</v>
      </c>
      <c r="G297">
        <v>4947000</v>
      </c>
      <c r="H297">
        <v>2097000</v>
      </c>
    </row>
    <row r="298" spans="1:8" x14ac:dyDescent="0.35">
      <c r="A298" s="1" t="s">
        <v>570</v>
      </c>
      <c r="B298" s="1" t="s">
        <v>168</v>
      </c>
      <c r="C298" s="2">
        <v>45547</v>
      </c>
      <c r="D298" s="1" t="s">
        <v>1336</v>
      </c>
      <c r="E298" s="1" t="s">
        <v>41</v>
      </c>
      <c r="F298" s="1" t="s">
        <v>75</v>
      </c>
      <c r="G298">
        <v>6752000</v>
      </c>
      <c r="H298">
        <v>2752000</v>
      </c>
    </row>
    <row r="299" spans="1:8" x14ac:dyDescent="0.35">
      <c r="A299" s="1" t="s">
        <v>829</v>
      </c>
      <c r="B299" s="1" t="s">
        <v>109</v>
      </c>
      <c r="C299" s="2">
        <v>45592</v>
      </c>
      <c r="D299" s="1" t="s">
        <v>1358</v>
      </c>
      <c r="E299" s="1" t="s">
        <v>41</v>
      </c>
      <c r="F299" s="1" t="s">
        <v>75</v>
      </c>
      <c r="G299">
        <v>33820000</v>
      </c>
      <c r="H299">
        <v>13820000</v>
      </c>
    </row>
    <row r="300" spans="1:8" x14ac:dyDescent="0.35">
      <c r="A300" s="1" t="s">
        <v>440</v>
      </c>
      <c r="B300" s="1" t="s">
        <v>240</v>
      </c>
      <c r="C300" s="2">
        <v>45413</v>
      </c>
      <c r="D300" s="1" t="s">
        <v>1317</v>
      </c>
      <c r="E300" s="1" t="s">
        <v>41</v>
      </c>
      <c r="F300" s="1" t="s">
        <v>75</v>
      </c>
      <c r="G300">
        <v>1878000</v>
      </c>
      <c r="H300">
        <v>828000</v>
      </c>
    </row>
    <row r="301" spans="1:8" x14ac:dyDescent="0.35">
      <c r="A301" s="1" t="s">
        <v>1014</v>
      </c>
      <c r="B301" s="1" t="s">
        <v>240</v>
      </c>
      <c r="C301" s="2">
        <v>45439</v>
      </c>
      <c r="D301" s="1" t="s">
        <v>1317</v>
      </c>
      <c r="E301" s="1" t="s">
        <v>41</v>
      </c>
      <c r="F301" s="1" t="s">
        <v>75</v>
      </c>
      <c r="G301">
        <v>626000</v>
      </c>
      <c r="H301">
        <v>276000</v>
      </c>
    </row>
    <row r="302" spans="1:8" x14ac:dyDescent="0.35">
      <c r="A302" s="1" t="s">
        <v>819</v>
      </c>
      <c r="B302" s="1" t="s">
        <v>172</v>
      </c>
      <c r="C302" s="2">
        <v>45376</v>
      </c>
      <c r="D302" s="1" t="s">
        <v>1330</v>
      </c>
      <c r="E302" s="1" t="s">
        <v>41</v>
      </c>
      <c r="F302" s="1" t="s">
        <v>75</v>
      </c>
      <c r="G302">
        <v>23086000</v>
      </c>
      <c r="H302">
        <v>9786000</v>
      </c>
    </row>
    <row r="303" spans="1:8" x14ac:dyDescent="0.35">
      <c r="A303" s="1" t="s">
        <v>928</v>
      </c>
      <c r="B303" s="1" t="s">
        <v>141</v>
      </c>
      <c r="C303" s="2">
        <v>45533</v>
      </c>
      <c r="D303" s="1" t="s">
        <v>1330</v>
      </c>
      <c r="E303" s="1" t="s">
        <v>41</v>
      </c>
      <c r="F303" s="1" t="s">
        <v>75</v>
      </c>
      <c r="G303">
        <v>8722000</v>
      </c>
      <c r="H303">
        <v>3122000</v>
      </c>
    </row>
    <row r="304" spans="1:8" x14ac:dyDescent="0.35">
      <c r="A304" s="1" t="s">
        <v>1190</v>
      </c>
      <c r="B304" s="1" t="s">
        <v>248</v>
      </c>
      <c r="C304" s="2">
        <v>45458</v>
      </c>
      <c r="D304" s="1" t="s">
        <v>1336</v>
      </c>
      <c r="E304" s="1" t="s">
        <v>41</v>
      </c>
      <c r="F304" s="1" t="s">
        <v>75</v>
      </c>
      <c r="G304">
        <v>4248000</v>
      </c>
      <c r="H304">
        <v>1248000</v>
      </c>
    </row>
    <row r="305" spans="1:8" x14ac:dyDescent="0.35">
      <c r="A305" s="1" t="s">
        <v>195</v>
      </c>
      <c r="B305" s="1" t="s">
        <v>197</v>
      </c>
      <c r="C305" s="2">
        <v>45614</v>
      </c>
      <c r="D305" s="1" t="s">
        <v>1336</v>
      </c>
      <c r="E305" s="1" t="s">
        <v>11</v>
      </c>
      <c r="F305" s="1" t="s">
        <v>75</v>
      </c>
      <c r="G305">
        <v>19250000</v>
      </c>
      <c r="H305">
        <v>2450000</v>
      </c>
    </row>
    <row r="306" spans="1:8" x14ac:dyDescent="0.35">
      <c r="A306" s="1" t="s">
        <v>983</v>
      </c>
      <c r="B306" s="1" t="s">
        <v>191</v>
      </c>
      <c r="C306" s="2">
        <v>45544</v>
      </c>
      <c r="D306" s="1" t="s">
        <v>1311</v>
      </c>
      <c r="E306" s="1" t="s">
        <v>11</v>
      </c>
      <c r="F306" s="1" t="s">
        <v>75</v>
      </c>
      <c r="G306">
        <v>55852000</v>
      </c>
      <c r="H306">
        <v>7852000</v>
      </c>
    </row>
    <row r="307" spans="1:8" x14ac:dyDescent="0.35">
      <c r="A307" s="1" t="s">
        <v>244</v>
      </c>
      <c r="B307" s="1" t="s">
        <v>164</v>
      </c>
      <c r="C307" s="2">
        <v>45586</v>
      </c>
      <c r="D307" s="1" t="s">
        <v>1330</v>
      </c>
      <c r="E307" s="1" t="s">
        <v>11</v>
      </c>
      <c r="F307" s="1" t="s">
        <v>75</v>
      </c>
      <c r="G307">
        <v>2913000</v>
      </c>
      <c r="H307">
        <v>663000</v>
      </c>
    </row>
    <row r="308" spans="1:8" x14ac:dyDescent="0.35">
      <c r="A308" s="1" t="s">
        <v>664</v>
      </c>
      <c r="B308" s="1" t="s">
        <v>164</v>
      </c>
      <c r="C308" s="2">
        <v>45349</v>
      </c>
      <c r="D308" s="1" t="s">
        <v>1330</v>
      </c>
      <c r="E308" s="1" t="s">
        <v>11</v>
      </c>
      <c r="F308" s="1" t="s">
        <v>75</v>
      </c>
      <c r="G308">
        <v>1942000</v>
      </c>
      <c r="H308">
        <v>442000</v>
      </c>
    </row>
    <row r="309" spans="1:8" x14ac:dyDescent="0.35">
      <c r="A309" s="1" t="s">
        <v>1188</v>
      </c>
      <c r="B309" s="1" t="s">
        <v>164</v>
      </c>
      <c r="C309" s="2">
        <v>45424</v>
      </c>
      <c r="D309" s="1" t="s">
        <v>1330</v>
      </c>
      <c r="E309" s="1" t="s">
        <v>11</v>
      </c>
      <c r="F309" s="1" t="s">
        <v>75</v>
      </c>
      <c r="G309">
        <v>12623000</v>
      </c>
      <c r="H309">
        <v>2873000</v>
      </c>
    </row>
    <row r="310" spans="1:8" x14ac:dyDescent="0.35">
      <c r="A310" s="1" t="s">
        <v>200</v>
      </c>
      <c r="B310" s="1" t="s">
        <v>191</v>
      </c>
      <c r="C310" s="2">
        <v>45556</v>
      </c>
      <c r="D310" s="1" t="s">
        <v>1311</v>
      </c>
      <c r="E310" s="1" t="s">
        <v>11</v>
      </c>
      <c r="F310" s="1" t="s">
        <v>75</v>
      </c>
      <c r="G310">
        <v>83778000</v>
      </c>
      <c r="H310">
        <v>11778000</v>
      </c>
    </row>
    <row r="311" spans="1:8" x14ac:dyDescent="0.35">
      <c r="A311" s="1" t="s">
        <v>817</v>
      </c>
      <c r="B311" s="1" t="s">
        <v>133</v>
      </c>
      <c r="C311" s="2">
        <v>45372</v>
      </c>
      <c r="D311" s="1" t="s">
        <v>1330</v>
      </c>
      <c r="E311" s="1" t="s">
        <v>11</v>
      </c>
      <c r="F311" s="1" t="s">
        <v>75</v>
      </c>
      <c r="G311">
        <v>18480000</v>
      </c>
      <c r="H311">
        <v>3480000</v>
      </c>
    </row>
    <row r="312" spans="1:8" x14ac:dyDescent="0.35">
      <c r="A312" s="1" t="s">
        <v>205</v>
      </c>
      <c r="B312" s="1" t="s">
        <v>137</v>
      </c>
      <c r="C312" s="2">
        <v>45564</v>
      </c>
      <c r="D312" s="1" t="s">
        <v>1311</v>
      </c>
      <c r="E312" s="1" t="s">
        <v>11</v>
      </c>
      <c r="F312" s="1" t="s">
        <v>75</v>
      </c>
      <c r="G312">
        <v>15198000</v>
      </c>
      <c r="H312">
        <v>3198000</v>
      </c>
    </row>
    <row r="313" spans="1:8" x14ac:dyDescent="0.35">
      <c r="A313" s="1" t="s">
        <v>1235</v>
      </c>
      <c r="B313" s="1" t="s">
        <v>137</v>
      </c>
      <c r="C313" s="2">
        <v>45442</v>
      </c>
      <c r="D313" s="1" t="s">
        <v>1311</v>
      </c>
      <c r="E313" s="1" t="s">
        <v>11</v>
      </c>
      <c r="F313" s="1" t="s">
        <v>75</v>
      </c>
      <c r="G313">
        <v>37995000</v>
      </c>
      <c r="H313">
        <v>7995000</v>
      </c>
    </row>
    <row r="314" spans="1:8" x14ac:dyDescent="0.35">
      <c r="A314" s="1" t="s">
        <v>675</v>
      </c>
      <c r="B314" s="1" t="s">
        <v>164</v>
      </c>
      <c r="C314" s="2">
        <v>45312</v>
      </c>
      <c r="D314" s="1" t="s">
        <v>1330</v>
      </c>
      <c r="E314" s="1" t="s">
        <v>11</v>
      </c>
      <c r="F314" s="1" t="s">
        <v>75</v>
      </c>
      <c r="G314">
        <v>8739000</v>
      </c>
      <c r="H314">
        <v>1989000</v>
      </c>
    </row>
    <row r="315" spans="1:8" x14ac:dyDescent="0.35">
      <c r="A315" s="1" t="s">
        <v>897</v>
      </c>
      <c r="B315" s="1" t="s">
        <v>191</v>
      </c>
      <c r="C315" s="2">
        <v>45579</v>
      </c>
      <c r="D315" s="1" t="s">
        <v>1311</v>
      </c>
      <c r="E315" s="1" t="s">
        <v>11</v>
      </c>
      <c r="F315" s="1" t="s">
        <v>75</v>
      </c>
      <c r="G315">
        <v>167556000</v>
      </c>
      <c r="H315">
        <v>23556000</v>
      </c>
    </row>
    <row r="316" spans="1:8" x14ac:dyDescent="0.35">
      <c r="A316" s="1" t="s">
        <v>704</v>
      </c>
      <c r="B316" s="1" t="s">
        <v>133</v>
      </c>
      <c r="C316" s="2">
        <v>45532</v>
      </c>
      <c r="D316" s="1" t="s">
        <v>1330</v>
      </c>
      <c r="E316" s="1" t="s">
        <v>11</v>
      </c>
      <c r="F316" s="1" t="s">
        <v>75</v>
      </c>
      <c r="G316">
        <v>27720000</v>
      </c>
      <c r="H316">
        <v>5220000</v>
      </c>
    </row>
    <row r="317" spans="1:8" x14ac:dyDescent="0.35">
      <c r="A317" s="1" t="s">
        <v>779</v>
      </c>
      <c r="B317" s="1" t="s">
        <v>164</v>
      </c>
      <c r="C317" s="2">
        <v>45295</v>
      </c>
      <c r="D317" s="1" t="s">
        <v>1330</v>
      </c>
      <c r="E317" s="1" t="s">
        <v>11</v>
      </c>
      <c r="F317" s="1" t="s">
        <v>75</v>
      </c>
      <c r="G317">
        <v>2913000</v>
      </c>
      <c r="H317">
        <v>663000</v>
      </c>
    </row>
    <row r="318" spans="1:8" x14ac:dyDescent="0.35">
      <c r="A318" s="1" t="s">
        <v>251</v>
      </c>
      <c r="B318" s="1" t="s">
        <v>137</v>
      </c>
      <c r="C318" s="2">
        <v>45651</v>
      </c>
      <c r="D318" s="1" t="s">
        <v>1311</v>
      </c>
      <c r="E318" s="1" t="s">
        <v>11</v>
      </c>
      <c r="F318" s="1" t="s">
        <v>75</v>
      </c>
      <c r="G318">
        <v>37995000</v>
      </c>
      <c r="H318">
        <v>7995000</v>
      </c>
    </row>
    <row r="319" spans="1:8" x14ac:dyDescent="0.35">
      <c r="A319" s="1" t="s">
        <v>276</v>
      </c>
      <c r="B319" s="1" t="s">
        <v>111</v>
      </c>
      <c r="C319" s="2">
        <v>45606</v>
      </c>
      <c r="D319" s="1" t="s">
        <v>1311</v>
      </c>
      <c r="E319" s="1" t="s">
        <v>1323</v>
      </c>
      <c r="F319" s="1" t="s">
        <v>75</v>
      </c>
      <c r="G319">
        <v>110412000</v>
      </c>
      <c r="H319">
        <v>38412000</v>
      </c>
    </row>
    <row r="320" spans="1:8" x14ac:dyDescent="0.35">
      <c r="A320" s="1" t="s">
        <v>286</v>
      </c>
      <c r="B320" s="1" t="s">
        <v>106</v>
      </c>
      <c r="C320" s="2">
        <v>45581</v>
      </c>
      <c r="D320" s="1" t="s">
        <v>1317</v>
      </c>
      <c r="E320" s="1" t="s">
        <v>1323</v>
      </c>
      <c r="F320" s="1" t="s">
        <v>75</v>
      </c>
      <c r="G320">
        <v>1420000</v>
      </c>
      <c r="H320">
        <v>220000</v>
      </c>
    </row>
    <row r="321" spans="1:8" x14ac:dyDescent="0.35">
      <c r="A321" s="1" t="s">
        <v>799</v>
      </c>
      <c r="B321" s="1" t="s">
        <v>113</v>
      </c>
      <c r="C321" s="2">
        <v>45481</v>
      </c>
      <c r="D321" s="1" t="s">
        <v>1311</v>
      </c>
      <c r="E321" s="1" t="s">
        <v>1323</v>
      </c>
      <c r="F321" s="1" t="s">
        <v>75</v>
      </c>
      <c r="G321">
        <v>27610000</v>
      </c>
      <c r="H321">
        <v>5110000</v>
      </c>
    </row>
    <row r="322" spans="1:8" x14ac:dyDescent="0.35">
      <c r="A322" s="1" t="s">
        <v>215</v>
      </c>
      <c r="B322" s="1" t="s">
        <v>173</v>
      </c>
      <c r="C322" s="2">
        <v>45348</v>
      </c>
      <c r="D322" s="1" t="s">
        <v>1317</v>
      </c>
      <c r="E322" s="1" t="s">
        <v>1323</v>
      </c>
      <c r="F322" s="1" t="s">
        <v>75</v>
      </c>
      <c r="G322">
        <v>920000</v>
      </c>
      <c r="H322">
        <v>120000</v>
      </c>
    </row>
    <row r="323" spans="1:8" x14ac:dyDescent="0.35">
      <c r="A323" s="1" t="s">
        <v>1208</v>
      </c>
      <c r="B323" s="1" t="s">
        <v>113</v>
      </c>
      <c r="C323" s="2">
        <v>45529</v>
      </c>
      <c r="D323" s="1" t="s">
        <v>1311</v>
      </c>
      <c r="E323" s="1" t="s">
        <v>1323</v>
      </c>
      <c r="F323" s="1" t="s">
        <v>75</v>
      </c>
      <c r="G323">
        <v>33132000</v>
      </c>
      <c r="H323">
        <v>6132000</v>
      </c>
    </row>
    <row r="324" spans="1:8" x14ac:dyDescent="0.35">
      <c r="A324" s="1" t="s">
        <v>1159</v>
      </c>
      <c r="B324" s="1" t="s">
        <v>116</v>
      </c>
      <c r="C324" s="2">
        <v>45496</v>
      </c>
      <c r="D324" s="1" t="s">
        <v>1330</v>
      </c>
      <c r="E324" s="1" t="s">
        <v>1323</v>
      </c>
      <c r="F324" s="1" t="s">
        <v>75</v>
      </c>
      <c r="G324">
        <v>67914000</v>
      </c>
      <c r="H324">
        <v>22914000</v>
      </c>
    </row>
    <row r="325" spans="1:8" x14ac:dyDescent="0.35">
      <c r="A325" s="1" t="s">
        <v>1192</v>
      </c>
      <c r="B325" s="1" t="s">
        <v>272</v>
      </c>
      <c r="C325" s="2">
        <v>45412</v>
      </c>
      <c r="D325" s="1" t="s">
        <v>1317</v>
      </c>
      <c r="E325" s="1" t="s">
        <v>1323</v>
      </c>
      <c r="F325" s="1" t="s">
        <v>75</v>
      </c>
      <c r="G325">
        <v>10374000</v>
      </c>
      <c r="H325">
        <v>1274000</v>
      </c>
    </row>
    <row r="326" spans="1:8" x14ac:dyDescent="0.35">
      <c r="A326" s="1" t="s">
        <v>540</v>
      </c>
      <c r="B326" s="1" t="s">
        <v>272</v>
      </c>
      <c r="C326" s="2">
        <v>45607</v>
      </c>
      <c r="D326" s="1" t="s">
        <v>1317</v>
      </c>
      <c r="E326" s="1" t="s">
        <v>1323</v>
      </c>
      <c r="F326" s="1" t="s">
        <v>75</v>
      </c>
      <c r="G326">
        <v>6669000</v>
      </c>
      <c r="H326">
        <v>819000</v>
      </c>
    </row>
    <row r="327" spans="1:8" x14ac:dyDescent="0.35">
      <c r="A327" s="1" t="s">
        <v>640</v>
      </c>
      <c r="B327" s="1" t="s">
        <v>116</v>
      </c>
      <c r="C327" s="2">
        <v>45480</v>
      </c>
      <c r="D327" s="1" t="s">
        <v>1330</v>
      </c>
      <c r="E327" s="1" t="s">
        <v>1323</v>
      </c>
      <c r="F327" s="1" t="s">
        <v>75</v>
      </c>
      <c r="G327">
        <v>67914000</v>
      </c>
      <c r="H327">
        <v>22914000</v>
      </c>
    </row>
    <row r="328" spans="1:8" x14ac:dyDescent="0.35">
      <c r="A328" s="1" t="s">
        <v>889</v>
      </c>
      <c r="B328" s="1" t="s">
        <v>173</v>
      </c>
      <c r="C328" s="2">
        <v>45418</v>
      </c>
      <c r="D328" s="1" t="s">
        <v>1317</v>
      </c>
      <c r="E328" s="1" t="s">
        <v>1323</v>
      </c>
      <c r="F328" s="1" t="s">
        <v>75</v>
      </c>
      <c r="G328">
        <v>552000</v>
      </c>
      <c r="H328">
        <v>72000</v>
      </c>
    </row>
    <row r="329" spans="1:8" x14ac:dyDescent="0.35">
      <c r="A329" s="1" t="s">
        <v>1088</v>
      </c>
      <c r="B329" s="1" t="s">
        <v>116</v>
      </c>
      <c r="C329" s="2">
        <v>45360</v>
      </c>
      <c r="D329" s="1" t="s">
        <v>1330</v>
      </c>
      <c r="E329" s="1" t="s">
        <v>1323</v>
      </c>
      <c r="F329" s="1" t="s">
        <v>75</v>
      </c>
      <c r="G329">
        <v>15092000</v>
      </c>
      <c r="H329">
        <v>5092000</v>
      </c>
    </row>
    <row r="330" spans="1:8" x14ac:dyDescent="0.35">
      <c r="A330" s="1" t="s">
        <v>1048</v>
      </c>
      <c r="B330" s="1" t="s">
        <v>240</v>
      </c>
      <c r="C330" s="2">
        <v>45639</v>
      </c>
      <c r="D330" s="1" t="s">
        <v>1317</v>
      </c>
      <c r="E330" s="1" t="s">
        <v>41</v>
      </c>
      <c r="F330" s="1" t="s">
        <v>59</v>
      </c>
      <c r="G330">
        <v>8138000</v>
      </c>
      <c r="H330">
        <v>3588000</v>
      </c>
    </row>
    <row r="331" spans="1:8" x14ac:dyDescent="0.35">
      <c r="A331" s="1" t="s">
        <v>284</v>
      </c>
      <c r="B331" s="1" t="s">
        <v>168</v>
      </c>
      <c r="C331" s="2">
        <v>45354</v>
      </c>
      <c r="D331" s="1" t="s">
        <v>1336</v>
      </c>
      <c r="E331" s="1" t="s">
        <v>41</v>
      </c>
      <c r="F331" s="1" t="s">
        <v>59</v>
      </c>
      <c r="G331">
        <v>9284000</v>
      </c>
      <c r="H331">
        <v>3784000</v>
      </c>
    </row>
    <row r="332" spans="1:8" x14ac:dyDescent="0.35">
      <c r="A332" s="1" t="s">
        <v>369</v>
      </c>
      <c r="B332" s="1" t="s">
        <v>168</v>
      </c>
      <c r="C332" s="2">
        <v>45566</v>
      </c>
      <c r="D332" s="1" t="s">
        <v>1336</v>
      </c>
      <c r="E332" s="1" t="s">
        <v>41</v>
      </c>
      <c r="F332" s="1" t="s">
        <v>59</v>
      </c>
      <c r="G332">
        <v>7596000</v>
      </c>
      <c r="H332">
        <v>3096000</v>
      </c>
    </row>
    <row r="333" spans="1:8" x14ac:dyDescent="0.35">
      <c r="A333" s="1" t="s">
        <v>367</v>
      </c>
      <c r="B333" s="1" t="s">
        <v>248</v>
      </c>
      <c r="C333" s="2">
        <v>45338</v>
      </c>
      <c r="D333" s="1" t="s">
        <v>1336</v>
      </c>
      <c r="E333" s="1" t="s">
        <v>41</v>
      </c>
      <c r="F333" s="1" t="s">
        <v>59</v>
      </c>
      <c r="G333">
        <v>2478000</v>
      </c>
      <c r="H333">
        <v>728000</v>
      </c>
    </row>
    <row r="334" spans="1:8" x14ac:dyDescent="0.35">
      <c r="A334" s="1" t="s">
        <v>1003</v>
      </c>
      <c r="B334" s="1" t="s">
        <v>149</v>
      </c>
      <c r="C334" s="2">
        <v>45453</v>
      </c>
      <c r="D334" s="1" t="s">
        <v>1317</v>
      </c>
      <c r="E334" s="1" t="s">
        <v>41</v>
      </c>
      <c r="F334" s="1" t="s">
        <v>59</v>
      </c>
      <c r="G334">
        <v>2028000</v>
      </c>
      <c r="H334">
        <v>828000</v>
      </c>
    </row>
    <row r="335" spans="1:8" x14ac:dyDescent="0.35">
      <c r="A335" s="1" t="s">
        <v>1280</v>
      </c>
      <c r="B335" s="1" t="s">
        <v>172</v>
      </c>
      <c r="C335" s="2">
        <v>45652</v>
      </c>
      <c r="D335" s="1" t="s">
        <v>1330</v>
      </c>
      <c r="E335" s="1" t="s">
        <v>41</v>
      </c>
      <c r="F335" s="1" t="s">
        <v>59</v>
      </c>
      <c r="G335">
        <v>16490000</v>
      </c>
      <c r="H335">
        <v>6990000</v>
      </c>
    </row>
    <row r="336" spans="1:8" x14ac:dyDescent="0.35">
      <c r="A336" s="1" t="s">
        <v>637</v>
      </c>
      <c r="B336" s="1" t="s">
        <v>141</v>
      </c>
      <c r="C336" s="2">
        <v>45517</v>
      </c>
      <c r="D336" s="1" t="s">
        <v>1330</v>
      </c>
      <c r="E336" s="1" t="s">
        <v>41</v>
      </c>
      <c r="F336" s="1" t="s">
        <v>59</v>
      </c>
      <c r="G336">
        <v>6230000</v>
      </c>
      <c r="H336">
        <v>2230000</v>
      </c>
    </row>
    <row r="337" spans="1:8" x14ac:dyDescent="0.35">
      <c r="A337" s="1" t="s">
        <v>1266</v>
      </c>
      <c r="B337" s="1" t="s">
        <v>240</v>
      </c>
      <c r="C337" s="2">
        <v>45453</v>
      </c>
      <c r="D337" s="1" t="s">
        <v>1317</v>
      </c>
      <c r="E337" s="1" t="s">
        <v>41</v>
      </c>
      <c r="F337" s="1" t="s">
        <v>59</v>
      </c>
      <c r="G337">
        <v>4382000</v>
      </c>
      <c r="H337">
        <v>1932000</v>
      </c>
    </row>
    <row r="338" spans="1:8" x14ac:dyDescent="0.35">
      <c r="A338" s="1" t="s">
        <v>917</v>
      </c>
      <c r="B338" s="1" t="s">
        <v>109</v>
      </c>
      <c r="C338" s="2">
        <v>45574</v>
      </c>
      <c r="D338" s="1" t="s">
        <v>1358</v>
      </c>
      <c r="E338" s="1" t="s">
        <v>41</v>
      </c>
      <c r="F338" s="1" t="s">
        <v>59</v>
      </c>
      <c r="G338">
        <v>10146000</v>
      </c>
      <c r="H338">
        <v>4146000</v>
      </c>
    </row>
    <row r="339" spans="1:8" x14ac:dyDescent="0.35">
      <c r="A339" s="1" t="s">
        <v>734</v>
      </c>
      <c r="B339" s="1" t="s">
        <v>188</v>
      </c>
      <c r="C339" s="2">
        <v>45302</v>
      </c>
      <c r="D339" s="1" t="s">
        <v>1311</v>
      </c>
      <c r="E339" s="1" t="s">
        <v>41</v>
      </c>
      <c r="F339" s="1" t="s">
        <v>59</v>
      </c>
      <c r="G339">
        <v>47470000</v>
      </c>
      <c r="H339">
        <v>19470000</v>
      </c>
    </row>
    <row r="340" spans="1:8" x14ac:dyDescent="0.35">
      <c r="A340" s="1" t="s">
        <v>1270</v>
      </c>
      <c r="B340" s="1" t="s">
        <v>168</v>
      </c>
      <c r="C340" s="2">
        <v>45409</v>
      </c>
      <c r="D340" s="1" t="s">
        <v>1336</v>
      </c>
      <c r="E340" s="1" t="s">
        <v>41</v>
      </c>
      <c r="F340" s="1" t="s">
        <v>59</v>
      </c>
      <c r="G340">
        <v>3376000</v>
      </c>
      <c r="H340">
        <v>1376000</v>
      </c>
    </row>
    <row r="341" spans="1:8" x14ac:dyDescent="0.35">
      <c r="A341" s="1" t="s">
        <v>1157</v>
      </c>
      <c r="B341" s="1" t="s">
        <v>188</v>
      </c>
      <c r="C341" s="2">
        <v>45611</v>
      </c>
      <c r="D341" s="1" t="s">
        <v>1311</v>
      </c>
      <c r="E341" s="1" t="s">
        <v>41</v>
      </c>
      <c r="F341" s="1" t="s">
        <v>59</v>
      </c>
      <c r="G341">
        <v>4747000</v>
      </c>
      <c r="H341">
        <v>1947000</v>
      </c>
    </row>
    <row r="342" spans="1:8" x14ac:dyDescent="0.35">
      <c r="A342" s="1" t="s">
        <v>335</v>
      </c>
      <c r="B342" s="1" t="s">
        <v>172</v>
      </c>
      <c r="C342" s="2">
        <v>45353</v>
      </c>
      <c r="D342" s="1" t="s">
        <v>1330</v>
      </c>
      <c r="E342" s="1" t="s">
        <v>41</v>
      </c>
      <c r="F342" s="1" t="s">
        <v>59</v>
      </c>
      <c r="G342">
        <v>19788000</v>
      </c>
      <c r="H342">
        <v>8388000</v>
      </c>
    </row>
    <row r="343" spans="1:8" x14ac:dyDescent="0.35">
      <c r="A343" s="1" t="s">
        <v>730</v>
      </c>
      <c r="B343" s="1" t="s">
        <v>168</v>
      </c>
      <c r="C343" s="2">
        <v>45630</v>
      </c>
      <c r="D343" s="1" t="s">
        <v>1336</v>
      </c>
      <c r="E343" s="1" t="s">
        <v>41</v>
      </c>
      <c r="F343" s="1" t="s">
        <v>59</v>
      </c>
      <c r="G343">
        <v>12660000</v>
      </c>
      <c r="H343">
        <v>5160000</v>
      </c>
    </row>
    <row r="344" spans="1:8" x14ac:dyDescent="0.35">
      <c r="A344" s="1" t="s">
        <v>670</v>
      </c>
      <c r="B344" s="1" t="s">
        <v>168</v>
      </c>
      <c r="C344" s="2">
        <v>45311</v>
      </c>
      <c r="D344" s="1" t="s">
        <v>1336</v>
      </c>
      <c r="E344" s="1" t="s">
        <v>41</v>
      </c>
      <c r="F344" s="1" t="s">
        <v>59</v>
      </c>
      <c r="G344">
        <v>8440000</v>
      </c>
      <c r="H344">
        <v>3440000</v>
      </c>
    </row>
    <row r="345" spans="1:8" x14ac:dyDescent="0.35">
      <c r="A345" s="1" t="s">
        <v>1022</v>
      </c>
      <c r="B345" s="1" t="s">
        <v>109</v>
      </c>
      <c r="C345" s="2">
        <v>45555</v>
      </c>
      <c r="D345" s="1" t="s">
        <v>1358</v>
      </c>
      <c r="E345" s="1" t="s">
        <v>41</v>
      </c>
      <c r="F345" s="1" t="s">
        <v>59</v>
      </c>
      <c r="G345">
        <v>20292000</v>
      </c>
      <c r="H345">
        <v>8292000</v>
      </c>
    </row>
    <row r="346" spans="1:8" x14ac:dyDescent="0.35">
      <c r="A346" s="1" t="s">
        <v>742</v>
      </c>
      <c r="B346" s="1" t="s">
        <v>141</v>
      </c>
      <c r="C346" s="2">
        <v>45421</v>
      </c>
      <c r="D346" s="1" t="s">
        <v>1330</v>
      </c>
      <c r="E346" s="1" t="s">
        <v>41</v>
      </c>
      <c r="F346" s="1" t="s">
        <v>59</v>
      </c>
      <c r="G346">
        <v>6853000</v>
      </c>
      <c r="H346">
        <v>2453000</v>
      </c>
    </row>
    <row r="347" spans="1:8" x14ac:dyDescent="0.35">
      <c r="A347" s="1" t="s">
        <v>337</v>
      </c>
      <c r="B347" s="1" t="s">
        <v>188</v>
      </c>
      <c r="C347" s="2">
        <v>45383</v>
      </c>
      <c r="D347" s="1" t="s">
        <v>1311</v>
      </c>
      <c r="E347" s="1" t="s">
        <v>41</v>
      </c>
      <c r="F347" s="1" t="s">
        <v>59</v>
      </c>
      <c r="G347">
        <v>14241000</v>
      </c>
      <c r="H347">
        <v>5841000</v>
      </c>
    </row>
    <row r="348" spans="1:8" x14ac:dyDescent="0.35">
      <c r="A348" s="1" t="s">
        <v>754</v>
      </c>
      <c r="B348" s="1" t="s">
        <v>240</v>
      </c>
      <c r="C348" s="2">
        <v>45480</v>
      </c>
      <c r="D348" s="1" t="s">
        <v>1317</v>
      </c>
      <c r="E348" s="1" t="s">
        <v>41</v>
      </c>
      <c r="F348" s="1" t="s">
        <v>59</v>
      </c>
      <c r="G348">
        <v>7512000</v>
      </c>
      <c r="H348">
        <v>3312000</v>
      </c>
    </row>
    <row r="349" spans="1:8" x14ac:dyDescent="0.35">
      <c r="A349" s="1" t="s">
        <v>1237</v>
      </c>
      <c r="B349" s="1" t="s">
        <v>141</v>
      </c>
      <c r="C349" s="2">
        <v>45300</v>
      </c>
      <c r="D349" s="1" t="s">
        <v>1330</v>
      </c>
      <c r="E349" s="1" t="s">
        <v>41</v>
      </c>
      <c r="F349" s="1" t="s">
        <v>59</v>
      </c>
      <c r="G349">
        <v>7476000</v>
      </c>
      <c r="H349">
        <v>2676000</v>
      </c>
    </row>
    <row r="350" spans="1:8" x14ac:dyDescent="0.35">
      <c r="A350" s="1" t="s">
        <v>637</v>
      </c>
      <c r="B350" s="1" t="s">
        <v>109</v>
      </c>
      <c r="C350" s="2">
        <v>45517</v>
      </c>
      <c r="D350" s="1" t="s">
        <v>1358</v>
      </c>
      <c r="E350" s="1" t="s">
        <v>41</v>
      </c>
      <c r="F350" s="1" t="s">
        <v>59</v>
      </c>
      <c r="G350">
        <v>33820000</v>
      </c>
      <c r="H350">
        <v>13820000</v>
      </c>
    </row>
    <row r="351" spans="1:8" x14ac:dyDescent="0.35">
      <c r="A351" s="1" t="s">
        <v>401</v>
      </c>
      <c r="B351" s="1" t="s">
        <v>137</v>
      </c>
      <c r="C351" s="2">
        <v>45302</v>
      </c>
      <c r="D351" s="1" t="s">
        <v>1311</v>
      </c>
      <c r="E351" s="1" t="s">
        <v>11</v>
      </c>
      <c r="F351" s="1" t="s">
        <v>59</v>
      </c>
      <c r="G351">
        <v>27863000</v>
      </c>
      <c r="H351">
        <v>5863000</v>
      </c>
    </row>
    <row r="352" spans="1:8" x14ac:dyDescent="0.35">
      <c r="A352" s="1" t="s">
        <v>637</v>
      </c>
      <c r="B352" s="1" t="s">
        <v>639</v>
      </c>
      <c r="C352" s="2">
        <v>45517</v>
      </c>
      <c r="D352" s="1" t="s">
        <v>1311</v>
      </c>
      <c r="E352" s="1" t="s">
        <v>11</v>
      </c>
      <c r="F352" s="1" t="s">
        <v>59</v>
      </c>
      <c r="G352">
        <v>104090000</v>
      </c>
      <c r="H352">
        <v>34090000</v>
      </c>
    </row>
    <row r="353" spans="1:8" x14ac:dyDescent="0.35">
      <c r="A353" s="1" t="s">
        <v>319</v>
      </c>
      <c r="B353" s="1" t="s">
        <v>191</v>
      </c>
      <c r="C353" s="2">
        <v>45347</v>
      </c>
      <c r="D353" s="1" t="s">
        <v>1311</v>
      </c>
      <c r="E353" s="1" t="s">
        <v>11</v>
      </c>
      <c r="F353" s="1" t="s">
        <v>59</v>
      </c>
      <c r="G353">
        <v>195482000</v>
      </c>
      <c r="H353">
        <v>27482000</v>
      </c>
    </row>
    <row r="354" spans="1:8" x14ac:dyDescent="0.35">
      <c r="A354" s="1" t="s">
        <v>1194</v>
      </c>
      <c r="B354" s="1" t="s">
        <v>191</v>
      </c>
      <c r="C354" s="2">
        <v>45371</v>
      </c>
      <c r="D354" s="1" t="s">
        <v>1311</v>
      </c>
      <c r="E354" s="1" t="s">
        <v>11</v>
      </c>
      <c r="F354" s="1" t="s">
        <v>59</v>
      </c>
      <c r="G354">
        <v>153593000</v>
      </c>
      <c r="H354">
        <v>21593000</v>
      </c>
    </row>
    <row r="355" spans="1:8" x14ac:dyDescent="0.35">
      <c r="A355" s="1" t="s">
        <v>997</v>
      </c>
      <c r="B355" s="1" t="s">
        <v>133</v>
      </c>
      <c r="C355" s="2">
        <v>45365</v>
      </c>
      <c r="D355" s="1" t="s">
        <v>1330</v>
      </c>
      <c r="E355" s="1" t="s">
        <v>11</v>
      </c>
      <c r="F355" s="1" t="s">
        <v>59</v>
      </c>
      <c r="G355">
        <v>27720000</v>
      </c>
      <c r="H355">
        <v>5220000</v>
      </c>
    </row>
    <row r="356" spans="1:8" x14ac:dyDescent="0.35">
      <c r="A356" s="1" t="s">
        <v>331</v>
      </c>
      <c r="B356" s="1" t="s">
        <v>191</v>
      </c>
      <c r="C356" s="2">
        <v>45377</v>
      </c>
      <c r="D356" s="1" t="s">
        <v>1311</v>
      </c>
      <c r="E356" s="1" t="s">
        <v>11</v>
      </c>
      <c r="F356" s="1" t="s">
        <v>59</v>
      </c>
      <c r="G356">
        <v>139630000</v>
      </c>
      <c r="H356">
        <v>19630000</v>
      </c>
    </row>
    <row r="357" spans="1:8" x14ac:dyDescent="0.35">
      <c r="A357" s="1" t="s">
        <v>407</v>
      </c>
      <c r="B357" s="1" t="s">
        <v>164</v>
      </c>
      <c r="C357" s="2">
        <v>45617</v>
      </c>
      <c r="D357" s="1" t="s">
        <v>1330</v>
      </c>
      <c r="E357" s="1" t="s">
        <v>11</v>
      </c>
      <c r="F357" s="1" t="s">
        <v>59</v>
      </c>
      <c r="G357">
        <v>2913000</v>
      </c>
      <c r="H357">
        <v>663000</v>
      </c>
    </row>
    <row r="358" spans="1:8" x14ac:dyDescent="0.35">
      <c r="A358" s="1" t="s">
        <v>1254</v>
      </c>
      <c r="B358" s="1" t="s">
        <v>116</v>
      </c>
      <c r="C358" s="2">
        <v>45304</v>
      </c>
      <c r="D358" s="1" t="s">
        <v>1330</v>
      </c>
      <c r="E358" s="1" t="s">
        <v>1323</v>
      </c>
      <c r="F358" s="1" t="s">
        <v>59</v>
      </c>
      <c r="G358">
        <v>52822000</v>
      </c>
      <c r="H358">
        <v>17822000</v>
      </c>
    </row>
    <row r="359" spans="1:8" x14ac:dyDescent="0.35">
      <c r="A359" s="1" t="s">
        <v>728</v>
      </c>
      <c r="B359" s="1" t="s">
        <v>176</v>
      </c>
      <c r="C359" s="2">
        <v>45519</v>
      </c>
      <c r="D359" s="1" t="s">
        <v>1330</v>
      </c>
      <c r="E359" s="1" t="s">
        <v>1323</v>
      </c>
      <c r="F359" s="1" t="s">
        <v>59</v>
      </c>
      <c r="G359">
        <v>14176000</v>
      </c>
      <c r="H359">
        <v>2176000</v>
      </c>
    </row>
    <row r="360" spans="1:8" x14ac:dyDescent="0.35">
      <c r="A360" s="1" t="s">
        <v>221</v>
      </c>
      <c r="B360" s="1" t="s">
        <v>111</v>
      </c>
      <c r="C360" s="2">
        <v>45500</v>
      </c>
      <c r="D360" s="1" t="s">
        <v>1311</v>
      </c>
      <c r="E360" s="1" t="s">
        <v>1323</v>
      </c>
      <c r="F360" s="1" t="s">
        <v>59</v>
      </c>
      <c r="G360">
        <v>276030000</v>
      </c>
      <c r="H360">
        <v>96030000</v>
      </c>
    </row>
    <row r="361" spans="1:8" x14ac:dyDescent="0.35">
      <c r="A361" s="1" t="s">
        <v>209</v>
      </c>
      <c r="B361" s="1" t="s">
        <v>111</v>
      </c>
      <c r="C361" s="2">
        <v>45651</v>
      </c>
      <c r="D361" s="1" t="s">
        <v>1311</v>
      </c>
      <c r="E361" s="1" t="s">
        <v>1323</v>
      </c>
      <c r="F361" s="1" t="s">
        <v>59</v>
      </c>
      <c r="G361">
        <v>248427000</v>
      </c>
      <c r="H361">
        <v>86427000</v>
      </c>
    </row>
    <row r="362" spans="1:8" x14ac:dyDescent="0.35">
      <c r="A362" s="1" t="s">
        <v>598</v>
      </c>
      <c r="B362" s="1" t="s">
        <v>173</v>
      </c>
      <c r="C362" s="2">
        <v>45553</v>
      </c>
      <c r="D362" s="1" t="s">
        <v>1317</v>
      </c>
      <c r="E362" s="1" t="s">
        <v>1323</v>
      </c>
      <c r="F362" s="1" t="s">
        <v>59</v>
      </c>
      <c r="G362">
        <v>552000</v>
      </c>
      <c r="H362">
        <v>72000</v>
      </c>
    </row>
    <row r="363" spans="1:8" x14ac:dyDescent="0.35">
      <c r="A363" s="1" t="s">
        <v>223</v>
      </c>
      <c r="B363" s="1" t="s">
        <v>113</v>
      </c>
      <c r="C363" s="2">
        <v>45644</v>
      </c>
      <c r="D363" s="1" t="s">
        <v>1311</v>
      </c>
      <c r="E363" s="1" t="s">
        <v>1323</v>
      </c>
      <c r="F363" s="1" t="s">
        <v>59</v>
      </c>
      <c r="G363">
        <v>44176000</v>
      </c>
      <c r="H363">
        <v>8176000</v>
      </c>
    </row>
    <row r="364" spans="1:8" x14ac:dyDescent="0.35">
      <c r="A364" s="1" t="s">
        <v>622</v>
      </c>
      <c r="B364" s="1" t="s">
        <v>176</v>
      </c>
      <c r="C364" s="2">
        <v>45479</v>
      </c>
      <c r="D364" s="1" t="s">
        <v>1330</v>
      </c>
      <c r="E364" s="1" t="s">
        <v>1323</v>
      </c>
      <c r="F364" s="1" t="s">
        <v>59</v>
      </c>
      <c r="G364">
        <v>8860000</v>
      </c>
      <c r="H364">
        <v>1360000</v>
      </c>
    </row>
    <row r="365" spans="1:8" x14ac:dyDescent="0.35">
      <c r="A365" s="1" t="s">
        <v>1262</v>
      </c>
      <c r="B365" s="1" t="s">
        <v>113</v>
      </c>
      <c r="C365" s="2">
        <v>45642</v>
      </c>
      <c r="D365" s="1" t="s">
        <v>1311</v>
      </c>
      <c r="E365" s="1" t="s">
        <v>1323</v>
      </c>
      <c r="F365" s="1" t="s">
        <v>59</v>
      </c>
      <c r="G365">
        <v>16566000</v>
      </c>
      <c r="H365">
        <v>3066000</v>
      </c>
    </row>
    <row r="366" spans="1:8" x14ac:dyDescent="0.35">
      <c r="A366" s="1" t="s">
        <v>600</v>
      </c>
      <c r="B366" s="1" t="s">
        <v>168</v>
      </c>
      <c r="C366" s="2">
        <v>45383</v>
      </c>
      <c r="D366" s="1" t="s">
        <v>1336</v>
      </c>
      <c r="E366" s="1" t="s">
        <v>41</v>
      </c>
      <c r="F366" s="1" t="s">
        <v>11</v>
      </c>
      <c r="G366">
        <v>1688000</v>
      </c>
      <c r="H366">
        <v>688000</v>
      </c>
    </row>
    <row r="367" spans="1:8" x14ac:dyDescent="0.35">
      <c r="A367" s="1" t="s">
        <v>1016</v>
      </c>
      <c r="B367" s="1" t="s">
        <v>109</v>
      </c>
      <c r="C367" s="2">
        <v>45615</v>
      </c>
      <c r="D367" s="1" t="s">
        <v>1358</v>
      </c>
      <c r="E367" s="1" t="s">
        <v>41</v>
      </c>
      <c r="F367" s="1" t="s">
        <v>11</v>
      </c>
      <c r="G367">
        <v>23674000</v>
      </c>
      <c r="H367">
        <v>9674000</v>
      </c>
    </row>
    <row r="368" spans="1:8" x14ac:dyDescent="0.35">
      <c r="A368" s="1" t="s">
        <v>317</v>
      </c>
      <c r="B368" s="1" t="s">
        <v>172</v>
      </c>
      <c r="C368" s="2">
        <v>45624</v>
      </c>
      <c r="D368" s="1" t="s">
        <v>1330</v>
      </c>
      <c r="E368" s="1" t="s">
        <v>41</v>
      </c>
      <c r="F368" s="1" t="s">
        <v>11</v>
      </c>
      <c r="G368">
        <v>16490000</v>
      </c>
      <c r="H368">
        <v>6990000</v>
      </c>
    </row>
    <row r="369" spans="1:8" x14ac:dyDescent="0.35">
      <c r="A369" s="1" t="s">
        <v>1173</v>
      </c>
      <c r="B369" s="1" t="s">
        <v>188</v>
      </c>
      <c r="C369" s="2">
        <v>45444</v>
      </c>
      <c r="D369" s="1" t="s">
        <v>1311</v>
      </c>
      <c r="E369" s="1" t="s">
        <v>41</v>
      </c>
      <c r="F369" s="1" t="s">
        <v>11</v>
      </c>
      <c r="G369">
        <v>4747000</v>
      </c>
      <c r="H369">
        <v>1947000</v>
      </c>
    </row>
    <row r="370" spans="1:8" x14ac:dyDescent="0.35">
      <c r="A370" s="1" t="s">
        <v>914</v>
      </c>
      <c r="B370" s="1" t="s">
        <v>172</v>
      </c>
      <c r="C370" s="2">
        <v>45388</v>
      </c>
      <c r="D370" s="1" t="s">
        <v>1330</v>
      </c>
      <c r="E370" s="1" t="s">
        <v>41</v>
      </c>
      <c r="F370" s="1" t="s">
        <v>11</v>
      </c>
      <c r="G370">
        <v>16490000</v>
      </c>
      <c r="H370">
        <v>6990000</v>
      </c>
    </row>
    <row r="371" spans="1:8" x14ac:dyDescent="0.35">
      <c r="A371" s="1" t="s">
        <v>893</v>
      </c>
      <c r="B371" s="1" t="s">
        <v>149</v>
      </c>
      <c r="C371" s="2">
        <v>45421</v>
      </c>
      <c r="D371" s="1" t="s">
        <v>1317</v>
      </c>
      <c r="E371" s="1" t="s">
        <v>41</v>
      </c>
      <c r="F371" s="1" t="s">
        <v>11</v>
      </c>
      <c r="G371">
        <v>2366000</v>
      </c>
      <c r="H371">
        <v>966000</v>
      </c>
    </row>
    <row r="372" spans="1:8" x14ac:dyDescent="0.35">
      <c r="A372" s="1" t="s">
        <v>1227</v>
      </c>
      <c r="B372" s="1" t="s">
        <v>149</v>
      </c>
      <c r="C372" s="2">
        <v>45499</v>
      </c>
      <c r="D372" s="1" t="s">
        <v>1317</v>
      </c>
      <c r="E372" s="1" t="s">
        <v>41</v>
      </c>
      <c r="F372" s="1" t="s">
        <v>11</v>
      </c>
      <c r="G372">
        <v>2197000</v>
      </c>
      <c r="H372">
        <v>897000</v>
      </c>
    </row>
    <row r="373" spans="1:8" x14ac:dyDescent="0.35">
      <c r="A373" s="1" t="s">
        <v>604</v>
      </c>
      <c r="B373" s="1" t="s">
        <v>188</v>
      </c>
      <c r="C373" s="2">
        <v>45488</v>
      </c>
      <c r="D373" s="1" t="s">
        <v>1311</v>
      </c>
      <c r="E373" s="1" t="s">
        <v>41</v>
      </c>
      <c r="F373" s="1" t="s">
        <v>11</v>
      </c>
      <c r="G373">
        <v>9494000</v>
      </c>
      <c r="H373">
        <v>3894000</v>
      </c>
    </row>
    <row r="374" spans="1:8" x14ac:dyDescent="0.35">
      <c r="A374" s="1" t="s">
        <v>325</v>
      </c>
      <c r="B374" s="1" t="s">
        <v>141</v>
      </c>
      <c r="C374" s="2">
        <v>45396</v>
      </c>
      <c r="D374" s="1" t="s">
        <v>1330</v>
      </c>
      <c r="E374" s="1" t="s">
        <v>41</v>
      </c>
      <c r="F374" s="1" t="s">
        <v>11</v>
      </c>
      <c r="G374">
        <v>9345000</v>
      </c>
      <c r="H374">
        <v>3345000</v>
      </c>
    </row>
    <row r="375" spans="1:8" x14ac:dyDescent="0.35">
      <c r="A375" s="1" t="s">
        <v>497</v>
      </c>
      <c r="B375" s="1" t="s">
        <v>149</v>
      </c>
      <c r="C375" s="2">
        <v>45545</v>
      </c>
      <c r="D375" s="1" t="s">
        <v>1317</v>
      </c>
      <c r="E375" s="1" t="s">
        <v>41</v>
      </c>
      <c r="F375" s="1" t="s">
        <v>11</v>
      </c>
      <c r="G375">
        <v>2535000</v>
      </c>
      <c r="H375">
        <v>1035000</v>
      </c>
    </row>
    <row r="376" spans="1:8" x14ac:dyDescent="0.35">
      <c r="A376" s="1" t="s">
        <v>901</v>
      </c>
      <c r="B376" s="1" t="s">
        <v>109</v>
      </c>
      <c r="C376" s="2">
        <v>45547</v>
      </c>
      <c r="D376" s="1" t="s">
        <v>1358</v>
      </c>
      <c r="E376" s="1" t="s">
        <v>41</v>
      </c>
      <c r="F376" s="1" t="s">
        <v>11</v>
      </c>
      <c r="G376">
        <v>50730000</v>
      </c>
      <c r="H376">
        <v>20730000</v>
      </c>
    </row>
    <row r="377" spans="1:8" x14ac:dyDescent="0.35">
      <c r="A377" s="1" t="s">
        <v>1258</v>
      </c>
      <c r="B377" s="1" t="s">
        <v>172</v>
      </c>
      <c r="C377" s="2">
        <v>45469</v>
      </c>
      <c r="D377" s="1" t="s">
        <v>1330</v>
      </c>
      <c r="E377" s="1" t="s">
        <v>41</v>
      </c>
      <c r="F377" s="1" t="s">
        <v>11</v>
      </c>
      <c r="G377">
        <v>21437000</v>
      </c>
      <c r="H377">
        <v>9087000</v>
      </c>
    </row>
    <row r="378" spans="1:8" x14ac:dyDescent="0.35">
      <c r="A378" s="1" t="s">
        <v>485</v>
      </c>
      <c r="B378" s="1" t="s">
        <v>141</v>
      </c>
      <c r="C378" s="2">
        <v>45332</v>
      </c>
      <c r="D378" s="1" t="s">
        <v>1330</v>
      </c>
      <c r="E378" s="1" t="s">
        <v>41</v>
      </c>
      <c r="F378" s="1" t="s">
        <v>11</v>
      </c>
      <c r="G378">
        <v>6230000</v>
      </c>
      <c r="H378">
        <v>2230000</v>
      </c>
    </row>
    <row r="379" spans="1:8" x14ac:dyDescent="0.35">
      <c r="A379" s="1" t="s">
        <v>1256</v>
      </c>
      <c r="B379" s="1" t="s">
        <v>141</v>
      </c>
      <c r="C379" s="2">
        <v>45324</v>
      </c>
      <c r="D379" s="1" t="s">
        <v>1330</v>
      </c>
      <c r="E379" s="1" t="s">
        <v>41</v>
      </c>
      <c r="F379" s="1" t="s">
        <v>11</v>
      </c>
      <c r="G379">
        <v>3738000</v>
      </c>
      <c r="H379">
        <v>1338000</v>
      </c>
    </row>
    <row r="380" spans="1:8" x14ac:dyDescent="0.35">
      <c r="A380" s="1" t="s">
        <v>341</v>
      </c>
      <c r="B380" s="1" t="s">
        <v>109</v>
      </c>
      <c r="C380" s="2">
        <v>45533</v>
      </c>
      <c r="D380" s="1" t="s">
        <v>1358</v>
      </c>
      <c r="E380" s="1" t="s">
        <v>41</v>
      </c>
      <c r="F380" s="1" t="s">
        <v>11</v>
      </c>
      <c r="G380">
        <v>13528000</v>
      </c>
      <c r="H380">
        <v>5528000</v>
      </c>
    </row>
    <row r="381" spans="1:8" x14ac:dyDescent="0.35">
      <c r="A381" s="1" t="s">
        <v>914</v>
      </c>
      <c r="B381" s="1" t="s">
        <v>168</v>
      </c>
      <c r="C381" s="2">
        <v>45388</v>
      </c>
      <c r="D381" s="1" t="s">
        <v>1336</v>
      </c>
      <c r="E381" s="1" t="s">
        <v>41</v>
      </c>
      <c r="F381" s="1" t="s">
        <v>11</v>
      </c>
      <c r="G381">
        <v>8440000</v>
      </c>
      <c r="H381">
        <v>3440000</v>
      </c>
    </row>
    <row r="382" spans="1:8" x14ac:dyDescent="0.35">
      <c r="A382" s="1" t="s">
        <v>618</v>
      </c>
      <c r="B382" s="1" t="s">
        <v>149</v>
      </c>
      <c r="C382" s="2">
        <v>45463</v>
      </c>
      <c r="D382" s="1" t="s">
        <v>1317</v>
      </c>
      <c r="E382" s="1" t="s">
        <v>41</v>
      </c>
      <c r="F382" s="1" t="s">
        <v>11</v>
      </c>
      <c r="G382">
        <v>2535000</v>
      </c>
      <c r="H382">
        <v>1035000</v>
      </c>
    </row>
    <row r="383" spans="1:8" x14ac:dyDescent="0.35">
      <c r="A383" s="1" t="s">
        <v>914</v>
      </c>
      <c r="B383" s="1" t="s">
        <v>109</v>
      </c>
      <c r="C383" s="2">
        <v>45388</v>
      </c>
      <c r="D383" s="1" t="s">
        <v>1358</v>
      </c>
      <c r="E383" s="1" t="s">
        <v>41</v>
      </c>
      <c r="F383" s="1" t="s">
        <v>11</v>
      </c>
      <c r="G383">
        <v>33820000</v>
      </c>
      <c r="H383">
        <v>13820000</v>
      </c>
    </row>
    <row r="384" spans="1:8" x14ac:dyDescent="0.35">
      <c r="A384" s="1" t="s">
        <v>914</v>
      </c>
      <c r="B384" s="1" t="s">
        <v>248</v>
      </c>
      <c r="C384" s="2">
        <v>45388</v>
      </c>
      <c r="D384" s="1" t="s">
        <v>1336</v>
      </c>
      <c r="E384" s="1" t="s">
        <v>41</v>
      </c>
      <c r="F384" s="1" t="s">
        <v>11</v>
      </c>
      <c r="G384">
        <v>3540000</v>
      </c>
      <c r="H384">
        <v>1040000</v>
      </c>
    </row>
    <row r="385" spans="1:8" x14ac:dyDescent="0.35">
      <c r="A385" s="1" t="s">
        <v>999</v>
      </c>
      <c r="B385" s="1" t="s">
        <v>168</v>
      </c>
      <c r="C385" s="2">
        <v>45621</v>
      </c>
      <c r="D385" s="1" t="s">
        <v>1336</v>
      </c>
      <c r="E385" s="1" t="s">
        <v>41</v>
      </c>
      <c r="F385" s="1" t="s">
        <v>11</v>
      </c>
      <c r="G385">
        <v>6752000</v>
      </c>
      <c r="H385">
        <v>2752000</v>
      </c>
    </row>
    <row r="386" spans="1:8" x14ac:dyDescent="0.35">
      <c r="A386" s="1" t="s">
        <v>290</v>
      </c>
      <c r="B386" s="1" t="s">
        <v>168</v>
      </c>
      <c r="C386" s="2">
        <v>45354</v>
      </c>
      <c r="D386" s="1" t="s">
        <v>1336</v>
      </c>
      <c r="E386" s="1" t="s">
        <v>41</v>
      </c>
      <c r="F386" s="1" t="s">
        <v>11</v>
      </c>
      <c r="G386">
        <v>2532000</v>
      </c>
      <c r="H386">
        <v>1032000</v>
      </c>
    </row>
    <row r="387" spans="1:8" x14ac:dyDescent="0.35">
      <c r="A387" s="1" t="s">
        <v>981</v>
      </c>
      <c r="B387" s="1" t="s">
        <v>109</v>
      </c>
      <c r="C387" s="2">
        <v>45371</v>
      </c>
      <c r="D387" s="1" t="s">
        <v>1358</v>
      </c>
      <c r="E387" s="1" t="s">
        <v>41</v>
      </c>
      <c r="F387" s="1" t="s">
        <v>11</v>
      </c>
      <c r="G387">
        <v>40584000</v>
      </c>
      <c r="H387">
        <v>16584000</v>
      </c>
    </row>
    <row r="388" spans="1:8" x14ac:dyDescent="0.35">
      <c r="A388" s="1" t="s">
        <v>914</v>
      </c>
      <c r="B388" s="1" t="s">
        <v>141</v>
      </c>
      <c r="C388" s="2">
        <v>45388</v>
      </c>
      <c r="D388" s="1" t="s">
        <v>1330</v>
      </c>
      <c r="E388" s="1" t="s">
        <v>41</v>
      </c>
      <c r="F388" s="1" t="s">
        <v>11</v>
      </c>
      <c r="G388">
        <v>6230000</v>
      </c>
      <c r="H388">
        <v>2230000</v>
      </c>
    </row>
    <row r="389" spans="1:8" x14ac:dyDescent="0.35">
      <c r="A389" s="1" t="s">
        <v>838</v>
      </c>
      <c r="B389" s="1" t="s">
        <v>188</v>
      </c>
      <c r="C389" s="2">
        <v>45450</v>
      </c>
      <c r="D389" s="1" t="s">
        <v>1311</v>
      </c>
      <c r="E389" s="1" t="s">
        <v>41</v>
      </c>
      <c r="F389" s="1" t="s">
        <v>11</v>
      </c>
      <c r="G389">
        <v>56964000</v>
      </c>
      <c r="H389">
        <v>23364000</v>
      </c>
    </row>
    <row r="390" spans="1:8" x14ac:dyDescent="0.35">
      <c r="A390" s="1" t="s">
        <v>351</v>
      </c>
      <c r="B390" s="1" t="s">
        <v>168</v>
      </c>
      <c r="C390" s="2">
        <v>45627</v>
      </c>
      <c r="D390" s="1" t="s">
        <v>1336</v>
      </c>
      <c r="E390" s="1" t="s">
        <v>41</v>
      </c>
      <c r="F390" s="1" t="s">
        <v>11</v>
      </c>
      <c r="G390">
        <v>11816000</v>
      </c>
      <c r="H390">
        <v>4816000</v>
      </c>
    </row>
    <row r="391" spans="1:8" x14ac:dyDescent="0.35">
      <c r="A391" s="1" t="s">
        <v>403</v>
      </c>
      <c r="B391" s="1" t="s">
        <v>141</v>
      </c>
      <c r="C391" s="2">
        <v>45401</v>
      </c>
      <c r="D391" s="1" t="s">
        <v>1330</v>
      </c>
      <c r="E391" s="1" t="s">
        <v>41</v>
      </c>
      <c r="F391" s="1" t="s">
        <v>11</v>
      </c>
      <c r="G391">
        <v>4361000</v>
      </c>
      <c r="H391">
        <v>1561000</v>
      </c>
    </row>
    <row r="392" spans="1:8" x14ac:dyDescent="0.35">
      <c r="A392" s="1" t="s">
        <v>1292</v>
      </c>
      <c r="B392" s="1" t="s">
        <v>149</v>
      </c>
      <c r="C392" s="2">
        <v>45636</v>
      </c>
      <c r="D392" s="1" t="s">
        <v>1317</v>
      </c>
      <c r="E392" s="1" t="s">
        <v>41</v>
      </c>
      <c r="F392" s="1" t="s">
        <v>11</v>
      </c>
      <c r="G392">
        <v>169000</v>
      </c>
      <c r="H392">
        <v>69000</v>
      </c>
    </row>
    <row r="393" spans="1:8" x14ac:dyDescent="0.35">
      <c r="A393" s="1" t="s">
        <v>566</v>
      </c>
      <c r="B393" s="1" t="s">
        <v>172</v>
      </c>
      <c r="C393" s="2">
        <v>45557</v>
      </c>
      <c r="D393" s="1" t="s">
        <v>1330</v>
      </c>
      <c r="E393" s="1" t="s">
        <v>41</v>
      </c>
      <c r="F393" s="1" t="s">
        <v>11</v>
      </c>
      <c r="G393">
        <v>19788000</v>
      </c>
      <c r="H393">
        <v>8388000</v>
      </c>
    </row>
    <row r="394" spans="1:8" x14ac:dyDescent="0.35">
      <c r="A394" s="1" t="s">
        <v>756</v>
      </c>
      <c r="B394" s="1" t="s">
        <v>248</v>
      </c>
      <c r="C394" s="2">
        <v>45325</v>
      </c>
      <c r="D394" s="1" t="s">
        <v>1336</v>
      </c>
      <c r="E394" s="1" t="s">
        <v>41</v>
      </c>
      <c r="F394" s="1" t="s">
        <v>11</v>
      </c>
      <c r="G394">
        <v>4602000</v>
      </c>
      <c r="H394">
        <v>1352000</v>
      </c>
    </row>
    <row r="395" spans="1:8" x14ac:dyDescent="0.35">
      <c r="A395" s="1" t="s">
        <v>1151</v>
      </c>
      <c r="B395" s="1" t="s">
        <v>188</v>
      </c>
      <c r="C395" s="2">
        <v>45566</v>
      </c>
      <c r="D395" s="1" t="s">
        <v>1311</v>
      </c>
      <c r="E395" s="1" t="s">
        <v>41</v>
      </c>
      <c r="F395" s="1" t="s">
        <v>11</v>
      </c>
      <c r="G395">
        <v>47470000</v>
      </c>
      <c r="H395">
        <v>19470000</v>
      </c>
    </row>
    <row r="396" spans="1:8" x14ac:dyDescent="0.35">
      <c r="A396" s="1" t="s">
        <v>750</v>
      </c>
      <c r="B396" s="1" t="s">
        <v>240</v>
      </c>
      <c r="C396" s="2">
        <v>45474</v>
      </c>
      <c r="D396" s="1" t="s">
        <v>1317</v>
      </c>
      <c r="E396" s="1" t="s">
        <v>41</v>
      </c>
      <c r="F396" s="1" t="s">
        <v>11</v>
      </c>
      <c r="G396">
        <v>8138000</v>
      </c>
      <c r="H396">
        <v>3588000</v>
      </c>
    </row>
    <row r="397" spans="1:8" x14ac:dyDescent="0.35">
      <c r="A397" s="1" t="s">
        <v>748</v>
      </c>
      <c r="B397" s="1" t="s">
        <v>149</v>
      </c>
      <c r="C397" s="2">
        <v>45499</v>
      </c>
      <c r="D397" s="1" t="s">
        <v>1317</v>
      </c>
      <c r="E397" s="1" t="s">
        <v>41</v>
      </c>
      <c r="F397" s="1" t="s">
        <v>11</v>
      </c>
      <c r="G397">
        <v>507000</v>
      </c>
      <c r="H397">
        <v>207000</v>
      </c>
    </row>
    <row r="398" spans="1:8" x14ac:dyDescent="0.35">
      <c r="A398" s="1" t="s">
        <v>1295</v>
      </c>
      <c r="B398" s="1" t="s">
        <v>168</v>
      </c>
      <c r="C398" s="2">
        <v>45424</v>
      </c>
      <c r="D398" s="1" t="s">
        <v>1336</v>
      </c>
      <c r="E398" s="1" t="s">
        <v>41</v>
      </c>
      <c r="F398" s="1" t="s">
        <v>11</v>
      </c>
      <c r="G398">
        <v>8440000</v>
      </c>
      <c r="H398">
        <v>3440000</v>
      </c>
    </row>
    <row r="399" spans="1:8" x14ac:dyDescent="0.35">
      <c r="A399" s="1" t="s">
        <v>558</v>
      </c>
      <c r="B399" s="1" t="s">
        <v>188</v>
      </c>
      <c r="C399" s="2">
        <v>45544</v>
      </c>
      <c r="D399" s="1" t="s">
        <v>1311</v>
      </c>
      <c r="E399" s="1" t="s">
        <v>41</v>
      </c>
      <c r="F399" s="1" t="s">
        <v>11</v>
      </c>
      <c r="G399">
        <v>61711000</v>
      </c>
      <c r="H399">
        <v>25311000</v>
      </c>
    </row>
    <row r="400" spans="1:8" x14ac:dyDescent="0.35">
      <c r="A400" s="1" t="s">
        <v>735</v>
      </c>
      <c r="B400" s="1" t="s">
        <v>149</v>
      </c>
      <c r="C400" s="2">
        <v>45354</v>
      </c>
      <c r="D400" s="1" t="s">
        <v>1317</v>
      </c>
      <c r="E400" s="1" t="s">
        <v>41</v>
      </c>
      <c r="F400" s="1" t="s">
        <v>11</v>
      </c>
      <c r="G400">
        <v>676000</v>
      </c>
      <c r="H400">
        <v>276000</v>
      </c>
    </row>
    <row r="401" spans="1:8" x14ac:dyDescent="0.35">
      <c r="A401" s="1" t="s">
        <v>186</v>
      </c>
      <c r="B401" s="1" t="s">
        <v>188</v>
      </c>
      <c r="C401" s="2">
        <v>45416</v>
      </c>
      <c r="D401" s="1" t="s">
        <v>1311</v>
      </c>
      <c r="E401" s="1" t="s">
        <v>41</v>
      </c>
      <c r="F401" s="1" t="s">
        <v>11</v>
      </c>
      <c r="G401">
        <v>71205000</v>
      </c>
      <c r="H401">
        <v>29205000</v>
      </c>
    </row>
    <row r="402" spans="1:8" x14ac:dyDescent="0.35">
      <c r="A402" s="1" t="s">
        <v>1124</v>
      </c>
      <c r="B402" s="1" t="s">
        <v>109</v>
      </c>
      <c r="C402" s="2">
        <v>45636</v>
      </c>
      <c r="D402" s="1" t="s">
        <v>1358</v>
      </c>
      <c r="E402" s="1" t="s">
        <v>41</v>
      </c>
      <c r="F402" s="1" t="s">
        <v>11</v>
      </c>
      <c r="G402">
        <v>3382000</v>
      </c>
      <c r="H402">
        <v>1382000</v>
      </c>
    </row>
    <row r="403" spans="1:8" x14ac:dyDescent="0.35">
      <c r="A403" s="1" t="s">
        <v>147</v>
      </c>
      <c r="B403" s="1" t="s">
        <v>149</v>
      </c>
      <c r="C403" s="2">
        <v>45604</v>
      </c>
      <c r="D403" s="1" t="s">
        <v>1317</v>
      </c>
      <c r="E403" s="1" t="s">
        <v>41</v>
      </c>
      <c r="F403" s="1" t="s">
        <v>11</v>
      </c>
      <c r="G403">
        <v>1521000</v>
      </c>
      <c r="H403">
        <v>621000</v>
      </c>
    </row>
    <row r="404" spans="1:8" x14ac:dyDescent="0.35">
      <c r="A404" s="1" t="s">
        <v>119</v>
      </c>
      <c r="B404" s="1" t="s">
        <v>109</v>
      </c>
      <c r="C404" s="2">
        <v>45335</v>
      </c>
      <c r="D404" s="1" t="s">
        <v>1358</v>
      </c>
      <c r="E404" s="1" t="s">
        <v>41</v>
      </c>
      <c r="F404" s="1" t="s">
        <v>11</v>
      </c>
      <c r="G404">
        <v>13528000</v>
      </c>
      <c r="H404">
        <v>5528000</v>
      </c>
    </row>
    <row r="405" spans="1:8" x14ac:dyDescent="0.35">
      <c r="A405" s="1" t="s">
        <v>677</v>
      </c>
      <c r="B405" s="1" t="s">
        <v>188</v>
      </c>
      <c r="C405" s="2">
        <v>45624</v>
      </c>
      <c r="D405" s="1" t="s">
        <v>1311</v>
      </c>
      <c r="E405" s="1" t="s">
        <v>41</v>
      </c>
      <c r="F405" s="1" t="s">
        <v>11</v>
      </c>
      <c r="G405">
        <v>14241000</v>
      </c>
      <c r="H405">
        <v>5841000</v>
      </c>
    </row>
    <row r="406" spans="1:8" x14ac:dyDescent="0.35">
      <c r="A406" s="1" t="s">
        <v>1219</v>
      </c>
      <c r="B406" s="1" t="s">
        <v>188</v>
      </c>
      <c r="C406" s="2">
        <v>45307</v>
      </c>
      <c r="D406" s="1" t="s">
        <v>1311</v>
      </c>
      <c r="E406" s="1" t="s">
        <v>41</v>
      </c>
      <c r="F406" s="1" t="s">
        <v>11</v>
      </c>
      <c r="G406">
        <v>14241000</v>
      </c>
      <c r="H406">
        <v>5841000</v>
      </c>
    </row>
    <row r="407" spans="1:8" x14ac:dyDescent="0.35">
      <c r="A407" s="1" t="s">
        <v>684</v>
      </c>
      <c r="B407" s="1" t="s">
        <v>168</v>
      </c>
      <c r="C407" s="2">
        <v>45552</v>
      </c>
      <c r="D407" s="1" t="s">
        <v>1336</v>
      </c>
      <c r="E407" s="1" t="s">
        <v>41</v>
      </c>
      <c r="F407" s="1" t="s">
        <v>11</v>
      </c>
      <c r="G407">
        <v>8440000</v>
      </c>
      <c r="H407">
        <v>3440000</v>
      </c>
    </row>
    <row r="408" spans="1:8" x14ac:dyDescent="0.35">
      <c r="A408" s="1" t="s">
        <v>448</v>
      </c>
      <c r="B408" s="1" t="s">
        <v>172</v>
      </c>
      <c r="C408" s="2">
        <v>45354</v>
      </c>
      <c r="D408" s="1" t="s">
        <v>1330</v>
      </c>
      <c r="E408" s="1" t="s">
        <v>41</v>
      </c>
      <c r="F408" s="1" t="s">
        <v>11</v>
      </c>
      <c r="G408">
        <v>4947000</v>
      </c>
      <c r="H408">
        <v>2097000</v>
      </c>
    </row>
    <row r="409" spans="1:8" x14ac:dyDescent="0.35">
      <c r="A409" s="1" t="s">
        <v>697</v>
      </c>
      <c r="B409" s="1" t="s">
        <v>168</v>
      </c>
      <c r="C409" s="2">
        <v>45615</v>
      </c>
      <c r="D409" s="1" t="s">
        <v>1336</v>
      </c>
      <c r="E409" s="1" t="s">
        <v>41</v>
      </c>
      <c r="F409" s="1" t="s">
        <v>11</v>
      </c>
      <c r="G409">
        <v>1688000</v>
      </c>
      <c r="H409">
        <v>688000</v>
      </c>
    </row>
    <row r="410" spans="1:8" x14ac:dyDescent="0.35">
      <c r="A410" s="1" t="s">
        <v>1092</v>
      </c>
      <c r="B410" s="1" t="s">
        <v>172</v>
      </c>
      <c r="C410" s="2">
        <v>45627</v>
      </c>
      <c r="D410" s="1" t="s">
        <v>1330</v>
      </c>
      <c r="E410" s="1" t="s">
        <v>41</v>
      </c>
      <c r="F410" s="1" t="s">
        <v>11</v>
      </c>
      <c r="G410">
        <v>18139000</v>
      </c>
      <c r="H410">
        <v>7689000</v>
      </c>
    </row>
    <row r="411" spans="1:8" x14ac:dyDescent="0.35">
      <c r="A411" s="1" t="s">
        <v>795</v>
      </c>
      <c r="B411" s="1" t="s">
        <v>141</v>
      </c>
      <c r="C411" s="2">
        <v>45412</v>
      </c>
      <c r="D411" s="1" t="s">
        <v>1330</v>
      </c>
      <c r="E411" s="1" t="s">
        <v>41</v>
      </c>
      <c r="F411" s="1" t="s">
        <v>11</v>
      </c>
      <c r="G411">
        <v>8099000</v>
      </c>
      <c r="H411">
        <v>2899000</v>
      </c>
    </row>
    <row r="412" spans="1:8" x14ac:dyDescent="0.35">
      <c r="A412" s="1" t="s">
        <v>783</v>
      </c>
      <c r="B412" s="1" t="s">
        <v>188</v>
      </c>
      <c r="C412" s="2">
        <v>45379</v>
      </c>
      <c r="D412" s="1" t="s">
        <v>1311</v>
      </c>
      <c r="E412" s="1" t="s">
        <v>41</v>
      </c>
      <c r="F412" s="1" t="s">
        <v>11</v>
      </c>
      <c r="G412">
        <v>71205000</v>
      </c>
      <c r="H412">
        <v>29205000</v>
      </c>
    </row>
    <row r="413" spans="1:8" x14ac:dyDescent="0.35">
      <c r="A413" s="1" t="s">
        <v>464</v>
      </c>
      <c r="B413" s="1" t="s">
        <v>149</v>
      </c>
      <c r="C413" s="2">
        <v>45393</v>
      </c>
      <c r="D413" s="1" t="s">
        <v>1317</v>
      </c>
      <c r="E413" s="1" t="s">
        <v>41</v>
      </c>
      <c r="F413" s="1" t="s">
        <v>11</v>
      </c>
      <c r="G413">
        <v>1521000</v>
      </c>
      <c r="H413">
        <v>621000</v>
      </c>
    </row>
    <row r="414" spans="1:8" x14ac:dyDescent="0.35">
      <c r="A414" s="1" t="s">
        <v>878</v>
      </c>
      <c r="B414" s="1" t="s">
        <v>188</v>
      </c>
      <c r="C414" s="2">
        <v>45301</v>
      </c>
      <c r="D414" s="1" t="s">
        <v>1311</v>
      </c>
      <c r="E414" s="1" t="s">
        <v>41</v>
      </c>
      <c r="F414" s="1" t="s">
        <v>11</v>
      </c>
      <c r="G414">
        <v>14241000</v>
      </c>
      <c r="H414">
        <v>5841000</v>
      </c>
    </row>
    <row r="415" spans="1:8" x14ac:dyDescent="0.35">
      <c r="A415" s="1" t="s">
        <v>1026</v>
      </c>
      <c r="B415" s="1" t="s">
        <v>168</v>
      </c>
      <c r="C415" s="2">
        <v>45430</v>
      </c>
      <c r="D415" s="1" t="s">
        <v>1336</v>
      </c>
      <c r="E415" s="1" t="s">
        <v>41</v>
      </c>
      <c r="F415" s="1" t="s">
        <v>11</v>
      </c>
      <c r="G415">
        <v>2532000</v>
      </c>
      <c r="H415">
        <v>1032000</v>
      </c>
    </row>
    <row r="416" spans="1:8" x14ac:dyDescent="0.35">
      <c r="A416" s="1" t="s">
        <v>1036</v>
      </c>
      <c r="B416" s="1" t="s">
        <v>240</v>
      </c>
      <c r="C416" s="2">
        <v>45329</v>
      </c>
      <c r="D416" s="1" t="s">
        <v>1317</v>
      </c>
      <c r="E416" s="1" t="s">
        <v>41</v>
      </c>
      <c r="F416" s="1" t="s">
        <v>11</v>
      </c>
      <c r="G416">
        <v>9390000</v>
      </c>
      <c r="H416">
        <v>4140000</v>
      </c>
    </row>
    <row r="417" spans="1:8" x14ac:dyDescent="0.35">
      <c r="A417" s="1" t="s">
        <v>262</v>
      </c>
      <c r="B417" s="1" t="s">
        <v>240</v>
      </c>
      <c r="C417" s="2">
        <v>45641</v>
      </c>
      <c r="D417" s="1" t="s">
        <v>1317</v>
      </c>
      <c r="E417" s="1" t="s">
        <v>41</v>
      </c>
      <c r="F417" s="1" t="s">
        <v>11</v>
      </c>
      <c r="G417">
        <v>5634000</v>
      </c>
      <c r="H417">
        <v>2484000</v>
      </c>
    </row>
    <row r="418" spans="1:8" x14ac:dyDescent="0.35">
      <c r="A418" s="1" t="s">
        <v>361</v>
      </c>
      <c r="B418" s="1" t="s">
        <v>109</v>
      </c>
      <c r="C418" s="2">
        <v>45328</v>
      </c>
      <c r="D418" s="1" t="s">
        <v>1358</v>
      </c>
      <c r="E418" s="1" t="s">
        <v>41</v>
      </c>
      <c r="F418" s="1" t="s">
        <v>11</v>
      </c>
      <c r="G418">
        <v>50730000</v>
      </c>
      <c r="H418">
        <v>20730000</v>
      </c>
    </row>
    <row r="419" spans="1:8" x14ac:dyDescent="0.35">
      <c r="A419" s="1" t="s">
        <v>586</v>
      </c>
      <c r="B419" s="1" t="s">
        <v>168</v>
      </c>
      <c r="C419" s="2">
        <v>45344</v>
      </c>
      <c r="D419" s="1" t="s">
        <v>1336</v>
      </c>
      <c r="E419" s="1" t="s">
        <v>41</v>
      </c>
      <c r="F419" s="1" t="s">
        <v>11</v>
      </c>
      <c r="G419">
        <v>1688000</v>
      </c>
      <c r="H419">
        <v>688000</v>
      </c>
    </row>
    <row r="420" spans="1:8" x14ac:dyDescent="0.35">
      <c r="A420" s="1" t="s">
        <v>660</v>
      </c>
      <c r="B420" s="1" t="s">
        <v>172</v>
      </c>
      <c r="C420" s="2">
        <v>45656</v>
      </c>
      <c r="D420" s="1" t="s">
        <v>1330</v>
      </c>
      <c r="E420" s="1" t="s">
        <v>41</v>
      </c>
      <c r="F420" s="1" t="s">
        <v>11</v>
      </c>
      <c r="G420">
        <v>4947000</v>
      </c>
      <c r="H420">
        <v>2097000</v>
      </c>
    </row>
    <row r="421" spans="1:8" x14ac:dyDescent="0.35">
      <c r="A421" s="1" t="s">
        <v>849</v>
      </c>
      <c r="B421" s="1" t="s">
        <v>240</v>
      </c>
      <c r="C421" s="2">
        <v>45583</v>
      </c>
      <c r="D421" s="1" t="s">
        <v>1317</v>
      </c>
      <c r="E421" s="1" t="s">
        <v>41</v>
      </c>
      <c r="F421" s="1" t="s">
        <v>11</v>
      </c>
      <c r="G421">
        <v>626000</v>
      </c>
      <c r="H421">
        <v>276000</v>
      </c>
    </row>
    <row r="422" spans="1:8" x14ac:dyDescent="0.35">
      <c r="A422" s="1" t="s">
        <v>847</v>
      </c>
      <c r="B422" s="1" t="s">
        <v>149</v>
      </c>
      <c r="C422" s="2">
        <v>45299</v>
      </c>
      <c r="D422" s="1" t="s">
        <v>1317</v>
      </c>
      <c r="E422" s="1" t="s">
        <v>41</v>
      </c>
      <c r="F422" s="1" t="s">
        <v>11</v>
      </c>
      <c r="G422">
        <v>169000</v>
      </c>
      <c r="H422">
        <v>69000</v>
      </c>
    </row>
    <row r="423" spans="1:8" x14ac:dyDescent="0.35">
      <c r="A423" s="1" t="s">
        <v>1046</v>
      </c>
      <c r="B423" s="1" t="s">
        <v>149</v>
      </c>
      <c r="C423" s="2">
        <v>45476</v>
      </c>
      <c r="D423" s="1" t="s">
        <v>1317</v>
      </c>
      <c r="E423" s="1" t="s">
        <v>41</v>
      </c>
      <c r="F423" s="1" t="s">
        <v>11</v>
      </c>
      <c r="G423">
        <v>1352000</v>
      </c>
      <c r="H423">
        <v>552000</v>
      </c>
    </row>
    <row r="424" spans="1:8" x14ac:dyDescent="0.35">
      <c r="A424" s="1" t="s">
        <v>315</v>
      </c>
      <c r="B424" s="1" t="s">
        <v>240</v>
      </c>
      <c r="C424" s="2">
        <v>45305</v>
      </c>
      <c r="D424" s="1" t="s">
        <v>1317</v>
      </c>
      <c r="E424" s="1" t="s">
        <v>41</v>
      </c>
      <c r="F424" s="1" t="s">
        <v>11</v>
      </c>
      <c r="G424">
        <v>1878000</v>
      </c>
      <c r="H424">
        <v>828000</v>
      </c>
    </row>
    <row r="425" spans="1:8" x14ac:dyDescent="0.35">
      <c r="A425" s="1" t="s">
        <v>1248</v>
      </c>
      <c r="B425" s="1" t="s">
        <v>109</v>
      </c>
      <c r="C425" s="2">
        <v>45314</v>
      </c>
      <c r="D425" s="1" t="s">
        <v>1358</v>
      </c>
      <c r="E425" s="1" t="s">
        <v>41</v>
      </c>
      <c r="F425" s="1" t="s">
        <v>11</v>
      </c>
      <c r="G425">
        <v>10146000</v>
      </c>
      <c r="H425">
        <v>4146000</v>
      </c>
    </row>
    <row r="426" spans="1:8" x14ac:dyDescent="0.35">
      <c r="A426" s="1" t="s">
        <v>1057</v>
      </c>
      <c r="B426" s="1" t="s">
        <v>172</v>
      </c>
      <c r="C426" s="2">
        <v>45651</v>
      </c>
      <c r="D426" s="1" t="s">
        <v>1330</v>
      </c>
      <c r="E426" s="1" t="s">
        <v>41</v>
      </c>
      <c r="F426" s="1" t="s">
        <v>11</v>
      </c>
      <c r="G426">
        <v>11543000</v>
      </c>
      <c r="H426">
        <v>4893000</v>
      </c>
    </row>
    <row r="427" spans="1:8" x14ac:dyDescent="0.35">
      <c r="A427" s="1" t="s">
        <v>1063</v>
      </c>
      <c r="B427" s="1" t="s">
        <v>168</v>
      </c>
      <c r="C427" s="2">
        <v>45617</v>
      </c>
      <c r="D427" s="1" t="s">
        <v>1336</v>
      </c>
      <c r="E427" s="1" t="s">
        <v>41</v>
      </c>
      <c r="F427" s="1" t="s">
        <v>11</v>
      </c>
      <c r="G427">
        <v>5908000</v>
      </c>
      <c r="H427">
        <v>2408000</v>
      </c>
    </row>
    <row r="428" spans="1:8" x14ac:dyDescent="0.35">
      <c r="A428" s="1" t="s">
        <v>1070</v>
      </c>
      <c r="B428" s="1" t="s">
        <v>172</v>
      </c>
      <c r="C428" s="2">
        <v>45403</v>
      </c>
      <c r="D428" s="1" t="s">
        <v>1330</v>
      </c>
      <c r="E428" s="1" t="s">
        <v>41</v>
      </c>
      <c r="F428" s="1" t="s">
        <v>11</v>
      </c>
      <c r="G428">
        <v>18139000</v>
      </c>
      <c r="H428">
        <v>7689000</v>
      </c>
    </row>
    <row r="429" spans="1:8" x14ac:dyDescent="0.35">
      <c r="A429" s="1" t="s">
        <v>1233</v>
      </c>
      <c r="B429" s="1" t="s">
        <v>168</v>
      </c>
      <c r="C429" s="2">
        <v>45434</v>
      </c>
      <c r="D429" s="1" t="s">
        <v>1336</v>
      </c>
      <c r="E429" s="1" t="s">
        <v>41</v>
      </c>
      <c r="F429" s="1" t="s">
        <v>11</v>
      </c>
      <c r="G429">
        <v>5908000</v>
      </c>
      <c r="H429">
        <v>2408000</v>
      </c>
    </row>
    <row r="430" spans="1:8" x14ac:dyDescent="0.35">
      <c r="A430" s="1" t="s">
        <v>312</v>
      </c>
      <c r="B430" s="1" t="s">
        <v>141</v>
      </c>
      <c r="C430" s="2">
        <v>45368</v>
      </c>
      <c r="D430" s="1" t="s">
        <v>1330</v>
      </c>
      <c r="E430" s="1" t="s">
        <v>41</v>
      </c>
      <c r="F430" s="1" t="s">
        <v>11</v>
      </c>
      <c r="G430">
        <v>3738000</v>
      </c>
      <c r="H430">
        <v>1338000</v>
      </c>
    </row>
    <row r="431" spans="1:8" x14ac:dyDescent="0.35">
      <c r="A431" s="1" t="s">
        <v>1054</v>
      </c>
      <c r="B431" s="1" t="s">
        <v>164</v>
      </c>
      <c r="C431" s="2">
        <v>45503</v>
      </c>
      <c r="D431" s="1" t="s">
        <v>1330</v>
      </c>
      <c r="E431" s="1" t="s">
        <v>11</v>
      </c>
      <c r="F431" s="1" t="s">
        <v>11</v>
      </c>
      <c r="G431">
        <v>11652000</v>
      </c>
      <c r="H431">
        <v>2652000</v>
      </c>
    </row>
    <row r="432" spans="1:8" x14ac:dyDescent="0.35">
      <c r="A432" s="1" t="s">
        <v>219</v>
      </c>
      <c r="B432" s="1" t="s">
        <v>197</v>
      </c>
      <c r="C432" s="2">
        <v>45434</v>
      </c>
      <c r="D432" s="1" t="s">
        <v>1336</v>
      </c>
      <c r="E432" s="1" t="s">
        <v>11</v>
      </c>
      <c r="F432" s="1" t="s">
        <v>11</v>
      </c>
      <c r="G432">
        <v>1375000</v>
      </c>
      <c r="H432">
        <v>175000</v>
      </c>
    </row>
    <row r="433" spans="1:8" x14ac:dyDescent="0.35">
      <c r="A433" s="1" t="s">
        <v>592</v>
      </c>
      <c r="B433" s="1" t="s">
        <v>197</v>
      </c>
      <c r="C433" s="2">
        <v>45343</v>
      </c>
      <c r="D433" s="1" t="s">
        <v>1336</v>
      </c>
      <c r="E433" s="1" t="s">
        <v>11</v>
      </c>
      <c r="F433" s="1" t="s">
        <v>11</v>
      </c>
      <c r="G433">
        <v>12375000</v>
      </c>
      <c r="H433">
        <v>1575000</v>
      </c>
    </row>
    <row r="434" spans="1:8" x14ac:dyDescent="0.35">
      <c r="A434" s="1" t="s">
        <v>1278</v>
      </c>
      <c r="B434" s="1" t="s">
        <v>137</v>
      </c>
      <c r="C434" s="2">
        <v>45584</v>
      </c>
      <c r="D434" s="1" t="s">
        <v>1311</v>
      </c>
      <c r="E434" s="1" t="s">
        <v>11</v>
      </c>
      <c r="F434" s="1" t="s">
        <v>11</v>
      </c>
      <c r="G434">
        <v>20264000</v>
      </c>
      <c r="H434">
        <v>4264000</v>
      </c>
    </row>
    <row r="435" spans="1:8" x14ac:dyDescent="0.35">
      <c r="A435" s="1" t="s">
        <v>538</v>
      </c>
      <c r="B435" s="1" t="s">
        <v>191</v>
      </c>
      <c r="C435" s="2">
        <v>45360</v>
      </c>
      <c r="D435" s="1" t="s">
        <v>1311</v>
      </c>
      <c r="E435" s="1" t="s">
        <v>11</v>
      </c>
      <c r="F435" s="1" t="s">
        <v>11</v>
      </c>
      <c r="G435">
        <v>209445000</v>
      </c>
      <c r="H435">
        <v>29445000</v>
      </c>
    </row>
    <row r="436" spans="1:8" x14ac:dyDescent="0.35">
      <c r="A436" s="1" t="s">
        <v>1036</v>
      </c>
      <c r="B436" s="1" t="s">
        <v>137</v>
      </c>
      <c r="C436" s="2">
        <v>45329</v>
      </c>
      <c r="D436" s="1" t="s">
        <v>1311</v>
      </c>
      <c r="E436" s="1" t="s">
        <v>11</v>
      </c>
      <c r="F436" s="1" t="s">
        <v>11</v>
      </c>
      <c r="G436">
        <v>37995000</v>
      </c>
      <c r="H436">
        <v>7995000</v>
      </c>
    </row>
    <row r="437" spans="1:8" x14ac:dyDescent="0.35">
      <c r="A437" s="1" t="s">
        <v>1146</v>
      </c>
      <c r="B437" s="1" t="s">
        <v>197</v>
      </c>
      <c r="C437" s="2">
        <v>45494</v>
      </c>
      <c r="D437" s="1" t="s">
        <v>1336</v>
      </c>
      <c r="E437" s="1" t="s">
        <v>11</v>
      </c>
      <c r="F437" s="1" t="s">
        <v>11</v>
      </c>
      <c r="G437">
        <v>5500000</v>
      </c>
      <c r="H437">
        <v>700000</v>
      </c>
    </row>
    <row r="438" spans="1:8" x14ac:dyDescent="0.35">
      <c r="A438" s="1" t="s">
        <v>978</v>
      </c>
      <c r="B438" s="1" t="s">
        <v>133</v>
      </c>
      <c r="C438" s="2">
        <v>45320</v>
      </c>
      <c r="D438" s="1" t="s">
        <v>1330</v>
      </c>
      <c r="E438" s="1" t="s">
        <v>11</v>
      </c>
      <c r="F438" s="1" t="s">
        <v>11</v>
      </c>
      <c r="G438">
        <v>18480000</v>
      </c>
      <c r="H438">
        <v>3480000</v>
      </c>
    </row>
    <row r="439" spans="1:8" x14ac:dyDescent="0.35">
      <c r="A439" s="1" t="s">
        <v>232</v>
      </c>
      <c r="B439" s="1" t="s">
        <v>133</v>
      </c>
      <c r="C439" s="2">
        <v>45551</v>
      </c>
      <c r="D439" s="1" t="s">
        <v>1330</v>
      </c>
      <c r="E439" s="1" t="s">
        <v>11</v>
      </c>
      <c r="F439" s="1" t="s">
        <v>11</v>
      </c>
      <c r="G439">
        <v>30800000</v>
      </c>
      <c r="H439">
        <v>5800000</v>
      </c>
    </row>
    <row r="440" spans="1:8" x14ac:dyDescent="0.35">
      <c r="A440" s="1" t="s">
        <v>268</v>
      </c>
      <c r="B440" s="1" t="s">
        <v>164</v>
      </c>
      <c r="C440" s="2">
        <v>45538</v>
      </c>
      <c r="D440" s="1" t="s">
        <v>1330</v>
      </c>
      <c r="E440" s="1" t="s">
        <v>11</v>
      </c>
      <c r="F440" s="1" t="s">
        <v>11</v>
      </c>
      <c r="G440">
        <v>971000</v>
      </c>
      <c r="H440">
        <v>221000</v>
      </c>
    </row>
    <row r="441" spans="1:8" x14ac:dyDescent="0.35">
      <c r="A441" s="1" t="s">
        <v>304</v>
      </c>
      <c r="B441" s="1" t="s">
        <v>164</v>
      </c>
      <c r="C441" s="2">
        <v>45600</v>
      </c>
      <c r="D441" s="1" t="s">
        <v>1330</v>
      </c>
      <c r="E441" s="1" t="s">
        <v>11</v>
      </c>
      <c r="F441" s="1" t="s">
        <v>11</v>
      </c>
      <c r="G441">
        <v>5826000</v>
      </c>
      <c r="H441">
        <v>1326000</v>
      </c>
    </row>
    <row r="442" spans="1:8" x14ac:dyDescent="0.35">
      <c r="A442" s="1" t="s">
        <v>542</v>
      </c>
      <c r="B442" s="1" t="s">
        <v>133</v>
      </c>
      <c r="C442" s="2">
        <v>45532</v>
      </c>
      <c r="D442" s="1" t="s">
        <v>1330</v>
      </c>
      <c r="E442" s="1" t="s">
        <v>11</v>
      </c>
      <c r="F442" s="1" t="s">
        <v>11</v>
      </c>
      <c r="G442">
        <v>27720000</v>
      </c>
      <c r="H442">
        <v>5220000</v>
      </c>
    </row>
    <row r="443" spans="1:8" x14ac:dyDescent="0.35">
      <c r="A443" s="1" t="s">
        <v>914</v>
      </c>
      <c r="B443" s="1" t="s">
        <v>197</v>
      </c>
      <c r="C443" s="2">
        <v>45388</v>
      </c>
      <c r="D443" s="1" t="s">
        <v>1336</v>
      </c>
      <c r="E443" s="1" t="s">
        <v>11</v>
      </c>
      <c r="F443" s="1" t="s">
        <v>11</v>
      </c>
      <c r="G443">
        <v>13750000</v>
      </c>
      <c r="H443">
        <v>1750000</v>
      </c>
    </row>
    <row r="444" spans="1:8" x14ac:dyDescent="0.35">
      <c r="A444" s="1" t="s">
        <v>853</v>
      </c>
      <c r="B444" s="1" t="s">
        <v>164</v>
      </c>
      <c r="C444" s="2">
        <v>45508</v>
      </c>
      <c r="D444" s="1" t="s">
        <v>1330</v>
      </c>
      <c r="E444" s="1" t="s">
        <v>11</v>
      </c>
      <c r="F444" s="1" t="s">
        <v>11</v>
      </c>
      <c r="G444">
        <v>4855000</v>
      </c>
      <c r="H444">
        <v>1105000</v>
      </c>
    </row>
    <row r="445" spans="1:8" x14ac:dyDescent="0.35">
      <c r="A445" s="1" t="s">
        <v>872</v>
      </c>
      <c r="B445" s="1" t="s">
        <v>164</v>
      </c>
      <c r="C445" s="2">
        <v>45555</v>
      </c>
      <c r="D445" s="1" t="s">
        <v>1330</v>
      </c>
      <c r="E445" s="1" t="s">
        <v>11</v>
      </c>
      <c r="F445" s="1" t="s">
        <v>11</v>
      </c>
      <c r="G445">
        <v>971000</v>
      </c>
      <c r="H445">
        <v>221000</v>
      </c>
    </row>
    <row r="446" spans="1:8" x14ac:dyDescent="0.35">
      <c r="A446" s="1" t="s">
        <v>353</v>
      </c>
      <c r="B446" s="1" t="s">
        <v>197</v>
      </c>
      <c r="C446" s="2">
        <v>45563</v>
      </c>
      <c r="D446" s="1" t="s">
        <v>1336</v>
      </c>
      <c r="E446" s="1" t="s">
        <v>11</v>
      </c>
      <c r="F446" s="1" t="s">
        <v>11</v>
      </c>
      <c r="G446">
        <v>16500000</v>
      </c>
      <c r="H446">
        <v>2100000</v>
      </c>
    </row>
    <row r="447" spans="1:8" x14ac:dyDescent="0.35">
      <c r="A447" s="1" t="s">
        <v>880</v>
      </c>
      <c r="B447" s="1" t="s">
        <v>133</v>
      </c>
      <c r="C447" s="2">
        <v>45632</v>
      </c>
      <c r="D447" s="1" t="s">
        <v>1330</v>
      </c>
      <c r="E447" s="1" t="s">
        <v>11</v>
      </c>
      <c r="F447" s="1" t="s">
        <v>11</v>
      </c>
      <c r="G447">
        <v>21560000</v>
      </c>
      <c r="H447">
        <v>4060000</v>
      </c>
    </row>
    <row r="448" spans="1:8" x14ac:dyDescent="0.35">
      <c r="A448" s="1" t="s">
        <v>781</v>
      </c>
      <c r="B448" s="1" t="s">
        <v>137</v>
      </c>
      <c r="C448" s="2">
        <v>45380</v>
      </c>
      <c r="D448" s="1" t="s">
        <v>1311</v>
      </c>
      <c r="E448" s="1" t="s">
        <v>11</v>
      </c>
      <c r="F448" s="1" t="s">
        <v>11</v>
      </c>
      <c r="G448">
        <v>22797000</v>
      </c>
      <c r="H448">
        <v>4797000</v>
      </c>
    </row>
    <row r="449" spans="1:8" x14ac:dyDescent="0.35">
      <c r="A449" s="1" t="s">
        <v>1205</v>
      </c>
      <c r="B449" s="1" t="s">
        <v>137</v>
      </c>
      <c r="C449" s="2">
        <v>45391</v>
      </c>
      <c r="D449" s="1" t="s">
        <v>1311</v>
      </c>
      <c r="E449" s="1" t="s">
        <v>11</v>
      </c>
      <c r="F449" s="1" t="s">
        <v>11</v>
      </c>
      <c r="G449">
        <v>5066000</v>
      </c>
      <c r="H449">
        <v>1066000</v>
      </c>
    </row>
    <row r="450" spans="1:8" x14ac:dyDescent="0.35">
      <c r="A450" s="1" t="s">
        <v>868</v>
      </c>
      <c r="B450" s="1" t="s">
        <v>133</v>
      </c>
      <c r="C450" s="2">
        <v>45421</v>
      </c>
      <c r="D450" s="1" t="s">
        <v>1330</v>
      </c>
      <c r="E450" s="1" t="s">
        <v>11</v>
      </c>
      <c r="F450" s="1" t="s">
        <v>11</v>
      </c>
      <c r="G450">
        <v>30800000</v>
      </c>
      <c r="H450">
        <v>5800000</v>
      </c>
    </row>
    <row r="451" spans="1:8" x14ac:dyDescent="0.35">
      <c r="A451" s="1" t="s">
        <v>409</v>
      </c>
      <c r="B451" s="1" t="s">
        <v>197</v>
      </c>
      <c r="C451" s="2">
        <v>45317</v>
      </c>
      <c r="D451" s="1" t="s">
        <v>1336</v>
      </c>
      <c r="E451" s="1" t="s">
        <v>11</v>
      </c>
      <c r="F451" s="1" t="s">
        <v>11</v>
      </c>
      <c r="G451">
        <v>6875000</v>
      </c>
      <c r="H451">
        <v>875000</v>
      </c>
    </row>
    <row r="452" spans="1:8" x14ac:dyDescent="0.35">
      <c r="A452" s="1" t="s">
        <v>914</v>
      </c>
      <c r="B452" s="1" t="s">
        <v>133</v>
      </c>
      <c r="C452" s="2">
        <v>45388</v>
      </c>
      <c r="D452" s="1" t="s">
        <v>1330</v>
      </c>
      <c r="E452" s="1" t="s">
        <v>11</v>
      </c>
      <c r="F452" s="1" t="s">
        <v>11</v>
      </c>
      <c r="G452">
        <v>30800000</v>
      </c>
      <c r="H452">
        <v>5800000</v>
      </c>
    </row>
    <row r="453" spans="1:8" x14ac:dyDescent="0.35">
      <c r="A453" s="1" t="s">
        <v>422</v>
      </c>
      <c r="B453" s="1" t="s">
        <v>197</v>
      </c>
      <c r="C453" s="2">
        <v>45323</v>
      </c>
      <c r="D453" s="1" t="s">
        <v>1336</v>
      </c>
      <c r="E453" s="1" t="s">
        <v>11</v>
      </c>
      <c r="F453" s="1" t="s">
        <v>11</v>
      </c>
      <c r="G453">
        <v>5500000</v>
      </c>
      <c r="H453">
        <v>700000</v>
      </c>
    </row>
    <row r="454" spans="1:8" x14ac:dyDescent="0.35">
      <c r="A454" s="1" t="s">
        <v>363</v>
      </c>
      <c r="B454" s="1" t="s">
        <v>137</v>
      </c>
      <c r="C454" s="2">
        <v>45535</v>
      </c>
      <c r="D454" s="1" t="s">
        <v>1311</v>
      </c>
      <c r="E454" s="1" t="s">
        <v>11</v>
      </c>
      <c r="F454" s="1" t="s">
        <v>11</v>
      </c>
      <c r="G454">
        <v>32929000</v>
      </c>
      <c r="H454">
        <v>6929000</v>
      </c>
    </row>
    <row r="455" spans="1:8" x14ac:dyDescent="0.35">
      <c r="A455" s="1" t="s">
        <v>426</v>
      </c>
      <c r="B455" s="1" t="s">
        <v>133</v>
      </c>
      <c r="C455" s="2">
        <v>45652</v>
      </c>
      <c r="D455" s="1" t="s">
        <v>1330</v>
      </c>
      <c r="E455" s="1" t="s">
        <v>11</v>
      </c>
      <c r="F455" s="1" t="s">
        <v>11</v>
      </c>
      <c r="G455">
        <v>12320000</v>
      </c>
      <c r="H455">
        <v>2320000</v>
      </c>
    </row>
    <row r="456" spans="1:8" x14ac:dyDescent="0.35">
      <c r="A456" s="1" t="s">
        <v>679</v>
      </c>
      <c r="B456" s="1" t="s">
        <v>197</v>
      </c>
      <c r="C456" s="2">
        <v>45354</v>
      </c>
      <c r="D456" s="1" t="s">
        <v>1336</v>
      </c>
      <c r="E456" s="1" t="s">
        <v>11</v>
      </c>
      <c r="F456" s="1" t="s">
        <v>11</v>
      </c>
      <c r="G456">
        <v>8250000</v>
      </c>
      <c r="H456">
        <v>1050000</v>
      </c>
    </row>
    <row r="457" spans="1:8" x14ac:dyDescent="0.35">
      <c r="A457" s="1" t="s">
        <v>434</v>
      </c>
      <c r="B457" s="1" t="s">
        <v>137</v>
      </c>
      <c r="C457" s="2">
        <v>45312</v>
      </c>
      <c r="D457" s="1" t="s">
        <v>1311</v>
      </c>
      <c r="E457" s="1" t="s">
        <v>11</v>
      </c>
      <c r="F457" s="1" t="s">
        <v>11</v>
      </c>
      <c r="G457">
        <v>27863000</v>
      </c>
      <c r="H457">
        <v>5863000</v>
      </c>
    </row>
    <row r="458" spans="1:8" x14ac:dyDescent="0.35">
      <c r="A458" s="1" t="s">
        <v>672</v>
      </c>
      <c r="B458" s="1" t="s">
        <v>176</v>
      </c>
      <c r="C458" s="2">
        <v>45295</v>
      </c>
      <c r="D458" s="1" t="s">
        <v>1330</v>
      </c>
      <c r="E458" s="1" t="s">
        <v>1323</v>
      </c>
      <c r="F458" s="1" t="s">
        <v>11</v>
      </c>
      <c r="G458">
        <v>1772000</v>
      </c>
      <c r="H458">
        <v>272000</v>
      </c>
    </row>
    <row r="459" spans="1:8" x14ac:dyDescent="0.35">
      <c r="A459" s="1" t="s">
        <v>1148</v>
      </c>
      <c r="B459" s="1" t="s">
        <v>106</v>
      </c>
      <c r="C459" s="2">
        <v>45505</v>
      </c>
      <c r="D459" s="1" t="s">
        <v>1317</v>
      </c>
      <c r="E459" s="1" t="s">
        <v>1323</v>
      </c>
      <c r="F459" s="1" t="s">
        <v>11</v>
      </c>
      <c r="G459">
        <v>1065000</v>
      </c>
      <c r="H459">
        <v>165000</v>
      </c>
    </row>
    <row r="460" spans="1:8" x14ac:dyDescent="0.35">
      <c r="A460" s="1" t="s">
        <v>1043</v>
      </c>
      <c r="B460" s="1" t="s">
        <v>173</v>
      </c>
      <c r="C460" s="2">
        <v>45648</v>
      </c>
      <c r="D460" s="1" t="s">
        <v>1317</v>
      </c>
      <c r="E460" s="1" t="s">
        <v>1323</v>
      </c>
      <c r="F460" s="1" t="s">
        <v>11</v>
      </c>
      <c r="G460">
        <v>920000</v>
      </c>
      <c r="H460">
        <v>120000</v>
      </c>
    </row>
    <row r="461" spans="1:8" x14ac:dyDescent="0.35">
      <c r="A461" s="1" t="s">
        <v>643</v>
      </c>
      <c r="B461" s="1" t="s">
        <v>113</v>
      </c>
      <c r="C461" s="2">
        <v>45447</v>
      </c>
      <c r="D461" s="1" t="s">
        <v>1311</v>
      </c>
      <c r="E461" s="1" t="s">
        <v>1323</v>
      </c>
      <c r="F461" s="1" t="s">
        <v>11</v>
      </c>
      <c r="G461">
        <v>82830000</v>
      </c>
      <c r="H461">
        <v>15330000</v>
      </c>
    </row>
    <row r="462" spans="1:8" x14ac:dyDescent="0.35">
      <c r="A462" s="1" t="s">
        <v>648</v>
      </c>
      <c r="B462" s="1" t="s">
        <v>106</v>
      </c>
      <c r="C462" s="2">
        <v>45292</v>
      </c>
      <c r="D462" s="1" t="s">
        <v>1317</v>
      </c>
      <c r="E462" s="1" t="s">
        <v>1323</v>
      </c>
      <c r="F462" s="1" t="s">
        <v>11</v>
      </c>
      <c r="G462">
        <v>2130000</v>
      </c>
      <c r="H462">
        <v>330000</v>
      </c>
    </row>
    <row r="463" spans="1:8" x14ac:dyDescent="0.35">
      <c r="A463" s="1" t="s">
        <v>536</v>
      </c>
      <c r="B463" s="1" t="s">
        <v>111</v>
      </c>
      <c r="C463" s="2">
        <v>45409</v>
      </c>
      <c r="D463" s="1" t="s">
        <v>1311</v>
      </c>
      <c r="E463" s="1" t="s">
        <v>1323</v>
      </c>
      <c r="F463" s="1" t="s">
        <v>11</v>
      </c>
      <c r="G463">
        <v>414045000</v>
      </c>
      <c r="H463">
        <v>144045000</v>
      </c>
    </row>
    <row r="464" spans="1:8" x14ac:dyDescent="0.35">
      <c r="A464" s="1" t="s">
        <v>957</v>
      </c>
      <c r="B464" s="1" t="s">
        <v>106</v>
      </c>
      <c r="C464" s="2">
        <v>45324</v>
      </c>
      <c r="D464" s="1" t="s">
        <v>1317</v>
      </c>
      <c r="E464" s="1" t="s">
        <v>1323</v>
      </c>
      <c r="F464" s="1" t="s">
        <v>11</v>
      </c>
      <c r="G464">
        <v>355000</v>
      </c>
      <c r="H464">
        <v>55000</v>
      </c>
    </row>
    <row r="465" spans="1:8" x14ac:dyDescent="0.35">
      <c r="A465" s="1" t="s">
        <v>518</v>
      </c>
      <c r="B465" s="1" t="s">
        <v>111</v>
      </c>
      <c r="C465" s="2">
        <v>45428</v>
      </c>
      <c r="D465" s="1" t="s">
        <v>1311</v>
      </c>
      <c r="E465" s="1" t="s">
        <v>1323</v>
      </c>
      <c r="F465" s="1" t="s">
        <v>11</v>
      </c>
      <c r="G465">
        <v>303633000</v>
      </c>
      <c r="H465">
        <v>105633000</v>
      </c>
    </row>
    <row r="466" spans="1:8" x14ac:dyDescent="0.35">
      <c r="A466" s="1" t="s">
        <v>1067</v>
      </c>
      <c r="B466" s="1" t="s">
        <v>176</v>
      </c>
      <c r="C466" s="2">
        <v>45318</v>
      </c>
      <c r="D466" s="1" t="s">
        <v>1330</v>
      </c>
      <c r="E466" s="1" t="s">
        <v>1323</v>
      </c>
      <c r="F466" s="1" t="s">
        <v>11</v>
      </c>
      <c r="G466">
        <v>7088000</v>
      </c>
      <c r="H466">
        <v>1088000</v>
      </c>
    </row>
    <row r="467" spans="1:8" x14ac:dyDescent="0.35">
      <c r="A467" s="1" t="s">
        <v>383</v>
      </c>
      <c r="B467" s="1" t="s">
        <v>173</v>
      </c>
      <c r="C467" s="2">
        <v>45317</v>
      </c>
      <c r="D467" s="1" t="s">
        <v>1317</v>
      </c>
      <c r="E467" s="1" t="s">
        <v>1323</v>
      </c>
      <c r="F467" s="1" t="s">
        <v>11</v>
      </c>
      <c r="G467">
        <v>552000</v>
      </c>
      <c r="H467">
        <v>72000</v>
      </c>
    </row>
    <row r="468" spans="1:8" x14ac:dyDescent="0.35">
      <c r="A468" s="1" t="s">
        <v>1072</v>
      </c>
      <c r="B468" s="1" t="s">
        <v>272</v>
      </c>
      <c r="C468" s="2">
        <v>45434</v>
      </c>
      <c r="D468" s="1" t="s">
        <v>1317</v>
      </c>
      <c r="E468" s="1" t="s">
        <v>1323</v>
      </c>
      <c r="F468" s="1" t="s">
        <v>11</v>
      </c>
      <c r="G468">
        <v>1482000</v>
      </c>
      <c r="H468">
        <v>182000</v>
      </c>
    </row>
    <row r="469" spans="1:8" x14ac:dyDescent="0.35">
      <c r="A469" s="1" t="s">
        <v>574</v>
      </c>
      <c r="B469" s="1" t="s">
        <v>173</v>
      </c>
      <c r="C469" s="2">
        <v>45600</v>
      </c>
      <c r="D469" s="1" t="s">
        <v>1317</v>
      </c>
      <c r="E469" s="1" t="s">
        <v>1323</v>
      </c>
      <c r="F469" s="1" t="s">
        <v>11</v>
      </c>
      <c r="G469">
        <v>460000</v>
      </c>
      <c r="H469">
        <v>60000</v>
      </c>
    </row>
    <row r="470" spans="1:8" x14ac:dyDescent="0.35">
      <c r="A470" s="1" t="s">
        <v>1200</v>
      </c>
      <c r="B470" s="1" t="s">
        <v>272</v>
      </c>
      <c r="C470" s="2">
        <v>45429</v>
      </c>
      <c r="D470" s="1" t="s">
        <v>1317</v>
      </c>
      <c r="E470" s="1" t="s">
        <v>1323</v>
      </c>
      <c r="F470" s="1" t="s">
        <v>11</v>
      </c>
      <c r="G470">
        <v>8892000</v>
      </c>
      <c r="H470">
        <v>1092000</v>
      </c>
    </row>
    <row r="471" spans="1:8" x14ac:dyDescent="0.35">
      <c r="A471" s="1" t="s">
        <v>791</v>
      </c>
      <c r="B471" s="1" t="s">
        <v>116</v>
      </c>
      <c r="C471" s="2">
        <v>45622</v>
      </c>
      <c r="D471" s="1" t="s">
        <v>1330</v>
      </c>
      <c r="E471" s="1" t="s">
        <v>1323</v>
      </c>
      <c r="F471" s="1" t="s">
        <v>11</v>
      </c>
      <c r="G471">
        <v>30184000</v>
      </c>
      <c r="H471">
        <v>10184000</v>
      </c>
    </row>
    <row r="472" spans="1:8" x14ac:dyDescent="0.35">
      <c r="A472" s="1" t="s">
        <v>1293</v>
      </c>
      <c r="B472" s="1" t="s">
        <v>116</v>
      </c>
      <c r="C472" s="2">
        <v>45520</v>
      </c>
      <c r="D472" s="1" t="s">
        <v>1330</v>
      </c>
      <c r="E472" s="1" t="s">
        <v>1323</v>
      </c>
      <c r="F472" s="1" t="s">
        <v>11</v>
      </c>
      <c r="G472">
        <v>37730000</v>
      </c>
      <c r="H472">
        <v>12730000</v>
      </c>
    </row>
    <row r="473" spans="1:8" x14ac:dyDescent="0.35">
      <c r="A473" s="1" t="s">
        <v>777</v>
      </c>
      <c r="B473" s="1" t="s">
        <v>111</v>
      </c>
      <c r="C473" s="2">
        <v>45389</v>
      </c>
      <c r="D473" s="1" t="s">
        <v>1311</v>
      </c>
      <c r="E473" s="1" t="s">
        <v>1323</v>
      </c>
      <c r="F473" s="1" t="s">
        <v>11</v>
      </c>
      <c r="G473">
        <v>110412000</v>
      </c>
      <c r="H473">
        <v>38412000</v>
      </c>
    </row>
    <row r="474" spans="1:8" x14ac:dyDescent="0.35">
      <c r="A474" s="1" t="s">
        <v>720</v>
      </c>
      <c r="B474" s="1" t="s">
        <v>116</v>
      </c>
      <c r="C474" s="2">
        <v>45307</v>
      </c>
      <c r="D474" s="1" t="s">
        <v>1330</v>
      </c>
      <c r="E474" s="1" t="s">
        <v>1323</v>
      </c>
      <c r="F474" s="1" t="s">
        <v>11</v>
      </c>
      <c r="G474">
        <v>75460000</v>
      </c>
      <c r="H474">
        <v>25460000</v>
      </c>
    </row>
    <row r="475" spans="1:8" x14ac:dyDescent="0.35">
      <c r="A475" s="1" t="s">
        <v>114</v>
      </c>
      <c r="B475" s="1" t="s">
        <v>116</v>
      </c>
      <c r="C475" s="2">
        <v>45442</v>
      </c>
      <c r="D475" s="1" t="s">
        <v>1330</v>
      </c>
      <c r="E475" s="1" t="s">
        <v>1323</v>
      </c>
      <c r="F475" s="1" t="s">
        <v>11</v>
      </c>
      <c r="G475">
        <v>105644000</v>
      </c>
      <c r="H475">
        <v>35644000</v>
      </c>
    </row>
    <row r="476" spans="1:8" x14ac:dyDescent="0.35">
      <c r="A476" s="1" t="s">
        <v>550</v>
      </c>
      <c r="B476" s="1" t="s">
        <v>116</v>
      </c>
      <c r="C476" s="2">
        <v>45380</v>
      </c>
      <c r="D476" s="1" t="s">
        <v>1330</v>
      </c>
      <c r="E476" s="1" t="s">
        <v>1323</v>
      </c>
      <c r="F476" s="1" t="s">
        <v>11</v>
      </c>
      <c r="G476">
        <v>83006000</v>
      </c>
      <c r="H476">
        <v>28006000</v>
      </c>
    </row>
    <row r="477" spans="1:8" x14ac:dyDescent="0.35">
      <c r="A477" s="1" t="s">
        <v>674</v>
      </c>
      <c r="B477" s="1" t="s">
        <v>113</v>
      </c>
      <c r="C477" s="2">
        <v>45373</v>
      </c>
      <c r="D477" s="1" t="s">
        <v>1311</v>
      </c>
      <c r="E477" s="1" t="s">
        <v>1323</v>
      </c>
      <c r="F477" s="1" t="s">
        <v>11</v>
      </c>
      <c r="G477">
        <v>82830000</v>
      </c>
      <c r="H477">
        <v>15330000</v>
      </c>
    </row>
    <row r="478" spans="1:8" x14ac:dyDescent="0.35">
      <c r="A478" s="1" t="s">
        <v>762</v>
      </c>
      <c r="B478" s="1" t="s">
        <v>176</v>
      </c>
      <c r="C478" s="2">
        <v>45419</v>
      </c>
      <c r="D478" s="1" t="s">
        <v>1330</v>
      </c>
      <c r="E478" s="1" t="s">
        <v>1323</v>
      </c>
      <c r="F478" s="1" t="s">
        <v>11</v>
      </c>
      <c r="G478">
        <v>26580000</v>
      </c>
      <c r="H478">
        <v>4080000</v>
      </c>
    </row>
    <row r="479" spans="1:8" x14ac:dyDescent="0.35">
      <c r="A479" s="1" t="s">
        <v>1209</v>
      </c>
      <c r="B479" s="1" t="s">
        <v>106</v>
      </c>
      <c r="C479" s="2">
        <v>45491</v>
      </c>
      <c r="D479" s="1" t="s">
        <v>1317</v>
      </c>
      <c r="E479" s="1" t="s">
        <v>1323</v>
      </c>
      <c r="F479" s="1" t="s">
        <v>11</v>
      </c>
      <c r="G479">
        <v>1420000</v>
      </c>
      <c r="H479">
        <v>220000</v>
      </c>
    </row>
    <row r="480" spans="1:8" x14ac:dyDescent="0.35">
      <c r="A480" s="1" t="s">
        <v>417</v>
      </c>
      <c r="B480" s="1" t="s">
        <v>173</v>
      </c>
      <c r="C480" s="2">
        <v>45409</v>
      </c>
      <c r="D480" s="1" t="s">
        <v>1317</v>
      </c>
      <c r="E480" s="1" t="s">
        <v>1323</v>
      </c>
      <c r="F480" s="1" t="s">
        <v>11</v>
      </c>
      <c r="G480">
        <v>1380000</v>
      </c>
      <c r="H480">
        <v>180000</v>
      </c>
    </row>
    <row r="481" spans="1:8" x14ac:dyDescent="0.35">
      <c r="A481" s="1" t="s">
        <v>738</v>
      </c>
      <c r="B481" s="1" t="s">
        <v>176</v>
      </c>
      <c r="C481" s="2">
        <v>45551</v>
      </c>
      <c r="D481" s="1" t="s">
        <v>1330</v>
      </c>
      <c r="E481" s="1" t="s">
        <v>1323</v>
      </c>
      <c r="F481" s="1" t="s">
        <v>11</v>
      </c>
      <c r="G481">
        <v>15948000</v>
      </c>
      <c r="H481">
        <v>2448000</v>
      </c>
    </row>
    <row r="482" spans="1:8" x14ac:dyDescent="0.35">
      <c r="A482" s="1" t="s">
        <v>556</v>
      </c>
      <c r="B482" s="1" t="s">
        <v>173</v>
      </c>
      <c r="C482" s="2">
        <v>45542</v>
      </c>
      <c r="D482" s="1" t="s">
        <v>1317</v>
      </c>
      <c r="E482" s="1" t="s">
        <v>1323</v>
      </c>
      <c r="F482" s="1" t="s">
        <v>11</v>
      </c>
      <c r="G482">
        <v>736000</v>
      </c>
      <c r="H482">
        <v>96000</v>
      </c>
    </row>
    <row r="483" spans="1:8" x14ac:dyDescent="0.35">
      <c r="A483" s="1" t="s">
        <v>310</v>
      </c>
      <c r="B483" s="1" t="s">
        <v>113</v>
      </c>
      <c r="C483" s="2">
        <v>45586</v>
      </c>
      <c r="D483" s="1" t="s">
        <v>1311</v>
      </c>
      <c r="E483" s="1" t="s">
        <v>1323</v>
      </c>
      <c r="F483" s="1" t="s">
        <v>11</v>
      </c>
      <c r="G483">
        <v>44176000</v>
      </c>
      <c r="H483">
        <v>8176000</v>
      </c>
    </row>
    <row r="484" spans="1:8" x14ac:dyDescent="0.35">
      <c r="A484" s="1" t="s">
        <v>1264</v>
      </c>
      <c r="B484" s="1" t="s">
        <v>176</v>
      </c>
      <c r="C484" s="2">
        <v>45582</v>
      </c>
      <c r="D484" s="1" t="s">
        <v>1330</v>
      </c>
      <c r="E484" s="1" t="s">
        <v>1323</v>
      </c>
      <c r="F484" s="1" t="s">
        <v>11</v>
      </c>
      <c r="G484">
        <v>24808000</v>
      </c>
      <c r="H484">
        <v>3808000</v>
      </c>
    </row>
    <row r="485" spans="1:8" x14ac:dyDescent="0.35">
      <c r="A485" s="1" t="s">
        <v>1196</v>
      </c>
      <c r="B485" s="1" t="s">
        <v>111</v>
      </c>
      <c r="C485" s="2">
        <v>45352</v>
      </c>
      <c r="D485" s="1" t="s">
        <v>1311</v>
      </c>
      <c r="E485" s="1" t="s">
        <v>1323</v>
      </c>
      <c r="F485" s="1" t="s">
        <v>11</v>
      </c>
      <c r="G485">
        <v>82809000</v>
      </c>
      <c r="H485">
        <v>28809000</v>
      </c>
    </row>
    <row r="486" spans="1:8" x14ac:dyDescent="0.35">
      <c r="A486" s="1" t="s">
        <v>941</v>
      </c>
      <c r="B486" s="1" t="s">
        <v>272</v>
      </c>
      <c r="C486" s="2">
        <v>45629</v>
      </c>
      <c r="D486" s="1" t="s">
        <v>1317</v>
      </c>
      <c r="E486" s="1" t="s">
        <v>1323</v>
      </c>
      <c r="F486" s="1" t="s">
        <v>11</v>
      </c>
      <c r="G486">
        <v>10374000</v>
      </c>
      <c r="H486">
        <v>1274000</v>
      </c>
    </row>
    <row r="487" spans="1:8" x14ac:dyDescent="0.35">
      <c r="A487" s="1" t="s">
        <v>450</v>
      </c>
      <c r="B487" s="1" t="s">
        <v>113</v>
      </c>
      <c r="C487" s="2">
        <v>45546</v>
      </c>
      <c r="D487" s="1" t="s">
        <v>1311</v>
      </c>
      <c r="E487" s="1" t="s">
        <v>1323</v>
      </c>
      <c r="F487" s="1" t="s">
        <v>11</v>
      </c>
      <c r="G487">
        <v>5522000</v>
      </c>
      <c r="H487">
        <v>1022000</v>
      </c>
    </row>
    <row r="488" spans="1:8" x14ac:dyDescent="0.35">
      <c r="A488" s="1" t="s">
        <v>914</v>
      </c>
      <c r="B488" s="1" t="s">
        <v>116</v>
      </c>
      <c r="C488" s="2">
        <v>45388</v>
      </c>
      <c r="D488" s="1" t="s">
        <v>1330</v>
      </c>
      <c r="E488" s="1" t="s">
        <v>1323</v>
      </c>
      <c r="F488" s="1" t="s">
        <v>11</v>
      </c>
      <c r="G488">
        <v>75460000</v>
      </c>
      <c r="H488">
        <v>25460000</v>
      </c>
    </row>
    <row r="489" spans="1:8" x14ac:dyDescent="0.35">
      <c r="A489" s="1" t="s">
        <v>914</v>
      </c>
      <c r="B489" s="1" t="s">
        <v>106</v>
      </c>
      <c r="C489" s="2">
        <v>45388</v>
      </c>
      <c r="D489" s="1" t="s">
        <v>1317</v>
      </c>
      <c r="E489" s="1" t="s">
        <v>1323</v>
      </c>
      <c r="F489" s="1" t="s">
        <v>11</v>
      </c>
      <c r="G489">
        <v>3550000</v>
      </c>
      <c r="H489">
        <v>550000</v>
      </c>
    </row>
    <row r="490" spans="1:8" x14ac:dyDescent="0.35">
      <c r="A490" s="1" t="s">
        <v>914</v>
      </c>
      <c r="B490" s="1" t="s">
        <v>113</v>
      </c>
      <c r="C490" s="2">
        <v>45388</v>
      </c>
      <c r="D490" s="1" t="s">
        <v>1311</v>
      </c>
      <c r="E490" s="1" t="s">
        <v>1323</v>
      </c>
      <c r="F490" s="1" t="s">
        <v>11</v>
      </c>
      <c r="G490">
        <v>55220000</v>
      </c>
      <c r="H490">
        <v>10220000</v>
      </c>
    </row>
    <row r="491" spans="1:8" x14ac:dyDescent="0.35">
      <c r="A491" s="1" t="s">
        <v>914</v>
      </c>
      <c r="B491" s="1" t="s">
        <v>111</v>
      </c>
      <c r="C491" s="2">
        <v>45388</v>
      </c>
      <c r="D491" s="1" t="s">
        <v>1311</v>
      </c>
      <c r="E491" s="1" t="s">
        <v>1323</v>
      </c>
      <c r="F491" s="1" t="s">
        <v>11</v>
      </c>
      <c r="G491">
        <v>276030000</v>
      </c>
      <c r="H491">
        <v>96030000</v>
      </c>
    </row>
    <row r="492" spans="1:8" x14ac:dyDescent="0.35">
      <c r="A492" s="1" t="s">
        <v>914</v>
      </c>
      <c r="B492" s="1" t="s">
        <v>173</v>
      </c>
      <c r="C492" s="2">
        <v>45388</v>
      </c>
      <c r="D492" s="1" t="s">
        <v>1317</v>
      </c>
      <c r="E492" s="1" t="s">
        <v>1323</v>
      </c>
      <c r="F492" s="1" t="s">
        <v>11</v>
      </c>
      <c r="G492">
        <v>920000</v>
      </c>
      <c r="H492">
        <v>120000</v>
      </c>
    </row>
    <row r="493" spans="1:8" x14ac:dyDescent="0.35">
      <c r="A493" s="1" t="s">
        <v>506</v>
      </c>
      <c r="B493" s="1" t="s">
        <v>116</v>
      </c>
      <c r="C493" s="2">
        <v>45597</v>
      </c>
      <c r="D493" s="1" t="s">
        <v>1330</v>
      </c>
      <c r="E493" s="1" t="s">
        <v>1323</v>
      </c>
      <c r="F493" s="1" t="s">
        <v>11</v>
      </c>
      <c r="G493">
        <v>75460000</v>
      </c>
      <c r="H493">
        <v>25460000</v>
      </c>
    </row>
    <row r="494" spans="1:8" x14ac:dyDescent="0.35">
      <c r="A494" s="1" t="s">
        <v>1184</v>
      </c>
      <c r="B494" s="1" t="s">
        <v>272</v>
      </c>
      <c r="C494" s="2">
        <v>45396</v>
      </c>
      <c r="D494" s="1" t="s">
        <v>1317</v>
      </c>
      <c r="E494" s="1" t="s">
        <v>1323</v>
      </c>
      <c r="F494" s="1" t="s">
        <v>11</v>
      </c>
      <c r="G494">
        <v>8892000</v>
      </c>
      <c r="H494">
        <v>1092000</v>
      </c>
    </row>
    <row r="495" spans="1:8" x14ac:dyDescent="0.35">
      <c r="A495" s="1" t="s">
        <v>475</v>
      </c>
      <c r="B495" s="1" t="s">
        <v>116</v>
      </c>
      <c r="C495" s="2">
        <v>45529</v>
      </c>
      <c r="D495" s="1" t="s">
        <v>1330</v>
      </c>
      <c r="E495" s="1" t="s">
        <v>1323</v>
      </c>
      <c r="F495" s="1" t="s">
        <v>11</v>
      </c>
      <c r="G495">
        <v>83006000</v>
      </c>
      <c r="H495">
        <v>28006000</v>
      </c>
    </row>
    <row r="496" spans="1:8" x14ac:dyDescent="0.35">
      <c r="A496" s="1" t="s">
        <v>887</v>
      </c>
      <c r="B496" s="1" t="s">
        <v>111</v>
      </c>
      <c r="C496" s="2">
        <v>45602</v>
      </c>
      <c r="D496" s="1" t="s">
        <v>1311</v>
      </c>
      <c r="E496" s="1" t="s">
        <v>1323</v>
      </c>
      <c r="F496" s="1" t="s">
        <v>11</v>
      </c>
      <c r="G496">
        <v>110412000</v>
      </c>
      <c r="H496">
        <v>38412000</v>
      </c>
    </row>
    <row r="497" spans="1:8" x14ac:dyDescent="0.35">
      <c r="A497" s="1" t="s">
        <v>613</v>
      </c>
      <c r="B497" s="1" t="s">
        <v>106</v>
      </c>
      <c r="C497" s="2">
        <v>45309</v>
      </c>
      <c r="D497" s="1" t="s">
        <v>1317</v>
      </c>
      <c r="E497" s="1" t="s">
        <v>1323</v>
      </c>
      <c r="F497" s="1" t="s">
        <v>11</v>
      </c>
      <c r="G497">
        <v>5325000</v>
      </c>
      <c r="H497">
        <v>825000</v>
      </c>
    </row>
    <row r="498" spans="1:8" x14ac:dyDescent="0.35">
      <c r="A498" s="1" t="s">
        <v>1195</v>
      </c>
      <c r="B498" s="1" t="s">
        <v>176</v>
      </c>
      <c r="C498" s="2">
        <v>45523</v>
      </c>
      <c r="D498" s="1" t="s">
        <v>1330</v>
      </c>
      <c r="E498" s="1" t="s">
        <v>1323</v>
      </c>
      <c r="F498" s="1" t="s">
        <v>11</v>
      </c>
      <c r="G498">
        <v>21264000</v>
      </c>
      <c r="H498">
        <v>3264000</v>
      </c>
    </row>
    <row r="499" spans="1:8" x14ac:dyDescent="0.35">
      <c r="A499" s="1" t="s">
        <v>987</v>
      </c>
      <c r="B499" s="1" t="s">
        <v>176</v>
      </c>
      <c r="C499" s="2">
        <v>45361</v>
      </c>
      <c r="D499" s="1" t="s">
        <v>1330</v>
      </c>
      <c r="E499" s="1" t="s">
        <v>1323</v>
      </c>
      <c r="F499" s="1" t="s">
        <v>11</v>
      </c>
      <c r="G499">
        <v>17720000</v>
      </c>
      <c r="H499">
        <v>2720000</v>
      </c>
    </row>
    <row r="500" spans="1:8" x14ac:dyDescent="0.35">
      <c r="A500" s="1" t="s">
        <v>1020</v>
      </c>
      <c r="B500" s="1" t="s">
        <v>111</v>
      </c>
      <c r="C500" s="2">
        <v>45326</v>
      </c>
      <c r="D500" s="1" t="s">
        <v>1311</v>
      </c>
      <c r="E500" s="1" t="s">
        <v>1323</v>
      </c>
      <c r="F500" s="1" t="s">
        <v>11</v>
      </c>
      <c r="G500">
        <v>138015000</v>
      </c>
      <c r="H500">
        <v>48015000</v>
      </c>
    </row>
    <row r="501" spans="1:8" x14ac:dyDescent="0.35">
      <c r="A501" s="1" t="s">
        <v>1036</v>
      </c>
      <c r="B501" s="1" t="s">
        <v>272</v>
      </c>
      <c r="C501" s="2">
        <v>45329</v>
      </c>
      <c r="D501" s="1" t="s">
        <v>1317</v>
      </c>
      <c r="E501" s="1" t="s">
        <v>1323</v>
      </c>
      <c r="F501" s="1" t="s">
        <v>11</v>
      </c>
      <c r="G501">
        <v>11115000</v>
      </c>
      <c r="H501">
        <v>1365000</v>
      </c>
    </row>
    <row r="502" spans="1:8" x14ac:dyDescent="0.35">
      <c r="A502" s="1" t="s">
        <v>870</v>
      </c>
      <c r="B502" s="1" t="s">
        <v>176</v>
      </c>
      <c r="C502" s="2">
        <v>45591</v>
      </c>
      <c r="D502" s="1" t="s">
        <v>1330</v>
      </c>
      <c r="E502" s="1" t="s">
        <v>1323</v>
      </c>
      <c r="F502" s="1" t="s">
        <v>11</v>
      </c>
      <c r="G502">
        <v>23036000</v>
      </c>
      <c r="H502">
        <v>3536000</v>
      </c>
    </row>
    <row r="503" spans="1:8" x14ac:dyDescent="0.35">
      <c r="A503" s="1" t="s">
        <v>970</v>
      </c>
      <c r="B503" s="1" t="s">
        <v>106</v>
      </c>
      <c r="C503" s="2">
        <v>45446</v>
      </c>
      <c r="D503" s="1" t="s">
        <v>1317</v>
      </c>
      <c r="E503" s="1" t="s">
        <v>1323</v>
      </c>
      <c r="F503" s="1" t="s">
        <v>11</v>
      </c>
      <c r="G503">
        <v>2130000</v>
      </c>
      <c r="H503">
        <v>330000</v>
      </c>
    </row>
    <row r="504" spans="1:8" x14ac:dyDescent="0.35">
      <c r="A504" s="1" t="s">
        <v>493</v>
      </c>
      <c r="B504" s="1" t="s">
        <v>111</v>
      </c>
      <c r="C504" s="2">
        <v>45648</v>
      </c>
      <c r="D504" s="1" t="s">
        <v>1311</v>
      </c>
      <c r="E504" s="1" t="s">
        <v>1323</v>
      </c>
      <c r="F504" s="1" t="s">
        <v>11</v>
      </c>
      <c r="G504">
        <v>358839000</v>
      </c>
      <c r="H504">
        <v>124839000</v>
      </c>
    </row>
    <row r="505" spans="1:8" x14ac:dyDescent="0.35">
      <c r="A505" s="1" t="s">
        <v>1177</v>
      </c>
      <c r="B505" s="1" t="s">
        <v>116</v>
      </c>
      <c r="C505" s="2">
        <v>45482</v>
      </c>
      <c r="D505" s="1" t="s">
        <v>1330</v>
      </c>
      <c r="E505" s="1" t="s">
        <v>1323</v>
      </c>
      <c r="F505" s="1" t="s">
        <v>11</v>
      </c>
      <c r="G505">
        <v>60368000</v>
      </c>
      <c r="H505">
        <v>20368000</v>
      </c>
    </row>
    <row r="506" spans="1:8" x14ac:dyDescent="0.35">
      <c r="A506" s="1" t="s">
        <v>548</v>
      </c>
      <c r="B506" s="1" t="s">
        <v>172</v>
      </c>
      <c r="C506" s="2">
        <v>45493</v>
      </c>
      <c r="D506" s="1" t="s">
        <v>1330</v>
      </c>
      <c r="E506" s="1" t="s">
        <v>41</v>
      </c>
      <c r="F506" s="1" t="s">
        <v>53</v>
      </c>
      <c r="G506">
        <v>19788000</v>
      </c>
      <c r="H506">
        <v>8388000</v>
      </c>
    </row>
    <row r="507" spans="1:8" x14ac:dyDescent="0.35">
      <c r="A507" s="1" t="s">
        <v>706</v>
      </c>
      <c r="B507" s="1" t="s">
        <v>149</v>
      </c>
      <c r="C507" s="2">
        <v>45531</v>
      </c>
      <c r="D507" s="1" t="s">
        <v>1317</v>
      </c>
      <c r="E507" s="1" t="s">
        <v>41</v>
      </c>
      <c r="F507" s="1" t="s">
        <v>53</v>
      </c>
      <c r="G507">
        <v>2028000</v>
      </c>
      <c r="H507">
        <v>828000</v>
      </c>
    </row>
    <row r="508" spans="1:8" x14ac:dyDescent="0.35">
      <c r="A508" s="1" t="s">
        <v>915</v>
      </c>
      <c r="B508" s="1" t="s">
        <v>141</v>
      </c>
      <c r="C508" s="2">
        <v>45630</v>
      </c>
      <c r="D508" s="1" t="s">
        <v>1330</v>
      </c>
      <c r="E508" s="1" t="s">
        <v>41</v>
      </c>
      <c r="F508" s="1" t="s">
        <v>53</v>
      </c>
      <c r="G508">
        <v>3738000</v>
      </c>
      <c r="H508">
        <v>1338000</v>
      </c>
    </row>
    <row r="509" spans="1:8" x14ac:dyDescent="0.35">
      <c r="A509" s="1" t="s">
        <v>510</v>
      </c>
      <c r="B509" s="1" t="s">
        <v>141</v>
      </c>
      <c r="C509" s="2">
        <v>45404</v>
      </c>
      <c r="D509" s="1" t="s">
        <v>1330</v>
      </c>
      <c r="E509" s="1" t="s">
        <v>41</v>
      </c>
      <c r="F509" s="1" t="s">
        <v>53</v>
      </c>
      <c r="G509">
        <v>623000</v>
      </c>
      <c r="H509">
        <v>223000</v>
      </c>
    </row>
    <row r="510" spans="1:8" x14ac:dyDescent="0.35">
      <c r="A510" s="1" t="s">
        <v>428</v>
      </c>
      <c r="B510" s="1" t="s">
        <v>149</v>
      </c>
      <c r="C510" s="2">
        <v>45394</v>
      </c>
      <c r="D510" s="1" t="s">
        <v>1317</v>
      </c>
      <c r="E510" s="1" t="s">
        <v>41</v>
      </c>
      <c r="F510" s="1" t="s">
        <v>53</v>
      </c>
      <c r="G510">
        <v>507000</v>
      </c>
      <c r="H510">
        <v>207000</v>
      </c>
    </row>
    <row r="511" spans="1:8" x14ac:dyDescent="0.35">
      <c r="A511" s="1" t="s">
        <v>976</v>
      </c>
      <c r="B511" s="1" t="s">
        <v>141</v>
      </c>
      <c r="C511" s="2">
        <v>45619</v>
      </c>
      <c r="D511" s="1" t="s">
        <v>1330</v>
      </c>
      <c r="E511" s="1" t="s">
        <v>41</v>
      </c>
      <c r="F511" s="1" t="s">
        <v>53</v>
      </c>
      <c r="G511">
        <v>3115000</v>
      </c>
      <c r="H511">
        <v>1115000</v>
      </c>
    </row>
    <row r="512" spans="1:8" x14ac:dyDescent="0.35">
      <c r="A512" s="1" t="s">
        <v>469</v>
      </c>
      <c r="B512" s="1" t="s">
        <v>168</v>
      </c>
      <c r="C512" s="2">
        <v>45533</v>
      </c>
      <c r="D512" s="1" t="s">
        <v>1336</v>
      </c>
      <c r="E512" s="1" t="s">
        <v>41</v>
      </c>
      <c r="F512" s="1" t="s">
        <v>53</v>
      </c>
      <c r="G512">
        <v>10128000</v>
      </c>
      <c r="H512">
        <v>4128000</v>
      </c>
    </row>
    <row r="513" spans="1:8" x14ac:dyDescent="0.35">
      <c r="A513" s="1" t="s">
        <v>151</v>
      </c>
      <c r="B513" s="1" t="s">
        <v>109</v>
      </c>
      <c r="C513" s="2">
        <v>45648</v>
      </c>
      <c r="D513" s="1" t="s">
        <v>1358</v>
      </c>
      <c r="E513" s="1" t="s">
        <v>41</v>
      </c>
      <c r="F513" s="1" t="s">
        <v>53</v>
      </c>
      <c r="G513">
        <v>3382000</v>
      </c>
      <c r="H513">
        <v>1382000</v>
      </c>
    </row>
    <row r="514" spans="1:8" x14ac:dyDescent="0.35">
      <c r="A514" s="1" t="s">
        <v>395</v>
      </c>
      <c r="B514" s="1" t="s">
        <v>141</v>
      </c>
      <c r="C514" s="2">
        <v>45480</v>
      </c>
      <c r="D514" s="1" t="s">
        <v>1330</v>
      </c>
      <c r="E514" s="1" t="s">
        <v>41</v>
      </c>
      <c r="F514" s="1" t="s">
        <v>53</v>
      </c>
      <c r="G514">
        <v>4984000</v>
      </c>
      <c r="H514">
        <v>1784000</v>
      </c>
    </row>
    <row r="515" spans="1:8" x14ac:dyDescent="0.35">
      <c r="A515" s="1" t="s">
        <v>1086</v>
      </c>
      <c r="B515" s="1" t="s">
        <v>141</v>
      </c>
      <c r="C515" s="2">
        <v>45538</v>
      </c>
      <c r="D515" s="1" t="s">
        <v>1330</v>
      </c>
      <c r="E515" s="1" t="s">
        <v>41</v>
      </c>
      <c r="F515" s="1" t="s">
        <v>53</v>
      </c>
      <c r="G515">
        <v>9345000</v>
      </c>
      <c r="H515">
        <v>3345000</v>
      </c>
    </row>
    <row r="516" spans="1:8" x14ac:dyDescent="0.35">
      <c r="A516" s="1" t="s">
        <v>1261</v>
      </c>
      <c r="B516" s="1" t="s">
        <v>168</v>
      </c>
      <c r="C516" s="2">
        <v>45515</v>
      </c>
      <c r="D516" s="1" t="s">
        <v>1336</v>
      </c>
      <c r="E516" s="1" t="s">
        <v>41</v>
      </c>
      <c r="F516" s="1" t="s">
        <v>53</v>
      </c>
      <c r="G516">
        <v>4220000</v>
      </c>
      <c r="H516">
        <v>1720000</v>
      </c>
    </row>
    <row r="517" spans="1:8" x14ac:dyDescent="0.35">
      <c r="A517" s="1" t="s">
        <v>1201</v>
      </c>
      <c r="B517" s="1" t="s">
        <v>149</v>
      </c>
      <c r="C517" s="2">
        <v>45380</v>
      </c>
      <c r="D517" s="1" t="s">
        <v>1317</v>
      </c>
      <c r="E517" s="1" t="s">
        <v>41</v>
      </c>
      <c r="F517" s="1" t="s">
        <v>53</v>
      </c>
      <c r="G517">
        <v>1690000</v>
      </c>
      <c r="H517">
        <v>690000</v>
      </c>
    </row>
    <row r="518" spans="1:8" x14ac:dyDescent="0.35">
      <c r="A518" s="1" t="s">
        <v>652</v>
      </c>
      <c r="B518" s="1" t="s">
        <v>141</v>
      </c>
      <c r="C518" s="2">
        <v>45592</v>
      </c>
      <c r="D518" s="1" t="s">
        <v>1330</v>
      </c>
      <c r="E518" s="1" t="s">
        <v>41</v>
      </c>
      <c r="F518" s="1" t="s">
        <v>53</v>
      </c>
      <c r="G518">
        <v>2492000</v>
      </c>
      <c r="H518">
        <v>892000</v>
      </c>
    </row>
    <row r="519" spans="1:8" x14ac:dyDescent="0.35">
      <c r="A519" s="1" t="s">
        <v>811</v>
      </c>
      <c r="B519" s="1" t="s">
        <v>188</v>
      </c>
      <c r="C519" s="2">
        <v>45618</v>
      </c>
      <c r="D519" s="1" t="s">
        <v>1311</v>
      </c>
      <c r="E519" s="1" t="s">
        <v>41</v>
      </c>
      <c r="F519" s="1" t="s">
        <v>53</v>
      </c>
      <c r="G519">
        <v>14241000</v>
      </c>
      <c r="H519">
        <v>5841000</v>
      </c>
    </row>
    <row r="520" spans="1:8" x14ac:dyDescent="0.35">
      <c r="A520" s="1" t="s">
        <v>508</v>
      </c>
      <c r="B520" s="1" t="s">
        <v>141</v>
      </c>
      <c r="C520" s="2">
        <v>45655</v>
      </c>
      <c r="D520" s="1" t="s">
        <v>1330</v>
      </c>
      <c r="E520" s="1" t="s">
        <v>41</v>
      </c>
      <c r="F520" s="1" t="s">
        <v>53</v>
      </c>
      <c r="G520">
        <v>623000</v>
      </c>
      <c r="H520">
        <v>223000</v>
      </c>
    </row>
    <row r="521" spans="1:8" x14ac:dyDescent="0.35">
      <c r="A521" s="1" t="s">
        <v>823</v>
      </c>
      <c r="B521" s="1" t="s">
        <v>141</v>
      </c>
      <c r="C521" s="2">
        <v>45388</v>
      </c>
      <c r="D521" s="1" t="s">
        <v>1330</v>
      </c>
      <c r="E521" s="1" t="s">
        <v>41</v>
      </c>
      <c r="F521" s="1" t="s">
        <v>53</v>
      </c>
      <c r="G521">
        <v>6853000</v>
      </c>
      <c r="H521">
        <v>2453000</v>
      </c>
    </row>
    <row r="522" spans="1:8" x14ac:dyDescent="0.35">
      <c r="A522" s="1" t="s">
        <v>1075</v>
      </c>
      <c r="B522" s="1" t="s">
        <v>141</v>
      </c>
      <c r="C522" s="2">
        <v>45586</v>
      </c>
      <c r="D522" s="1" t="s">
        <v>1330</v>
      </c>
      <c r="E522" s="1" t="s">
        <v>41</v>
      </c>
      <c r="F522" s="1" t="s">
        <v>53</v>
      </c>
      <c r="G522">
        <v>1869000</v>
      </c>
      <c r="H522">
        <v>669000</v>
      </c>
    </row>
    <row r="523" spans="1:8" x14ac:dyDescent="0.35">
      <c r="A523" s="1" t="s">
        <v>1252</v>
      </c>
      <c r="B523" s="1" t="s">
        <v>164</v>
      </c>
      <c r="C523" s="2">
        <v>45314</v>
      </c>
      <c r="D523" s="1" t="s">
        <v>1330</v>
      </c>
      <c r="E523" s="1" t="s">
        <v>11</v>
      </c>
      <c r="F523" s="1" t="s">
        <v>53</v>
      </c>
      <c r="G523">
        <v>3884000</v>
      </c>
      <c r="H523">
        <v>884000</v>
      </c>
    </row>
    <row r="524" spans="1:8" x14ac:dyDescent="0.35">
      <c r="A524" s="1" t="s">
        <v>306</v>
      </c>
      <c r="B524" s="1" t="s">
        <v>191</v>
      </c>
      <c r="C524" s="2">
        <v>45637</v>
      </c>
      <c r="D524" s="1" t="s">
        <v>1311</v>
      </c>
      <c r="E524" s="1" t="s">
        <v>11</v>
      </c>
      <c r="F524" s="1" t="s">
        <v>53</v>
      </c>
      <c r="G524">
        <v>153593000</v>
      </c>
      <c r="H524">
        <v>21593000</v>
      </c>
    </row>
    <row r="525" spans="1:8" x14ac:dyDescent="0.35">
      <c r="A525" s="1" t="s">
        <v>934</v>
      </c>
      <c r="B525" s="1" t="s">
        <v>137</v>
      </c>
      <c r="C525" s="2">
        <v>45429</v>
      </c>
      <c r="D525" s="1" t="s">
        <v>1311</v>
      </c>
      <c r="E525" s="1" t="s">
        <v>11</v>
      </c>
      <c r="F525" s="1" t="s">
        <v>53</v>
      </c>
      <c r="G525">
        <v>12665000</v>
      </c>
      <c r="H525">
        <v>2665000</v>
      </c>
    </row>
    <row r="526" spans="1:8" x14ac:dyDescent="0.35">
      <c r="A526" s="1" t="s">
        <v>432</v>
      </c>
      <c r="B526" s="1" t="s">
        <v>164</v>
      </c>
      <c r="C526" s="2">
        <v>45434</v>
      </c>
      <c r="D526" s="1" t="s">
        <v>1330</v>
      </c>
      <c r="E526" s="1" t="s">
        <v>11</v>
      </c>
      <c r="F526" s="1" t="s">
        <v>53</v>
      </c>
      <c r="G526">
        <v>971000</v>
      </c>
      <c r="H526">
        <v>221000</v>
      </c>
    </row>
    <row r="527" spans="1:8" x14ac:dyDescent="0.35">
      <c r="A527" s="1" t="s">
        <v>688</v>
      </c>
      <c r="B527" s="1" t="s">
        <v>164</v>
      </c>
      <c r="C527" s="2">
        <v>45504</v>
      </c>
      <c r="D527" s="1" t="s">
        <v>1330</v>
      </c>
      <c r="E527" s="1" t="s">
        <v>11</v>
      </c>
      <c r="F527" s="1" t="s">
        <v>53</v>
      </c>
      <c r="G527">
        <v>3884000</v>
      </c>
      <c r="H527">
        <v>884000</v>
      </c>
    </row>
    <row r="528" spans="1:8" x14ac:dyDescent="0.35">
      <c r="A528" s="1" t="s">
        <v>420</v>
      </c>
      <c r="B528" s="1" t="s">
        <v>164</v>
      </c>
      <c r="C528" s="2">
        <v>45567</v>
      </c>
      <c r="D528" s="1" t="s">
        <v>1330</v>
      </c>
      <c r="E528" s="1" t="s">
        <v>11</v>
      </c>
      <c r="F528" s="1" t="s">
        <v>53</v>
      </c>
      <c r="G528">
        <v>12623000</v>
      </c>
      <c r="H528">
        <v>2873000</v>
      </c>
    </row>
    <row r="529" spans="1:8" x14ac:dyDescent="0.35">
      <c r="A529" s="1" t="s">
        <v>1034</v>
      </c>
      <c r="B529" s="1" t="s">
        <v>137</v>
      </c>
      <c r="C529" s="2">
        <v>45368</v>
      </c>
      <c r="D529" s="1" t="s">
        <v>1311</v>
      </c>
      <c r="E529" s="1" t="s">
        <v>11</v>
      </c>
      <c r="F529" s="1" t="s">
        <v>53</v>
      </c>
      <c r="G529">
        <v>7599000</v>
      </c>
      <c r="H529">
        <v>1599000</v>
      </c>
    </row>
    <row r="530" spans="1:8" x14ac:dyDescent="0.35">
      <c r="A530" s="1" t="s">
        <v>845</v>
      </c>
      <c r="B530" s="1" t="s">
        <v>197</v>
      </c>
      <c r="C530" s="2">
        <v>45392</v>
      </c>
      <c r="D530" s="1" t="s">
        <v>1336</v>
      </c>
      <c r="E530" s="1" t="s">
        <v>11</v>
      </c>
      <c r="F530" s="1" t="s">
        <v>53</v>
      </c>
      <c r="G530">
        <v>16500000</v>
      </c>
      <c r="H530">
        <v>2100000</v>
      </c>
    </row>
    <row r="531" spans="1:8" x14ac:dyDescent="0.35">
      <c r="A531" s="1" t="s">
        <v>266</v>
      </c>
      <c r="B531" s="1" t="s">
        <v>197</v>
      </c>
      <c r="C531" s="2">
        <v>45492</v>
      </c>
      <c r="D531" s="1" t="s">
        <v>1336</v>
      </c>
      <c r="E531" s="1" t="s">
        <v>11</v>
      </c>
      <c r="F531" s="1" t="s">
        <v>53</v>
      </c>
      <c r="G531">
        <v>13750000</v>
      </c>
      <c r="H531">
        <v>1750000</v>
      </c>
    </row>
    <row r="532" spans="1:8" x14ac:dyDescent="0.35">
      <c r="A532" s="1" t="s">
        <v>371</v>
      </c>
      <c r="B532" s="1" t="s">
        <v>197</v>
      </c>
      <c r="C532" s="2">
        <v>45646</v>
      </c>
      <c r="D532" s="1" t="s">
        <v>1336</v>
      </c>
      <c r="E532" s="1" t="s">
        <v>11</v>
      </c>
      <c r="F532" s="1" t="s">
        <v>53</v>
      </c>
      <c r="G532">
        <v>12375000</v>
      </c>
      <c r="H532">
        <v>1575000</v>
      </c>
    </row>
    <row r="533" spans="1:8" x14ac:dyDescent="0.35">
      <c r="A533" s="1" t="s">
        <v>371</v>
      </c>
      <c r="B533" s="1" t="s">
        <v>133</v>
      </c>
      <c r="C533" s="2">
        <v>45646</v>
      </c>
      <c r="D533" s="1" t="s">
        <v>1330</v>
      </c>
      <c r="E533" s="1" t="s">
        <v>11</v>
      </c>
      <c r="F533" s="1" t="s">
        <v>53</v>
      </c>
      <c r="G533">
        <v>27720000</v>
      </c>
      <c r="H533">
        <v>5220000</v>
      </c>
    </row>
    <row r="534" spans="1:8" x14ac:dyDescent="0.35">
      <c r="A534" s="1" t="s">
        <v>381</v>
      </c>
      <c r="B534" s="1" t="s">
        <v>197</v>
      </c>
      <c r="C534" s="2">
        <v>45429</v>
      </c>
      <c r="D534" s="1" t="s">
        <v>1336</v>
      </c>
      <c r="E534" s="1" t="s">
        <v>11</v>
      </c>
      <c r="F534" s="1" t="s">
        <v>53</v>
      </c>
      <c r="G534">
        <v>4125000</v>
      </c>
      <c r="H534">
        <v>525000</v>
      </c>
    </row>
    <row r="535" spans="1:8" x14ac:dyDescent="0.35">
      <c r="A535" s="1" t="s">
        <v>1065</v>
      </c>
      <c r="B535" s="1" t="s">
        <v>137</v>
      </c>
      <c r="C535" s="2">
        <v>45442</v>
      </c>
      <c r="D535" s="1" t="s">
        <v>1311</v>
      </c>
      <c r="E535" s="1" t="s">
        <v>11</v>
      </c>
      <c r="F535" s="1" t="s">
        <v>53</v>
      </c>
      <c r="G535">
        <v>2533000</v>
      </c>
      <c r="H535">
        <v>533000</v>
      </c>
    </row>
    <row r="536" spans="1:8" x14ac:dyDescent="0.35">
      <c r="A536" s="1" t="s">
        <v>522</v>
      </c>
      <c r="B536" s="1" t="s">
        <v>191</v>
      </c>
      <c r="C536" s="2">
        <v>45455</v>
      </c>
      <c r="D536" s="1" t="s">
        <v>1311</v>
      </c>
      <c r="E536" s="1" t="s">
        <v>11</v>
      </c>
      <c r="F536" s="1" t="s">
        <v>53</v>
      </c>
      <c r="G536">
        <v>97741000</v>
      </c>
      <c r="H536">
        <v>13741000</v>
      </c>
    </row>
    <row r="537" spans="1:8" x14ac:dyDescent="0.35">
      <c r="A537" s="1" t="s">
        <v>1100</v>
      </c>
      <c r="B537" s="1" t="s">
        <v>133</v>
      </c>
      <c r="C537" s="2">
        <v>45312</v>
      </c>
      <c r="D537" s="1" t="s">
        <v>1330</v>
      </c>
      <c r="E537" s="1" t="s">
        <v>11</v>
      </c>
      <c r="F537" s="1" t="s">
        <v>53</v>
      </c>
      <c r="G537">
        <v>12320000</v>
      </c>
      <c r="H537">
        <v>2320000</v>
      </c>
    </row>
    <row r="538" spans="1:8" x14ac:dyDescent="0.35">
      <c r="A538" s="1" t="s">
        <v>562</v>
      </c>
      <c r="B538" s="1" t="s">
        <v>191</v>
      </c>
      <c r="C538" s="2">
        <v>45634</v>
      </c>
      <c r="D538" s="1" t="s">
        <v>1311</v>
      </c>
      <c r="E538" s="1" t="s">
        <v>11</v>
      </c>
      <c r="F538" s="1" t="s">
        <v>53</v>
      </c>
      <c r="G538">
        <v>181519000</v>
      </c>
      <c r="H538">
        <v>25519000</v>
      </c>
    </row>
    <row r="539" spans="1:8" x14ac:dyDescent="0.35">
      <c r="A539" s="1" t="s">
        <v>624</v>
      </c>
      <c r="B539" s="1" t="s">
        <v>113</v>
      </c>
      <c r="C539" s="2">
        <v>45628</v>
      </c>
      <c r="D539" s="1" t="s">
        <v>1311</v>
      </c>
      <c r="E539" s="1" t="s">
        <v>1323</v>
      </c>
      <c r="F539" s="1" t="s">
        <v>53</v>
      </c>
      <c r="G539">
        <v>27610000</v>
      </c>
      <c r="H539">
        <v>5110000</v>
      </c>
    </row>
    <row r="540" spans="1:8" x14ac:dyDescent="0.35">
      <c r="A540" s="1" t="s">
        <v>405</v>
      </c>
      <c r="B540" s="1" t="s">
        <v>111</v>
      </c>
      <c r="C540" s="2">
        <v>45594</v>
      </c>
      <c r="D540" s="1" t="s">
        <v>1311</v>
      </c>
      <c r="E540" s="1" t="s">
        <v>1323</v>
      </c>
      <c r="F540" s="1" t="s">
        <v>53</v>
      </c>
      <c r="G540">
        <v>358839000</v>
      </c>
      <c r="H540">
        <v>124839000</v>
      </c>
    </row>
    <row r="541" spans="1:8" x14ac:dyDescent="0.35">
      <c r="A541" s="1" t="s">
        <v>413</v>
      </c>
      <c r="B541" s="1" t="s">
        <v>272</v>
      </c>
      <c r="C541" s="2">
        <v>45463</v>
      </c>
      <c r="D541" s="1" t="s">
        <v>1317</v>
      </c>
      <c r="E541" s="1" t="s">
        <v>1323</v>
      </c>
      <c r="F541" s="1" t="s">
        <v>53</v>
      </c>
      <c r="G541">
        <v>10374000</v>
      </c>
      <c r="H541">
        <v>1274000</v>
      </c>
    </row>
    <row r="542" spans="1:8" x14ac:dyDescent="0.35">
      <c r="A542" s="1" t="s">
        <v>371</v>
      </c>
      <c r="B542" s="1" t="s">
        <v>116</v>
      </c>
      <c r="C542" s="2">
        <v>45646</v>
      </c>
      <c r="D542" s="1" t="s">
        <v>1330</v>
      </c>
      <c r="E542" s="1" t="s">
        <v>1323</v>
      </c>
      <c r="F542" s="1" t="s">
        <v>53</v>
      </c>
      <c r="G542">
        <v>67914000</v>
      </c>
      <c r="H542">
        <v>22914000</v>
      </c>
    </row>
    <row r="543" spans="1:8" x14ac:dyDescent="0.35">
      <c r="A543" s="1" t="s">
        <v>298</v>
      </c>
      <c r="B543" s="1" t="s">
        <v>111</v>
      </c>
      <c r="C543" s="2">
        <v>45450</v>
      </c>
      <c r="D543" s="1" t="s">
        <v>1311</v>
      </c>
      <c r="E543" s="1" t="s">
        <v>1323</v>
      </c>
      <c r="F543" s="1" t="s">
        <v>53</v>
      </c>
      <c r="G543">
        <v>386442000</v>
      </c>
      <c r="H543">
        <v>134442000</v>
      </c>
    </row>
    <row r="544" spans="1:8" x14ac:dyDescent="0.35">
      <c r="A544" s="1" t="s">
        <v>620</v>
      </c>
      <c r="B544" s="1" t="s">
        <v>173</v>
      </c>
      <c r="C544" s="2">
        <v>45333</v>
      </c>
      <c r="D544" s="1" t="s">
        <v>1317</v>
      </c>
      <c r="E544" s="1" t="s">
        <v>1323</v>
      </c>
      <c r="F544" s="1" t="s">
        <v>53</v>
      </c>
      <c r="G544">
        <v>92000</v>
      </c>
      <c r="H544">
        <v>12000</v>
      </c>
    </row>
    <row r="545" spans="1:8" x14ac:dyDescent="0.35">
      <c r="A545" s="1" t="s">
        <v>923</v>
      </c>
      <c r="B545" s="1" t="s">
        <v>173</v>
      </c>
      <c r="C545" s="2">
        <v>45440</v>
      </c>
      <c r="D545" s="1" t="s">
        <v>1317</v>
      </c>
      <c r="E545" s="1" t="s">
        <v>1323</v>
      </c>
      <c r="F545" s="1" t="s">
        <v>53</v>
      </c>
      <c r="G545">
        <v>1288000</v>
      </c>
      <c r="H545">
        <v>168000</v>
      </c>
    </row>
    <row r="546" spans="1:8" x14ac:dyDescent="0.35">
      <c r="A546" s="1" t="s">
        <v>776</v>
      </c>
      <c r="B546" s="1" t="s">
        <v>106</v>
      </c>
      <c r="C546" s="2">
        <v>45600</v>
      </c>
      <c r="D546" s="1" t="s">
        <v>1317</v>
      </c>
      <c r="E546" s="1" t="s">
        <v>1323</v>
      </c>
      <c r="F546" s="1" t="s">
        <v>53</v>
      </c>
      <c r="G546">
        <v>4970000</v>
      </c>
      <c r="H546">
        <v>770000</v>
      </c>
    </row>
    <row r="547" spans="1:8" x14ac:dyDescent="0.35">
      <c r="A547" s="1" t="s">
        <v>1171</v>
      </c>
      <c r="B547" s="1" t="s">
        <v>141</v>
      </c>
      <c r="C547" s="2">
        <v>45642</v>
      </c>
      <c r="D547" s="1" t="s">
        <v>1330</v>
      </c>
      <c r="E547" s="1" t="s">
        <v>41</v>
      </c>
      <c r="F547" s="1" t="s">
        <v>17</v>
      </c>
      <c r="G547">
        <v>3738000</v>
      </c>
      <c r="H547">
        <v>1338000</v>
      </c>
    </row>
    <row r="548" spans="1:8" x14ac:dyDescent="0.35">
      <c r="A548" s="1" t="s">
        <v>744</v>
      </c>
      <c r="B548" s="1" t="s">
        <v>188</v>
      </c>
      <c r="C548" s="2">
        <v>45535</v>
      </c>
      <c r="D548" s="1" t="s">
        <v>1311</v>
      </c>
      <c r="E548" s="1" t="s">
        <v>41</v>
      </c>
      <c r="F548" s="1" t="s">
        <v>17</v>
      </c>
      <c r="G548">
        <v>33229000</v>
      </c>
      <c r="H548">
        <v>13629000</v>
      </c>
    </row>
    <row r="549" spans="1:8" x14ac:dyDescent="0.35">
      <c r="A549" s="1" t="s">
        <v>789</v>
      </c>
      <c r="B549" s="1" t="s">
        <v>141</v>
      </c>
      <c r="C549" s="2">
        <v>45345</v>
      </c>
      <c r="D549" s="1" t="s">
        <v>1330</v>
      </c>
      <c r="E549" s="1" t="s">
        <v>41</v>
      </c>
      <c r="F549" s="1" t="s">
        <v>17</v>
      </c>
      <c r="G549">
        <v>5607000</v>
      </c>
      <c r="H549">
        <v>2007000</v>
      </c>
    </row>
    <row r="550" spans="1:8" x14ac:dyDescent="0.35">
      <c r="A550" s="1" t="s">
        <v>477</v>
      </c>
      <c r="B550" s="1" t="s">
        <v>172</v>
      </c>
      <c r="C550" s="2">
        <v>45611</v>
      </c>
      <c r="D550" s="1" t="s">
        <v>1330</v>
      </c>
      <c r="E550" s="1" t="s">
        <v>41</v>
      </c>
      <c r="F550" s="1" t="s">
        <v>17</v>
      </c>
      <c r="G550">
        <v>13192000</v>
      </c>
      <c r="H550">
        <v>5592000</v>
      </c>
    </row>
    <row r="551" spans="1:8" x14ac:dyDescent="0.35">
      <c r="A551" s="1" t="s">
        <v>774</v>
      </c>
      <c r="B551" s="1" t="s">
        <v>168</v>
      </c>
      <c r="C551" s="2">
        <v>45523</v>
      </c>
      <c r="D551" s="1" t="s">
        <v>1336</v>
      </c>
      <c r="E551" s="1" t="s">
        <v>41</v>
      </c>
      <c r="F551" s="1" t="s">
        <v>17</v>
      </c>
      <c r="G551">
        <v>5064000</v>
      </c>
      <c r="H551">
        <v>2064000</v>
      </c>
    </row>
    <row r="552" spans="1:8" x14ac:dyDescent="0.35">
      <c r="A552" s="1" t="s">
        <v>255</v>
      </c>
      <c r="B552" s="1" t="s">
        <v>141</v>
      </c>
      <c r="C552" s="2">
        <v>45456</v>
      </c>
      <c r="D552" s="1" t="s">
        <v>1330</v>
      </c>
      <c r="E552" s="1" t="s">
        <v>41</v>
      </c>
      <c r="F552" s="1" t="s">
        <v>17</v>
      </c>
      <c r="G552">
        <v>2492000</v>
      </c>
      <c r="H552">
        <v>892000</v>
      </c>
    </row>
    <row r="553" spans="1:8" x14ac:dyDescent="0.35">
      <c r="A553" s="1" t="s">
        <v>764</v>
      </c>
      <c r="B553" s="1" t="s">
        <v>168</v>
      </c>
      <c r="C553" s="2">
        <v>45548</v>
      </c>
      <c r="D553" s="1" t="s">
        <v>1336</v>
      </c>
      <c r="E553" s="1" t="s">
        <v>41</v>
      </c>
      <c r="F553" s="1" t="s">
        <v>17</v>
      </c>
      <c r="G553">
        <v>7596000</v>
      </c>
      <c r="H553">
        <v>3096000</v>
      </c>
    </row>
    <row r="554" spans="1:8" x14ac:dyDescent="0.35">
      <c r="A554" s="1" t="s">
        <v>273</v>
      </c>
      <c r="B554" s="1" t="s">
        <v>188</v>
      </c>
      <c r="C554" s="2">
        <v>45355</v>
      </c>
      <c r="D554" s="1" t="s">
        <v>1311</v>
      </c>
      <c r="E554" s="1" t="s">
        <v>41</v>
      </c>
      <c r="F554" s="1" t="s">
        <v>17</v>
      </c>
      <c r="G554">
        <v>71205000</v>
      </c>
      <c r="H554">
        <v>29205000</v>
      </c>
    </row>
    <row r="555" spans="1:8" x14ac:dyDescent="0.35">
      <c r="A555" s="1" t="s">
        <v>758</v>
      </c>
      <c r="B555" s="1" t="s">
        <v>240</v>
      </c>
      <c r="C555" s="2">
        <v>45650</v>
      </c>
      <c r="D555" s="1" t="s">
        <v>1317</v>
      </c>
      <c r="E555" s="1" t="s">
        <v>41</v>
      </c>
      <c r="F555" s="1" t="s">
        <v>17</v>
      </c>
      <c r="G555">
        <v>8138000</v>
      </c>
      <c r="H555">
        <v>3588000</v>
      </c>
    </row>
    <row r="556" spans="1:8" x14ac:dyDescent="0.35">
      <c r="A556" s="1" t="s">
        <v>752</v>
      </c>
      <c r="B556" s="1" t="s">
        <v>248</v>
      </c>
      <c r="C556" s="2">
        <v>45319</v>
      </c>
      <c r="D556" s="1" t="s">
        <v>1336</v>
      </c>
      <c r="E556" s="1" t="s">
        <v>41</v>
      </c>
      <c r="F556" s="1" t="s">
        <v>17</v>
      </c>
      <c r="G556">
        <v>2478000</v>
      </c>
      <c r="H556">
        <v>728000</v>
      </c>
    </row>
    <row r="557" spans="1:8" x14ac:dyDescent="0.35">
      <c r="A557" s="1" t="s">
        <v>636</v>
      </c>
      <c r="B557" s="1" t="s">
        <v>240</v>
      </c>
      <c r="C557" s="2">
        <v>45501</v>
      </c>
      <c r="D557" s="1" t="s">
        <v>1317</v>
      </c>
      <c r="E557" s="1" t="s">
        <v>41</v>
      </c>
      <c r="F557" s="1" t="s">
        <v>17</v>
      </c>
      <c r="G557">
        <v>6886000</v>
      </c>
      <c r="H557">
        <v>3036000</v>
      </c>
    </row>
    <row r="558" spans="1:8" x14ac:dyDescent="0.35">
      <c r="A558" s="1" t="s">
        <v>608</v>
      </c>
      <c r="B558" s="1" t="s">
        <v>172</v>
      </c>
      <c r="C558" s="2">
        <v>45481</v>
      </c>
      <c r="D558" s="1" t="s">
        <v>1330</v>
      </c>
      <c r="E558" s="1" t="s">
        <v>41</v>
      </c>
      <c r="F558" s="1" t="s">
        <v>17</v>
      </c>
      <c r="G558">
        <v>11543000</v>
      </c>
      <c r="H558">
        <v>4893000</v>
      </c>
    </row>
    <row r="559" spans="1:8" x14ac:dyDescent="0.35">
      <c r="A559" s="1" t="s">
        <v>323</v>
      </c>
      <c r="B559" s="1" t="s">
        <v>240</v>
      </c>
      <c r="C559" s="2">
        <v>45423</v>
      </c>
      <c r="D559" s="1" t="s">
        <v>1317</v>
      </c>
      <c r="E559" s="1" t="s">
        <v>41</v>
      </c>
      <c r="F559" s="1" t="s">
        <v>17</v>
      </c>
      <c r="G559">
        <v>1252000</v>
      </c>
      <c r="H559">
        <v>552000</v>
      </c>
    </row>
    <row r="560" spans="1:8" x14ac:dyDescent="0.35">
      <c r="A560" s="1" t="s">
        <v>572</v>
      </c>
      <c r="B560" s="1" t="s">
        <v>109</v>
      </c>
      <c r="C560" s="2">
        <v>45639</v>
      </c>
      <c r="D560" s="1" t="s">
        <v>1358</v>
      </c>
      <c r="E560" s="1" t="s">
        <v>41</v>
      </c>
      <c r="F560" s="1" t="s">
        <v>17</v>
      </c>
      <c r="G560">
        <v>16910000</v>
      </c>
      <c r="H560">
        <v>6910000</v>
      </c>
    </row>
    <row r="561" spans="1:8" x14ac:dyDescent="0.35">
      <c r="A561" s="1" t="s">
        <v>329</v>
      </c>
      <c r="B561" s="1" t="s">
        <v>172</v>
      </c>
      <c r="C561" s="2">
        <v>45422</v>
      </c>
      <c r="D561" s="1" t="s">
        <v>1330</v>
      </c>
      <c r="E561" s="1" t="s">
        <v>41</v>
      </c>
      <c r="F561" s="1" t="s">
        <v>17</v>
      </c>
      <c r="G561">
        <v>9894000</v>
      </c>
      <c r="H561">
        <v>4194000</v>
      </c>
    </row>
    <row r="562" spans="1:8" x14ac:dyDescent="0.35">
      <c r="A562" s="1" t="s">
        <v>560</v>
      </c>
      <c r="B562" s="1" t="s">
        <v>141</v>
      </c>
      <c r="C562" s="2">
        <v>45353</v>
      </c>
      <c r="D562" s="1" t="s">
        <v>1330</v>
      </c>
      <c r="E562" s="1" t="s">
        <v>41</v>
      </c>
      <c r="F562" s="1" t="s">
        <v>17</v>
      </c>
      <c r="G562">
        <v>6230000</v>
      </c>
      <c r="H562">
        <v>2230000</v>
      </c>
    </row>
    <row r="563" spans="1:8" x14ac:dyDescent="0.35">
      <c r="A563" s="1" t="s">
        <v>524</v>
      </c>
      <c r="B563" s="1" t="s">
        <v>168</v>
      </c>
      <c r="C563" s="2">
        <v>45373</v>
      </c>
      <c r="D563" s="1" t="s">
        <v>1336</v>
      </c>
      <c r="E563" s="1" t="s">
        <v>41</v>
      </c>
      <c r="F563" s="1" t="s">
        <v>17</v>
      </c>
      <c r="G563">
        <v>10128000</v>
      </c>
      <c r="H563">
        <v>4128000</v>
      </c>
    </row>
    <row r="564" spans="1:8" x14ac:dyDescent="0.35">
      <c r="A564" s="1" t="s">
        <v>514</v>
      </c>
      <c r="B564" s="1" t="s">
        <v>188</v>
      </c>
      <c r="C564" s="2">
        <v>45522</v>
      </c>
      <c r="D564" s="1" t="s">
        <v>1311</v>
      </c>
      <c r="E564" s="1" t="s">
        <v>41</v>
      </c>
      <c r="F564" s="1" t="s">
        <v>17</v>
      </c>
      <c r="G564">
        <v>42723000</v>
      </c>
      <c r="H564">
        <v>17523000</v>
      </c>
    </row>
    <row r="565" spans="1:8" x14ac:dyDescent="0.35">
      <c r="A565" s="1" t="s">
        <v>339</v>
      </c>
      <c r="B565" s="1" t="s">
        <v>172</v>
      </c>
      <c r="C565" s="2">
        <v>45511</v>
      </c>
      <c r="D565" s="1" t="s">
        <v>1330</v>
      </c>
      <c r="E565" s="1" t="s">
        <v>41</v>
      </c>
      <c r="F565" s="1" t="s">
        <v>17</v>
      </c>
      <c r="G565">
        <v>6596000</v>
      </c>
      <c r="H565">
        <v>2796000</v>
      </c>
    </row>
    <row r="566" spans="1:8" x14ac:dyDescent="0.35">
      <c r="A566" s="1" t="s">
        <v>479</v>
      </c>
      <c r="B566" s="1" t="s">
        <v>240</v>
      </c>
      <c r="C566" s="2">
        <v>45381</v>
      </c>
      <c r="D566" s="1" t="s">
        <v>1317</v>
      </c>
      <c r="E566" s="1" t="s">
        <v>41</v>
      </c>
      <c r="F566" s="1" t="s">
        <v>17</v>
      </c>
      <c r="G566">
        <v>3130000</v>
      </c>
      <c r="H566">
        <v>1380000</v>
      </c>
    </row>
    <row r="567" spans="1:8" x14ac:dyDescent="0.35">
      <c r="A567" s="1" t="s">
        <v>842</v>
      </c>
      <c r="B567" s="1" t="s">
        <v>141</v>
      </c>
      <c r="C567" s="2">
        <v>45528</v>
      </c>
      <c r="D567" s="1" t="s">
        <v>1330</v>
      </c>
      <c r="E567" s="1" t="s">
        <v>41</v>
      </c>
      <c r="F567" s="1" t="s">
        <v>17</v>
      </c>
      <c r="G567">
        <v>1246000</v>
      </c>
      <c r="H567">
        <v>446000</v>
      </c>
    </row>
    <row r="568" spans="1:8" x14ac:dyDescent="0.35">
      <c r="A568" s="1" t="s">
        <v>865</v>
      </c>
      <c r="B568" s="1" t="s">
        <v>149</v>
      </c>
      <c r="C568" s="2">
        <v>45424</v>
      </c>
      <c r="D568" s="1" t="s">
        <v>1317</v>
      </c>
      <c r="E568" s="1" t="s">
        <v>41</v>
      </c>
      <c r="F568" s="1" t="s">
        <v>17</v>
      </c>
      <c r="G568">
        <v>338000</v>
      </c>
      <c r="H568">
        <v>138000</v>
      </c>
    </row>
    <row r="569" spans="1:8" x14ac:dyDescent="0.35">
      <c r="A569" s="1" t="s">
        <v>379</v>
      </c>
      <c r="B569" s="1" t="s">
        <v>248</v>
      </c>
      <c r="C569" s="2">
        <v>45631</v>
      </c>
      <c r="D569" s="1" t="s">
        <v>1336</v>
      </c>
      <c r="E569" s="1" t="s">
        <v>41</v>
      </c>
      <c r="F569" s="1" t="s">
        <v>17</v>
      </c>
      <c r="G569">
        <v>4248000</v>
      </c>
      <c r="H569">
        <v>1248000</v>
      </c>
    </row>
    <row r="570" spans="1:8" x14ac:dyDescent="0.35">
      <c r="A570" s="1" t="s">
        <v>1069</v>
      </c>
      <c r="B570" s="1" t="s">
        <v>188</v>
      </c>
      <c r="C570" s="2">
        <v>45637</v>
      </c>
      <c r="D570" s="1" t="s">
        <v>1311</v>
      </c>
      <c r="E570" s="1" t="s">
        <v>41</v>
      </c>
      <c r="F570" s="1" t="s">
        <v>17</v>
      </c>
      <c r="G570">
        <v>52217000</v>
      </c>
      <c r="H570">
        <v>21417000</v>
      </c>
    </row>
    <row r="571" spans="1:8" x14ac:dyDescent="0.35">
      <c r="A571" s="1" t="s">
        <v>989</v>
      </c>
      <c r="B571" s="1" t="s">
        <v>172</v>
      </c>
      <c r="C571" s="2">
        <v>45432</v>
      </c>
      <c r="D571" s="1" t="s">
        <v>1330</v>
      </c>
      <c r="E571" s="1" t="s">
        <v>41</v>
      </c>
      <c r="F571" s="1" t="s">
        <v>17</v>
      </c>
      <c r="G571">
        <v>16490000</v>
      </c>
      <c r="H571">
        <v>6990000</v>
      </c>
    </row>
    <row r="572" spans="1:8" x14ac:dyDescent="0.35">
      <c r="A572" s="1" t="s">
        <v>1013</v>
      </c>
      <c r="B572" s="1" t="s">
        <v>172</v>
      </c>
      <c r="C572" s="2">
        <v>45323</v>
      </c>
      <c r="D572" s="1" t="s">
        <v>1330</v>
      </c>
      <c r="E572" s="1" t="s">
        <v>41</v>
      </c>
      <c r="F572" s="1" t="s">
        <v>17</v>
      </c>
      <c r="G572">
        <v>8245000</v>
      </c>
      <c r="H572">
        <v>3495000</v>
      </c>
    </row>
    <row r="573" spans="1:8" x14ac:dyDescent="0.35">
      <c r="A573" s="1" t="s">
        <v>966</v>
      </c>
      <c r="B573" s="1" t="s">
        <v>168</v>
      </c>
      <c r="C573" s="2">
        <v>45512</v>
      </c>
      <c r="D573" s="1" t="s">
        <v>1336</v>
      </c>
      <c r="E573" s="1" t="s">
        <v>41</v>
      </c>
      <c r="F573" s="1" t="s">
        <v>17</v>
      </c>
      <c r="G573">
        <v>8440000</v>
      </c>
      <c r="H573">
        <v>3440000</v>
      </c>
    </row>
    <row r="574" spans="1:8" x14ac:dyDescent="0.35">
      <c r="A574" s="1" t="s">
        <v>1059</v>
      </c>
      <c r="B574" s="1" t="s">
        <v>141</v>
      </c>
      <c r="C574" s="2">
        <v>45646</v>
      </c>
      <c r="D574" s="1" t="s">
        <v>1330</v>
      </c>
      <c r="E574" s="1" t="s">
        <v>41</v>
      </c>
      <c r="F574" s="1" t="s">
        <v>17</v>
      </c>
      <c r="G574">
        <v>1869000</v>
      </c>
      <c r="H574">
        <v>669000</v>
      </c>
    </row>
    <row r="575" spans="1:8" x14ac:dyDescent="0.35">
      <c r="A575" s="1" t="s">
        <v>236</v>
      </c>
      <c r="B575" s="1" t="s">
        <v>172</v>
      </c>
      <c r="C575" s="2">
        <v>45447</v>
      </c>
      <c r="D575" s="1" t="s">
        <v>1330</v>
      </c>
      <c r="E575" s="1" t="s">
        <v>41</v>
      </c>
      <c r="F575" s="1" t="s">
        <v>17</v>
      </c>
      <c r="G575">
        <v>13192000</v>
      </c>
      <c r="H575">
        <v>5592000</v>
      </c>
    </row>
    <row r="576" spans="1:8" x14ac:dyDescent="0.35">
      <c r="A576" s="1" t="s">
        <v>230</v>
      </c>
      <c r="B576" s="1" t="s">
        <v>141</v>
      </c>
      <c r="C576" s="2">
        <v>45368</v>
      </c>
      <c r="D576" s="1" t="s">
        <v>1330</v>
      </c>
      <c r="E576" s="1" t="s">
        <v>41</v>
      </c>
      <c r="F576" s="1" t="s">
        <v>17</v>
      </c>
      <c r="G576">
        <v>623000</v>
      </c>
      <c r="H576">
        <v>223000</v>
      </c>
    </row>
    <row r="577" spans="1:8" x14ac:dyDescent="0.35">
      <c r="A577" s="1" t="s">
        <v>1090</v>
      </c>
      <c r="B577" s="1" t="s">
        <v>109</v>
      </c>
      <c r="C577" s="2">
        <v>45572</v>
      </c>
      <c r="D577" s="1" t="s">
        <v>1358</v>
      </c>
      <c r="E577" s="1" t="s">
        <v>41</v>
      </c>
      <c r="F577" s="1" t="s">
        <v>17</v>
      </c>
      <c r="G577">
        <v>10146000</v>
      </c>
      <c r="H577">
        <v>4146000</v>
      </c>
    </row>
    <row r="578" spans="1:8" x14ac:dyDescent="0.35">
      <c r="A578" s="1" t="s">
        <v>1268</v>
      </c>
      <c r="B578" s="1" t="s">
        <v>164</v>
      </c>
      <c r="C578" s="2">
        <v>45582</v>
      </c>
      <c r="D578" s="1" t="s">
        <v>1330</v>
      </c>
      <c r="E578" s="1" t="s">
        <v>11</v>
      </c>
      <c r="F578" s="1" t="s">
        <v>17</v>
      </c>
      <c r="G578">
        <v>971000</v>
      </c>
      <c r="H578">
        <v>221000</v>
      </c>
    </row>
    <row r="579" spans="1:8" x14ac:dyDescent="0.35">
      <c r="A579" s="1" t="s">
        <v>544</v>
      </c>
      <c r="B579" s="1" t="s">
        <v>191</v>
      </c>
      <c r="C579" s="2">
        <v>45420</v>
      </c>
      <c r="D579" s="1" t="s">
        <v>1311</v>
      </c>
      <c r="E579" s="1" t="s">
        <v>11</v>
      </c>
      <c r="F579" s="1" t="s">
        <v>17</v>
      </c>
      <c r="G579">
        <v>97741000</v>
      </c>
      <c r="H579">
        <v>13741000</v>
      </c>
    </row>
    <row r="580" spans="1:8" x14ac:dyDescent="0.35">
      <c r="A580" s="1" t="s">
        <v>554</v>
      </c>
      <c r="B580" s="1" t="s">
        <v>191</v>
      </c>
      <c r="C580" s="2">
        <v>45501</v>
      </c>
      <c r="D580" s="1" t="s">
        <v>1311</v>
      </c>
      <c r="E580" s="1" t="s">
        <v>11</v>
      </c>
      <c r="F580" s="1" t="s">
        <v>17</v>
      </c>
      <c r="G580">
        <v>167556000</v>
      </c>
      <c r="H580">
        <v>23556000</v>
      </c>
    </row>
    <row r="581" spans="1:8" x14ac:dyDescent="0.35">
      <c r="A581" s="1" t="s">
        <v>282</v>
      </c>
      <c r="B581" s="1" t="s">
        <v>197</v>
      </c>
      <c r="C581" s="2">
        <v>45363</v>
      </c>
      <c r="D581" s="1" t="s">
        <v>1336</v>
      </c>
      <c r="E581" s="1" t="s">
        <v>11</v>
      </c>
      <c r="F581" s="1" t="s">
        <v>17</v>
      </c>
      <c r="G581">
        <v>5500000</v>
      </c>
      <c r="H581">
        <v>700000</v>
      </c>
    </row>
    <row r="582" spans="1:8" x14ac:dyDescent="0.35">
      <c r="A582" s="1" t="s">
        <v>576</v>
      </c>
      <c r="B582" s="1" t="s">
        <v>191</v>
      </c>
      <c r="C582" s="2">
        <v>45559</v>
      </c>
      <c r="D582" s="1" t="s">
        <v>1311</v>
      </c>
      <c r="E582" s="1" t="s">
        <v>11</v>
      </c>
      <c r="F582" s="1" t="s">
        <v>17</v>
      </c>
      <c r="G582">
        <v>69815000</v>
      </c>
      <c r="H582">
        <v>9815000</v>
      </c>
    </row>
    <row r="583" spans="1:8" x14ac:dyDescent="0.35">
      <c r="A583" s="1" t="s">
        <v>1081</v>
      </c>
      <c r="B583" s="1" t="s">
        <v>137</v>
      </c>
      <c r="C583" s="2">
        <v>45590</v>
      </c>
      <c r="D583" s="1" t="s">
        <v>1311</v>
      </c>
      <c r="E583" s="1" t="s">
        <v>11</v>
      </c>
      <c r="F583" s="1" t="s">
        <v>17</v>
      </c>
      <c r="G583">
        <v>17731000</v>
      </c>
      <c r="H583">
        <v>3731000</v>
      </c>
    </row>
    <row r="584" spans="1:8" x14ac:dyDescent="0.35">
      <c r="A584" s="1" t="s">
        <v>489</v>
      </c>
      <c r="B584" s="1" t="s">
        <v>164</v>
      </c>
      <c r="C584" s="2">
        <v>45408</v>
      </c>
      <c r="D584" s="1" t="s">
        <v>1330</v>
      </c>
      <c r="E584" s="1" t="s">
        <v>11</v>
      </c>
      <c r="F584" s="1" t="s">
        <v>17</v>
      </c>
      <c r="G584">
        <v>5826000</v>
      </c>
      <c r="H584">
        <v>1326000</v>
      </c>
    </row>
    <row r="585" spans="1:8" x14ac:dyDescent="0.35">
      <c r="A585" s="1" t="s">
        <v>590</v>
      </c>
      <c r="B585" s="1" t="s">
        <v>197</v>
      </c>
      <c r="C585" s="2">
        <v>45637</v>
      </c>
      <c r="D585" s="1" t="s">
        <v>1336</v>
      </c>
      <c r="E585" s="1" t="s">
        <v>11</v>
      </c>
      <c r="F585" s="1" t="s">
        <v>17</v>
      </c>
      <c r="G585">
        <v>2750000</v>
      </c>
      <c r="H585">
        <v>350000</v>
      </c>
    </row>
    <row r="586" spans="1:8" x14ac:dyDescent="0.35">
      <c r="A586" s="1" t="s">
        <v>1011</v>
      </c>
      <c r="B586" s="1" t="s">
        <v>164</v>
      </c>
      <c r="C586" s="2">
        <v>45486</v>
      </c>
      <c r="D586" s="1" t="s">
        <v>1330</v>
      </c>
      <c r="E586" s="1" t="s">
        <v>11</v>
      </c>
      <c r="F586" s="1" t="s">
        <v>17</v>
      </c>
      <c r="G586">
        <v>4855000</v>
      </c>
      <c r="H586">
        <v>1105000</v>
      </c>
    </row>
    <row r="587" spans="1:8" x14ac:dyDescent="0.35">
      <c r="A587" s="1" t="s">
        <v>1073</v>
      </c>
      <c r="B587" s="1" t="s">
        <v>133</v>
      </c>
      <c r="C587" s="2">
        <v>45557</v>
      </c>
      <c r="D587" s="1" t="s">
        <v>1330</v>
      </c>
      <c r="E587" s="1" t="s">
        <v>11</v>
      </c>
      <c r="F587" s="1" t="s">
        <v>17</v>
      </c>
      <c r="G587">
        <v>33880000</v>
      </c>
      <c r="H587">
        <v>6380000</v>
      </c>
    </row>
    <row r="588" spans="1:8" x14ac:dyDescent="0.35">
      <c r="A588" s="1" t="s">
        <v>910</v>
      </c>
      <c r="B588" s="1" t="s">
        <v>137</v>
      </c>
      <c r="C588" s="2">
        <v>45607</v>
      </c>
      <c r="D588" s="1" t="s">
        <v>1311</v>
      </c>
      <c r="E588" s="1" t="s">
        <v>11</v>
      </c>
      <c r="F588" s="1" t="s">
        <v>17</v>
      </c>
      <c r="G588">
        <v>2533000</v>
      </c>
      <c r="H588">
        <v>533000</v>
      </c>
    </row>
    <row r="589" spans="1:8" x14ac:dyDescent="0.35">
      <c r="A589" s="1" t="s">
        <v>1126</v>
      </c>
      <c r="B589" s="1" t="s">
        <v>191</v>
      </c>
      <c r="C589" s="2">
        <v>45327</v>
      </c>
      <c r="D589" s="1" t="s">
        <v>1311</v>
      </c>
      <c r="E589" s="1" t="s">
        <v>11</v>
      </c>
      <c r="F589" s="1" t="s">
        <v>17</v>
      </c>
      <c r="G589">
        <v>209445000</v>
      </c>
      <c r="H589">
        <v>29445000</v>
      </c>
    </row>
    <row r="590" spans="1:8" x14ac:dyDescent="0.35">
      <c r="A590" s="1" t="s">
        <v>680</v>
      </c>
      <c r="B590" s="1" t="s">
        <v>191</v>
      </c>
      <c r="C590" s="2">
        <v>45540</v>
      </c>
      <c r="D590" s="1" t="s">
        <v>1311</v>
      </c>
      <c r="E590" s="1" t="s">
        <v>11</v>
      </c>
      <c r="F590" s="1" t="s">
        <v>17</v>
      </c>
      <c r="G590">
        <v>97741000</v>
      </c>
      <c r="H590">
        <v>13741000</v>
      </c>
    </row>
    <row r="591" spans="1:8" x14ac:dyDescent="0.35">
      <c r="A591" s="1" t="s">
        <v>682</v>
      </c>
      <c r="B591" s="1" t="s">
        <v>137</v>
      </c>
      <c r="C591" s="2">
        <v>45371</v>
      </c>
      <c r="D591" s="1" t="s">
        <v>1311</v>
      </c>
      <c r="E591" s="1" t="s">
        <v>11</v>
      </c>
      <c r="F591" s="1" t="s">
        <v>17</v>
      </c>
      <c r="G591">
        <v>30396000</v>
      </c>
      <c r="H591">
        <v>6396000</v>
      </c>
    </row>
    <row r="592" spans="1:8" x14ac:dyDescent="0.35">
      <c r="A592" s="1" t="s">
        <v>212</v>
      </c>
      <c r="B592" s="1" t="s">
        <v>133</v>
      </c>
      <c r="C592" s="2">
        <v>45440</v>
      </c>
      <c r="D592" s="1" t="s">
        <v>1330</v>
      </c>
      <c r="E592" s="1" t="s">
        <v>11</v>
      </c>
      <c r="F592" s="1" t="s">
        <v>17</v>
      </c>
      <c r="G592">
        <v>33880000</v>
      </c>
      <c r="H592">
        <v>6380000</v>
      </c>
    </row>
    <row r="593" spans="1:8" x14ac:dyDescent="0.35">
      <c r="A593" s="1" t="s">
        <v>225</v>
      </c>
      <c r="B593" s="1" t="s">
        <v>191</v>
      </c>
      <c r="C593" s="2">
        <v>45414</v>
      </c>
      <c r="D593" s="1" t="s">
        <v>1311</v>
      </c>
      <c r="E593" s="1" t="s">
        <v>11</v>
      </c>
      <c r="F593" s="1" t="s">
        <v>17</v>
      </c>
      <c r="G593">
        <v>181519000</v>
      </c>
      <c r="H593">
        <v>25519000</v>
      </c>
    </row>
    <row r="594" spans="1:8" x14ac:dyDescent="0.35">
      <c r="A594" s="1" t="s">
        <v>1183</v>
      </c>
      <c r="B594" s="1" t="s">
        <v>133</v>
      </c>
      <c r="C594" s="2">
        <v>45451</v>
      </c>
      <c r="D594" s="1" t="s">
        <v>1330</v>
      </c>
      <c r="E594" s="1" t="s">
        <v>11</v>
      </c>
      <c r="F594" s="1" t="s">
        <v>17</v>
      </c>
      <c r="G594">
        <v>30800000</v>
      </c>
      <c r="H594">
        <v>5800000</v>
      </c>
    </row>
    <row r="595" spans="1:8" x14ac:dyDescent="0.35">
      <c r="A595" s="1" t="s">
        <v>930</v>
      </c>
      <c r="B595" s="1" t="s">
        <v>191</v>
      </c>
      <c r="C595" s="2">
        <v>45647</v>
      </c>
      <c r="D595" s="1" t="s">
        <v>1311</v>
      </c>
      <c r="E595" s="1" t="s">
        <v>11</v>
      </c>
      <c r="F595" s="1" t="s">
        <v>17</v>
      </c>
      <c r="G595">
        <v>195482000</v>
      </c>
      <c r="H595">
        <v>27482000</v>
      </c>
    </row>
    <row r="596" spans="1:8" x14ac:dyDescent="0.35">
      <c r="A596" s="1" t="s">
        <v>642</v>
      </c>
      <c r="B596" s="1" t="s">
        <v>164</v>
      </c>
      <c r="C596" s="2">
        <v>45548</v>
      </c>
      <c r="D596" s="1" t="s">
        <v>1330</v>
      </c>
      <c r="E596" s="1" t="s">
        <v>11</v>
      </c>
      <c r="F596" s="1" t="s">
        <v>17</v>
      </c>
      <c r="G596">
        <v>10681000</v>
      </c>
      <c r="H596">
        <v>2431000</v>
      </c>
    </row>
    <row r="597" spans="1:8" x14ac:dyDescent="0.35">
      <c r="A597" s="1" t="s">
        <v>807</v>
      </c>
      <c r="B597" s="1" t="s">
        <v>191</v>
      </c>
      <c r="C597" s="2">
        <v>45606</v>
      </c>
      <c r="D597" s="1" t="s">
        <v>1311</v>
      </c>
      <c r="E597" s="1" t="s">
        <v>11</v>
      </c>
      <c r="F597" s="1" t="s">
        <v>17</v>
      </c>
      <c r="G597">
        <v>41889000</v>
      </c>
      <c r="H597">
        <v>5889000</v>
      </c>
    </row>
    <row r="598" spans="1:8" x14ac:dyDescent="0.35">
      <c r="A598" s="1" t="s">
        <v>926</v>
      </c>
      <c r="B598" s="1" t="s">
        <v>133</v>
      </c>
      <c r="C598" s="2">
        <v>45476</v>
      </c>
      <c r="D598" s="1" t="s">
        <v>1330</v>
      </c>
      <c r="E598" s="1" t="s">
        <v>11</v>
      </c>
      <c r="F598" s="1" t="s">
        <v>17</v>
      </c>
      <c r="G598">
        <v>12320000</v>
      </c>
      <c r="H598">
        <v>2320000</v>
      </c>
    </row>
    <row r="599" spans="1:8" x14ac:dyDescent="0.35">
      <c r="A599" s="1" t="s">
        <v>1282</v>
      </c>
      <c r="B599" s="1" t="s">
        <v>197</v>
      </c>
      <c r="C599" s="2">
        <v>45326</v>
      </c>
      <c r="D599" s="1" t="s">
        <v>1336</v>
      </c>
      <c r="E599" s="1" t="s">
        <v>11</v>
      </c>
      <c r="F599" s="1" t="s">
        <v>17</v>
      </c>
      <c r="G599">
        <v>6875000</v>
      </c>
      <c r="H599">
        <v>875000</v>
      </c>
    </row>
    <row r="600" spans="1:8" x14ac:dyDescent="0.35">
      <c r="A600" s="1" t="s">
        <v>899</v>
      </c>
      <c r="B600" s="1" t="s">
        <v>191</v>
      </c>
      <c r="C600" s="2">
        <v>45363</v>
      </c>
      <c r="D600" s="1" t="s">
        <v>1311</v>
      </c>
      <c r="E600" s="1" t="s">
        <v>11</v>
      </c>
      <c r="F600" s="1" t="s">
        <v>17</v>
      </c>
      <c r="G600">
        <v>27926000</v>
      </c>
      <c r="H600">
        <v>3926000</v>
      </c>
    </row>
    <row r="601" spans="1:8" x14ac:dyDescent="0.35">
      <c r="A601" s="1" t="s">
        <v>160</v>
      </c>
      <c r="B601" s="1" t="s">
        <v>106</v>
      </c>
      <c r="C601" s="2">
        <v>45527</v>
      </c>
      <c r="D601" s="1" t="s">
        <v>1317</v>
      </c>
      <c r="E601" s="1" t="s">
        <v>1323</v>
      </c>
      <c r="F601" s="1" t="s">
        <v>17</v>
      </c>
      <c r="G601">
        <v>2840000</v>
      </c>
      <c r="H601">
        <v>440000</v>
      </c>
    </row>
    <row r="602" spans="1:8" x14ac:dyDescent="0.35">
      <c r="A602" s="1" t="s">
        <v>1282</v>
      </c>
      <c r="B602" s="1" t="s">
        <v>116</v>
      </c>
      <c r="C602" s="2">
        <v>45326</v>
      </c>
      <c r="D602" s="1" t="s">
        <v>1330</v>
      </c>
      <c r="E602" s="1" t="s">
        <v>1323</v>
      </c>
      <c r="F602" s="1" t="s">
        <v>17</v>
      </c>
      <c r="G602">
        <v>37730000</v>
      </c>
      <c r="H602">
        <v>12730000</v>
      </c>
    </row>
    <row r="603" spans="1:8" x14ac:dyDescent="0.35">
      <c r="A603" s="1" t="s">
        <v>373</v>
      </c>
      <c r="B603" s="1" t="s">
        <v>106</v>
      </c>
      <c r="C603" s="2">
        <v>45334</v>
      </c>
      <c r="D603" s="1" t="s">
        <v>1317</v>
      </c>
      <c r="E603" s="1" t="s">
        <v>1323</v>
      </c>
      <c r="F603" s="1" t="s">
        <v>17</v>
      </c>
      <c r="G603">
        <v>3905000</v>
      </c>
      <c r="H603">
        <v>605000</v>
      </c>
    </row>
    <row r="604" spans="1:8" x14ac:dyDescent="0.35">
      <c r="A604" s="1" t="s">
        <v>1282</v>
      </c>
      <c r="B604" s="1" t="s">
        <v>106</v>
      </c>
      <c r="C604" s="2">
        <v>45326</v>
      </c>
      <c r="D604" s="1" t="s">
        <v>1317</v>
      </c>
      <c r="E604" s="1" t="s">
        <v>1323</v>
      </c>
      <c r="F604" s="1" t="s">
        <v>17</v>
      </c>
      <c r="G604">
        <v>1775000</v>
      </c>
      <c r="H604">
        <v>275000</v>
      </c>
    </row>
    <row r="605" spans="1:8" x14ac:dyDescent="0.35">
      <c r="A605" s="1" t="s">
        <v>1291</v>
      </c>
      <c r="B605" s="1" t="s">
        <v>113</v>
      </c>
      <c r="C605" s="2">
        <v>45650</v>
      </c>
      <c r="D605" s="1" t="s">
        <v>1311</v>
      </c>
      <c r="E605" s="1" t="s">
        <v>1323</v>
      </c>
      <c r="F605" s="1" t="s">
        <v>17</v>
      </c>
      <c r="G605">
        <v>5522000</v>
      </c>
      <c r="H605">
        <v>1022000</v>
      </c>
    </row>
    <row r="606" spans="1:8" x14ac:dyDescent="0.35">
      <c r="A606" s="1" t="s">
        <v>280</v>
      </c>
      <c r="B606" s="1" t="s">
        <v>176</v>
      </c>
      <c r="C606" s="2">
        <v>45582</v>
      </c>
      <c r="D606" s="1" t="s">
        <v>1330</v>
      </c>
      <c r="E606" s="1" t="s">
        <v>1323</v>
      </c>
      <c r="F606" s="1" t="s">
        <v>17</v>
      </c>
      <c r="G606">
        <v>21264000</v>
      </c>
      <c r="H606">
        <v>3264000</v>
      </c>
    </row>
    <row r="607" spans="1:8" x14ac:dyDescent="0.35">
      <c r="A607" s="1" t="s">
        <v>125</v>
      </c>
      <c r="B607" s="1" t="s">
        <v>111</v>
      </c>
      <c r="C607" s="2">
        <v>45396</v>
      </c>
      <c r="D607" s="1" t="s">
        <v>1311</v>
      </c>
      <c r="E607" s="1" t="s">
        <v>1323</v>
      </c>
      <c r="F607" s="1" t="s">
        <v>17</v>
      </c>
      <c r="G607">
        <v>193221000</v>
      </c>
      <c r="H607">
        <v>67221000</v>
      </c>
    </row>
    <row r="608" spans="1:8" x14ac:dyDescent="0.35">
      <c r="A608" s="1" t="s">
        <v>207</v>
      </c>
      <c r="B608" s="1" t="s">
        <v>176</v>
      </c>
      <c r="C608" s="2">
        <v>45320</v>
      </c>
      <c r="D608" s="1" t="s">
        <v>1330</v>
      </c>
      <c r="E608" s="1" t="s">
        <v>1323</v>
      </c>
      <c r="F608" s="1" t="s">
        <v>17</v>
      </c>
      <c r="G608">
        <v>14176000</v>
      </c>
      <c r="H608">
        <v>2176000</v>
      </c>
    </row>
    <row r="609" spans="1:8" x14ac:dyDescent="0.35">
      <c r="A609" s="1" t="s">
        <v>630</v>
      </c>
      <c r="B609" s="1" t="s">
        <v>176</v>
      </c>
      <c r="C609" s="2">
        <v>45626</v>
      </c>
      <c r="D609" s="1" t="s">
        <v>1330</v>
      </c>
      <c r="E609" s="1" t="s">
        <v>1323</v>
      </c>
      <c r="F609" s="1" t="s">
        <v>17</v>
      </c>
      <c r="G609">
        <v>17720000</v>
      </c>
      <c r="H609">
        <v>2720000</v>
      </c>
    </row>
    <row r="610" spans="1:8" x14ac:dyDescent="0.35">
      <c r="A610" s="1" t="s">
        <v>471</v>
      </c>
      <c r="B610" s="1" t="s">
        <v>106</v>
      </c>
      <c r="C610" s="2">
        <v>45501</v>
      </c>
      <c r="D610" s="1" t="s">
        <v>1317</v>
      </c>
      <c r="E610" s="1" t="s">
        <v>1323</v>
      </c>
      <c r="F610" s="1" t="s">
        <v>17</v>
      </c>
      <c r="G610">
        <v>355000</v>
      </c>
      <c r="H610">
        <v>55000</v>
      </c>
    </row>
    <row r="611" spans="1:8" x14ac:dyDescent="0.35">
      <c r="A611" s="1" t="s">
        <v>1118</v>
      </c>
      <c r="B611" s="1" t="s">
        <v>106</v>
      </c>
      <c r="C611" s="2">
        <v>45616</v>
      </c>
      <c r="D611" s="1" t="s">
        <v>1317</v>
      </c>
      <c r="E611" s="1" t="s">
        <v>1323</v>
      </c>
      <c r="F611" s="1" t="s">
        <v>17</v>
      </c>
      <c r="G611">
        <v>4260000</v>
      </c>
      <c r="H611">
        <v>660000</v>
      </c>
    </row>
    <row r="612" spans="1:8" x14ac:dyDescent="0.35">
      <c r="A612" s="1" t="s">
        <v>1032</v>
      </c>
      <c r="B612" s="1" t="s">
        <v>272</v>
      </c>
      <c r="C612" s="2">
        <v>45644</v>
      </c>
      <c r="D612" s="1" t="s">
        <v>1317</v>
      </c>
      <c r="E612" s="1" t="s">
        <v>1323</v>
      </c>
      <c r="F612" s="1" t="s">
        <v>17</v>
      </c>
      <c r="G612">
        <v>3705000</v>
      </c>
      <c r="H612">
        <v>455000</v>
      </c>
    </row>
    <row r="613" spans="1:8" x14ac:dyDescent="0.35">
      <c r="A613" s="1" t="s">
        <v>1007</v>
      </c>
      <c r="B613" s="1" t="s">
        <v>111</v>
      </c>
      <c r="C613" s="2">
        <v>45477</v>
      </c>
      <c r="D613" s="1" t="s">
        <v>1311</v>
      </c>
      <c r="E613" s="1" t="s">
        <v>1323</v>
      </c>
      <c r="F613" s="1" t="s">
        <v>17</v>
      </c>
      <c r="G613">
        <v>138015000</v>
      </c>
      <c r="H613">
        <v>48015000</v>
      </c>
    </row>
    <row r="614" spans="1:8" x14ac:dyDescent="0.35">
      <c r="A614" s="1" t="s">
        <v>972</v>
      </c>
      <c r="B614" s="1" t="s">
        <v>106</v>
      </c>
      <c r="C614" s="2">
        <v>45590</v>
      </c>
      <c r="D614" s="1" t="s">
        <v>1317</v>
      </c>
      <c r="E614" s="1" t="s">
        <v>1323</v>
      </c>
      <c r="F614" s="1" t="s">
        <v>17</v>
      </c>
      <c r="G614">
        <v>4260000</v>
      </c>
      <c r="H614">
        <v>660000</v>
      </c>
    </row>
    <row r="615" spans="1:8" x14ac:dyDescent="0.35">
      <c r="A615" s="1" t="s">
        <v>953</v>
      </c>
      <c r="B615" s="1" t="s">
        <v>173</v>
      </c>
      <c r="C615" s="2">
        <v>45554</v>
      </c>
      <c r="D615" s="1" t="s">
        <v>1317</v>
      </c>
      <c r="E615" s="1" t="s">
        <v>1323</v>
      </c>
      <c r="F615" s="1" t="s">
        <v>17</v>
      </c>
      <c r="G615">
        <v>552000</v>
      </c>
      <c r="H615">
        <v>72000</v>
      </c>
    </row>
    <row r="616" spans="1:8" x14ac:dyDescent="0.35">
      <c r="A616" s="1" t="s">
        <v>940</v>
      </c>
      <c r="B616" s="1" t="s">
        <v>176</v>
      </c>
      <c r="C616" s="2">
        <v>45353</v>
      </c>
      <c r="D616" s="1" t="s">
        <v>1330</v>
      </c>
      <c r="E616" s="1" t="s">
        <v>1323</v>
      </c>
      <c r="F616" s="1" t="s">
        <v>17</v>
      </c>
      <c r="G616">
        <v>15948000</v>
      </c>
      <c r="H616">
        <v>2448000</v>
      </c>
    </row>
    <row r="617" spans="1:8" x14ac:dyDescent="0.35">
      <c r="A617" s="1" t="s">
        <v>925</v>
      </c>
      <c r="B617" s="1" t="s">
        <v>106</v>
      </c>
      <c r="C617" s="2">
        <v>45651</v>
      </c>
      <c r="D617" s="1" t="s">
        <v>1317</v>
      </c>
      <c r="E617" s="1" t="s">
        <v>1323</v>
      </c>
      <c r="F617" s="1" t="s">
        <v>17</v>
      </c>
      <c r="G617">
        <v>3550000</v>
      </c>
      <c r="H617">
        <v>550000</v>
      </c>
    </row>
    <row r="618" spans="1:8" x14ac:dyDescent="0.35">
      <c r="A618" s="1" t="s">
        <v>921</v>
      </c>
      <c r="B618" s="1" t="s">
        <v>106</v>
      </c>
      <c r="C618" s="2">
        <v>45475</v>
      </c>
      <c r="D618" s="1" t="s">
        <v>1317</v>
      </c>
      <c r="E618" s="1" t="s">
        <v>1323</v>
      </c>
      <c r="F618" s="1" t="s">
        <v>17</v>
      </c>
      <c r="G618">
        <v>4615000</v>
      </c>
      <c r="H618">
        <v>715000</v>
      </c>
    </row>
    <row r="619" spans="1:8" x14ac:dyDescent="0.35">
      <c r="A619" s="1" t="s">
        <v>908</v>
      </c>
      <c r="B619" s="1" t="s">
        <v>272</v>
      </c>
      <c r="C619" s="2">
        <v>45380</v>
      </c>
      <c r="D619" s="1" t="s">
        <v>1317</v>
      </c>
      <c r="E619" s="1" t="s">
        <v>1323</v>
      </c>
      <c r="F619" s="1" t="s">
        <v>17</v>
      </c>
      <c r="G619">
        <v>5928000</v>
      </c>
      <c r="H619">
        <v>728000</v>
      </c>
    </row>
    <row r="620" spans="1:8" x14ac:dyDescent="0.35">
      <c r="A620" s="1" t="s">
        <v>460</v>
      </c>
      <c r="B620" s="1" t="s">
        <v>111</v>
      </c>
      <c r="C620" s="2">
        <v>45424</v>
      </c>
      <c r="D620" s="1" t="s">
        <v>1311</v>
      </c>
      <c r="E620" s="1" t="s">
        <v>1323</v>
      </c>
      <c r="F620" s="1" t="s">
        <v>17</v>
      </c>
      <c r="G620">
        <v>110412000</v>
      </c>
      <c r="H620">
        <v>38412000</v>
      </c>
    </row>
    <row r="621" spans="1:8" x14ac:dyDescent="0.35">
      <c r="A621" s="1" t="s">
        <v>884</v>
      </c>
      <c r="B621" s="1" t="s">
        <v>106</v>
      </c>
      <c r="C621" s="2">
        <v>45377</v>
      </c>
      <c r="D621" s="1" t="s">
        <v>1317</v>
      </c>
      <c r="E621" s="1" t="s">
        <v>1323</v>
      </c>
      <c r="F621" s="1" t="s">
        <v>17</v>
      </c>
      <c r="G621">
        <v>4970000</v>
      </c>
      <c r="H621">
        <v>770000</v>
      </c>
    </row>
    <row r="622" spans="1:8" x14ac:dyDescent="0.35">
      <c r="A622" s="1" t="s">
        <v>770</v>
      </c>
      <c r="B622" s="1" t="s">
        <v>272</v>
      </c>
      <c r="C622" s="2">
        <v>45338</v>
      </c>
      <c r="D622" s="1" t="s">
        <v>1317</v>
      </c>
      <c r="E622" s="1" t="s">
        <v>1323</v>
      </c>
      <c r="F622" s="1" t="s">
        <v>17</v>
      </c>
      <c r="G622">
        <v>4446000</v>
      </c>
      <c r="H622">
        <v>546000</v>
      </c>
    </row>
    <row r="623" spans="1:8" x14ac:dyDescent="0.35">
      <c r="A623" s="1" t="s">
        <v>760</v>
      </c>
      <c r="B623" s="1" t="s">
        <v>173</v>
      </c>
      <c r="C623" s="2">
        <v>45504</v>
      </c>
      <c r="D623" s="1" t="s">
        <v>1317</v>
      </c>
      <c r="E623" s="1" t="s">
        <v>1323</v>
      </c>
      <c r="F623" s="1" t="s">
        <v>17</v>
      </c>
      <c r="G623">
        <v>460000</v>
      </c>
      <c r="H623">
        <v>60000</v>
      </c>
    </row>
    <row r="624" spans="1:8" x14ac:dyDescent="0.35">
      <c r="A624" s="1" t="s">
        <v>710</v>
      </c>
      <c r="B624" s="1" t="s">
        <v>111</v>
      </c>
      <c r="C624" s="2">
        <v>45613</v>
      </c>
      <c r="D624" s="1" t="s">
        <v>1311</v>
      </c>
      <c r="E624" s="1" t="s">
        <v>1323</v>
      </c>
      <c r="F624" s="1" t="s">
        <v>17</v>
      </c>
      <c r="G624">
        <v>276030000</v>
      </c>
      <c r="H624">
        <v>96030000</v>
      </c>
    </row>
    <row r="625" spans="1:8" x14ac:dyDescent="0.35">
      <c r="A625" s="1" t="s">
        <v>1137</v>
      </c>
      <c r="B625" s="1" t="s">
        <v>272</v>
      </c>
      <c r="C625" s="2">
        <v>45557</v>
      </c>
      <c r="D625" s="1" t="s">
        <v>1317</v>
      </c>
      <c r="E625" s="1" t="s">
        <v>1323</v>
      </c>
      <c r="F625" s="1" t="s">
        <v>17</v>
      </c>
      <c r="G625">
        <v>6669000</v>
      </c>
      <c r="H625">
        <v>819000</v>
      </c>
    </row>
    <row r="626" spans="1:8" x14ac:dyDescent="0.35">
      <c r="A626" s="1" t="s">
        <v>578</v>
      </c>
      <c r="B626" s="1" t="s">
        <v>116</v>
      </c>
      <c r="C626" s="2">
        <v>45496</v>
      </c>
      <c r="D626" s="1" t="s">
        <v>1330</v>
      </c>
      <c r="E626" s="1" t="s">
        <v>1323</v>
      </c>
      <c r="F626" s="1" t="s">
        <v>17</v>
      </c>
      <c r="G626">
        <v>75460000</v>
      </c>
      <c r="H626">
        <v>25460000</v>
      </c>
    </row>
    <row r="627" spans="1:8" x14ac:dyDescent="0.35">
      <c r="A627" s="1" t="s">
        <v>568</v>
      </c>
      <c r="B627" s="1" t="s">
        <v>113</v>
      </c>
      <c r="C627" s="2">
        <v>45373</v>
      </c>
      <c r="D627" s="1" t="s">
        <v>1311</v>
      </c>
      <c r="E627" s="1" t="s">
        <v>1323</v>
      </c>
      <c r="F627" s="1" t="s">
        <v>17</v>
      </c>
      <c r="G627">
        <v>11044000</v>
      </c>
      <c r="H627">
        <v>2044000</v>
      </c>
    </row>
    <row r="628" spans="1:8" x14ac:dyDescent="0.35">
      <c r="A628" s="1" t="s">
        <v>1245</v>
      </c>
      <c r="B628" s="1" t="s">
        <v>111</v>
      </c>
      <c r="C628" s="2">
        <v>45587</v>
      </c>
      <c r="D628" s="1" t="s">
        <v>1311</v>
      </c>
      <c r="E628" s="1" t="s">
        <v>1323</v>
      </c>
      <c r="F628" s="1" t="s">
        <v>17</v>
      </c>
      <c r="G628">
        <v>220824000</v>
      </c>
      <c r="H628">
        <v>76824000</v>
      </c>
    </row>
    <row r="629" spans="1:8" x14ac:dyDescent="0.35">
      <c r="A629" s="1" t="s">
        <v>505</v>
      </c>
      <c r="B629" s="1" t="s">
        <v>111</v>
      </c>
      <c r="C629" s="2">
        <v>45412</v>
      </c>
      <c r="D629" s="1" t="s">
        <v>1311</v>
      </c>
      <c r="E629" s="1" t="s">
        <v>1323</v>
      </c>
      <c r="F629" s="1" t="s">
        <v>17</v>
      </c>
      <c r="G629">
        <v>138015000</v>
      </c>
      <c r="H629">
        <v>48015000</v>
      </c>
    </row>
    <row r="630" spans="1:8" x14ac:dyDescent="0.35">
      <c r="A630" s="1" t="s">
        <v>495</v>
      </c>
      <c r="B630" s="1" t="s">
        <v>116</v>
      </c>
      <c r="C630" s="2">
        <v>45416</v>
      </c>
      <c r="D630" s="1" t="s">
        <v>1330</v>
      </c>
      <c r="E630" s="1" t="s">
        <v>1323</v>
      </c>
      <c r="F630" s="1" t="s">
        <v>17</v>
      </c>
      <c r="G630">
        <v>7546000</v>
      </c>
      <c r="H630">
        <v>2546000</v>
      </c>
    </row>
    <row r="631" spans="1:8" x14ac:dyDescent="0.35">
      <c r="A631" s="1" t="s">
        <v>805</v>
      </c>
      <c r="B631" s="1" t="s">
        <v>116</v>
      </c>
      <c r="C631" s="2">
        <v>45589</v>
      </c>
      <c r="D631" s="1" t="s">
        <v>1330</v>
      </c>
      <c r="E631" s="1" t="s">
        <v>1323</v>
      </c>
      <c r="F631" s="1" t="s">
        <v>17</v>
      </c>
      <c r="G631">
        <v>83006000</v>
      </c>
      <c r="H631">
        <v>28006000</v>
      </c>
    </row>
    <row r="632" spans="1:8" x14ac:dyDescent="0.35">
      <c r="A632" s="1" t="s">
        <v>1296</v>
      </c>
      <c r="B632" s="1" t="s">
        <v>106</v>
      </c>
      <c r="C632" s="2">
        <v>45296</v>
      </c>
      <c r="D632" s="1" t="s">
        <v>1317</v>
      </c>
      <c r="E632" s="1" t="s">
        <v>1323</v>
      </c>
      <c r="F632" s="1" t="s">
        <v>17</v>
      </c>
      <c r="G632">
        <v>2130000</v>
      </c>
      <c r="H632">
        <v>330000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34AE-EB80-4597-89D2-EA9AA1E28979}">
  <dimension ref="A3:G17"/>
  <sheetViews>
    <sheetView workbookViewId="0">
      <selection activeCell="B3" sqref="B3"/>
    </sheetView>
  </sheetViews>
  <sheetFormatPr defaultRowHeight="14.5" x14ac:dyDescent="0.35"/>
  <cols>
    <col min="1" max="1" width="14.36328125" bestFit="1" customWidth="1"/>
    <col min="2" max="2" width="15.6328125" bestFit="1" customWidth="1"/>
    <col min="3" max="3" width="9.81640625" bestFit="1" customWidth="1"/>
    <col min="4" max="4" width="11.81640625" bestFit="1" customWidth="1"/>
    <col min="5" max="5" width="9.81640625" bestFit="1" customWidth="1"/>
    <col min="6" max="6" width="10.81640625" bestFit="1" customWidth="1"/>
    <col min="7" max="7" width="11.81640625" bestFit="1" customWidth="1"/>
  </cols>
  <sheetData>
    <row r="3" spans="1:7" x14ac:dyDescent="0.35">
      <c r="A3" s="12" t="s">
        <v>1381</v>
      </c>
      <c r="B3" s="12" t="s">
        <v>1380</v>
      </c>
    </row>
    <row r="4" spans="1:7" x14ac:dyDescent="0.35">
      <c r="A4" s="12" t="s">
        <v>1378</v>
      </c>
      <c r="B4" t="s">
        <v>1317</v>
      </c>
      <c r="C4" t="s">
        <v>1336</v>
      </c>
      <c r="D4" t="s">
        <v>1311</v>
      </c>
      <c r="E4" t="s">
        <v>1358</v>
      </c>
      <c r="F4" t="s">
        <v>1330</v>
      </c>
      <c r="G4" t="s">
        <v>1379</v>
      </c>
    </row>
    <row r="5" spans="1:7" x14ac:dyDescent="0.35">
      <c r="A5" s="13" t="s">
        <v>17</v>
      </c>
      <c r="B5" s="1">
        <v>74164000</v>
      </c>
      <c r="C5" s="1">
        <v>53079000</v>
      </c>
      <c r="D5" s="1">
        <v>2432231000</v>
      </c>
      <c r="E5" s="1">
        <v>27056000</v>
      </c>
      <c r="F5" s="1">
        <v>507020000</v>
      </c>
      <c r="G5" s="1">
        <v>3093550000</v>
      </c>
    </row>
    <row r="6" spans="1:7" x14ac:dyDescent="0.35">
      <c r="A6" s="13" t="s">
        <v>53</v>
      </c>
      <c r="B6" s="1">
        <v>20949000</v>
      </c>
      <c r="C6" s="1">
        <v>61098000</v>
      </c>
      <c r="D6" s="1">
        <v>1242782000</v>
      </c>
      <c r="E6" s="1">
        <v>3382000</v>
      </c>
      <c r="F6" s="1">
        <v>182746000</v>
      </c>
      <c r="G6" s="1">
        <v>1510957000</v>
      </c>
    </row>
    <row r="7" spans="1:7" x14ac:dyDescent="0.35">
      <c r="A7" s="13" t="s">
        <v>11</v>
      </c>
      <c r="B7" s="1">
        <v>102912000</v>
      </c>
      <c r="C7" s="1">
        <v>144099000</v>
      </c>
      <c r="D7" s="1">
        <v>2786651000</v>
      </c>
      <c r="E7" s="1">
        <v>240122000</v>
      </c>
      <c r="F7" s="1">
        <v>1134950000</v>
      </c>
      <c r="G7" s="1">
        <v>4408734000</v>
      </c>
    </row>
    <row r="8" spans="1:7" x14ac:dyDescent="0.35">
      <c r="A8" s="13" t="s">
        <v>59</v>
      </c>
      <c r="B8" s="1">
        <v>22612000</v>
      </c>
      <c r="C8" s="1">
        <v>43834000</v>
      </c>
      <c r="D8" s="1">
        <v>1272315000</v>
      </c>
      <c r="E8" s="1">
        <v>64258000</v>
      </c>
      <c r="F8" s="1">
        <v>163328000</v>
      </c>
      <c r="G8" s="1">
        <v>1566347000</v>
      </c>
    </row>
    <row r="9" spans="1:7" x14ac:dyDescent="0.35">
      <c r="A9" s="13" t="s">
        <v>75</v>
      </c>
      <c r="B9" s="1">
        <v>26195000</v>
      </c>
      <c r="C9" s="1">
        <v>36158000</v>
      </c>
      <c r="D9" s="1">
        <v>569528000</v>
      </c>
      <c r="E9" s="1">
        <v>33820000</v>
      </c>
      <c r="F9" s="1">
        <v>304670000</v>
      </c>
      <c r="G9" s="1">
        <v>970371000</v>
      </c>
    </row>
    <row r="10" spans="1:7" x14ac:dyDescent="0.35">
      <c r="A10" s="13" t="s">
        <v>31</v>
      </c>
      <c r="B10" s="1">
        <v>17245000</v>
      </c>
      <c r="C10" s="1">
        <v>31122000</v>
      </c>
      <c r="D10" s="1">
        <v>185369000</v>
      </c>
      <c r="E10" s="1">
        <v>37202000</v>
      </c>
      <c r="F10" s="1">
        <v>206613000</v>
      </c>
      <c r="G10" s="1">
        <v>477551000</v>
      </c>
    </row>
    <row r="11" spans="1:7" x14ac:dyDescent="0.35">
      <c r="A11" s="13" t="s">
        <v>65</v>
      </c>
      <c r="B11" s="1">
        <v>53519000</v>
      </c>
      <c r="C11" s="1">
        <v>33477000</v>
      </c>
      <c r="D11" s="1">
        <v>749540000</v>
      </c>
      <c r="E11" s="1">
        <v>169100000</v>
      </c>
      <c r="F11" s="1">
        <v>206948000</v>
      </c>
      <c r="G11" s="1">
        <v>1212584000</v>
      </c>
    </row>
    <row r="12" spans="1:7" x14ac:dyDescent="0.35">
      <c r="A12" s="13" t="s">
        <v>41</v>
      </c>
      <c r="B12" s="1">
        <v>47465000</v>
      </c>
      <c r="C12" s="1">
        <v>33993000</v>
      </c>
      <c r="D12" s="1">
        <v>607500000</v>
      </c>
      <c r="E12" s="1">
        <v>6764000</v>
      </c>
      <c r="F12" s="1">
        <v>224349000</v>
      </c>
      <c r="G12" s="1">
        <v>920071000</v>
      </c>
    </row>
    <row r="13" spans="1:7" x14ac:dyDescent="0.35">
      <c r="A13" s="13" t="s">
        <v>84</v>
      </c>
      <c r="B13" s="1">
        <v>21546000</v>
      </c>
      <c r="C13" s="1">
        <v>16377000</v>
      </c>
      <c r="D13" s="1">
        <v>686028000</v>
      </c>
      <c r="E13" s="1">
        <v>57494000</v>
      </c>
      <c r="F13" s="1">
        <v>395277000</v>
      </c>
      <c r="G13" s="1">
        <v>1176722000</v>
      </c>
    </row>
    <row r="14" spans="1:7" x14ac:dyDescent="0.35">
      <c r="A14" s="13" t="s">
        <v>24</v>
      </c>
      <c r="B14" s="1">
        <v>15630000</v>
      </c>
      <c r="C14" s="1">
        <v>50983000</v>
      </c>
      <c r="D14" s="1">
        <v>1213290000</v>
      </c>
      <c r="E14" s="1">
        <v>94696000</v>
      </c>
      <c r="F14" s="1">
        <v>131786000</v>
      </c>
      <c r="G14" s="1">
        <v>1506385000</v>
      </c>
    </row>
    <row r="15" spans="1:7" x14ac:dyDescent="0.35">
      <c r="A15" s="13" t="s">
        <v>89</v>
      </c>
      <c r="B15" s="1">
        <v>19383000</v>
      </c>
      <c r="C15" s="1">
        <v>70915000</v>
      </c>
      <c r="D15" s="1">
        <v>1035721000</v>
      </c>
      <c r="E15" s="1"/>
      <c r="F15" s="1">
        <v>104170000</v>
      </c>
      <c r="G15" s="1">
        <v>1230189000</v>
      </c>
    </row>
    <row r="16" spans="1:7" x14ac:dyDescent="0.35">
      <c r="A16" s="13" t="s">
        <v>47</v>
      </c>
      <c r="B16" s="1">
        <v>51619000</v>
      </c>
      <c r="C16" s="1">
        <v>74291000</v>
      </c>
      <c r="D16" s="1">
        <v>846229000</v>
      </c>
      <c r="E16" s="1">
        <v>6764000</v>
      </c>
      <c r="F16" s="1">
        <v>211160000</v>
      </c>
      <c r="G16" s="1">
        <v>1190063000</v>
      </c>
    </row>
    <row r="17" spans="1:7" x14ac:dyDescent="0.35">
      <c r="A17" s="13" t="s">
        <v>1379</v>
      </c>
      <c r="B17" s="1">
        <v>473239000</v>
      </c>
      <c r="C17" s="1">
        <v>649426000</v>
      </c>
      <c r="D17" s="1">
        <v>13627184000</v>
      </c>
      <c r="E17" s="1">
        <v>740658000</v>
      </c>
      <c r="F17" s="1">
        <v>3773017000</v>
      </c>
      <c r="G17" s="1">
        <v>19263524000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23A2B-8F23-4580-B40A-A6D868A8EB87}">
  <dimension ref="A3:B10"/>
  <sheetViews>
    <sheetView workbookViewId="0">
      <selection activeCell="A3" sqref="A3"/>
    </sheetView>
  </sheetViews>
  <sheetFormatPr defaultRowHeight="14.5" x14ac:dyDescent="0.35"/>
  <cols>
    <col min="1" max="1" width="13" bestFit="1" customWidth="1"/>
    <col min="2" max="2" width="11.54296875" bestFit="1" customWidth="1"/>
  </cols>
  <sheetData>
    <row r="3" spans="1:2" x14ac:dyDescent="0.35">
      <c r="A3" s="12" t="s">
        <v>1378</v>
      </c>
      <c r="B3" t="s">
        <v>1395</v>
      </c>
    </row>
    <row r="4" spans="1:2" x14ac:dyDescent="0.35">
      <c r="A4" s="13" t="s">
        <v>171</v>
      </c>
      <c r="B4" s="1">
        <v>946891000</v>
      </c>
    </row>
    <row r="5" spans="1:2" x14ac:dyDescent="0.35">
      <c r="A5" s="13" t="s">
        <v>124</v>
      </c>
      <c r="B5" s="1">
        <v>656333000</v>
      </c>
    </row>
    <row r="6" spans="1:2" x14ac:dyDescent="0.35">
      <c r="A6" s="13" t="s">
        <v>157</v>
      </c>
      <c r="B6" s="1">
        <v>930922000</v>
      </c>
    </row>
    <row r="7" spans="1:2" x14ac:dyDescent="0.35">
      <c r="A7" s="13" t="s">
        <v>121</v>
      </c>
      <c r="B7" s="1">
        <v>992123000</v>
      </c>
    </row>
    <row r="8" spans="1:2" x14ac:dyDescent="0.35">
      <c r="A8" s="13" t="s">
        <v>143</v>
      </c>
      <c r="B8" s="1">
        <v>895266000</v>
      </c>
    </row>
    <row r="9" spans="1:2" x14ac:dyDescent="0.35">
      <c r="A9" s="13" t="s">
        <v>128</v>
      </c>
      <c r="B9" s="1">
        <v>1023759000</v>
      </c>
    </row>
    <row r="10" spans="1:2" x14ac:dyDescent="0.35">
      <c r="A10" s="13" t="s">
        <v>1379</v>
      </c>
      <c r="B10" s="1">
        <v>5445294000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2FC96-435A-4010-A01C-B4A2EEE7BD5A}">
  <dimension ref="A3:N12"/>
  <sheetViews>
    <sheetView topLeftCell="P1" workbookViewId="0">
      <selection activeCell="A3" sqref="A3"/>
    </sheetView>
  </sheetViews>
  <sheetFormatPr defaultRowHeight="14.5" x14ac:dyDescent="0.35"/>
  <cols>
    <col min="1" max="1" width="19.08984375" bestFit="1" customWidth="1"/>
    <col min="2" max="2" width="15.6328125" bestFit="1" customWidth="1"/>
    <col min="3" max="4" width="5.6328125" bestFit="1" customWidth="1"/>
    <col min="5" max="5" width="5.36328125" bestFit="1" customWidth="1"/>
    <col min="6" max="6" width="5.90625" bestFit="1" customWidth="1"/>
    <col min="7" max="7" width="5.36328125" bestFit="1" customWidth="1"/>
    <col min="8" max="8" width="4.81640625" bestFit="1" customWidth="1"/>
    <col min="9" max="9" width="5.6328125" bestFit="1" customWidth="1"/>
    <col min="10" max="10" width="5.7265625" bestFit="1" customWidth="1"/>
    <col min="11" max="11" width="5.453125" bestFit="1" customWidth="1"/>
    <col min="12" max="12" width="5.7265625" bestFit="1" customWidth="1"/>
    <col min="13" max="13" width="5.81640625" bestFit="1" customWidth="1"/>
    <col min="14" max="14" width="10.36328125" bestFit="1" customWidth="1"/>
    <col min="15" max="293" width="10.26953125" bestFit="1" customWidth="1"/>
    <col min="294" max="294" width="10.36328125" bestFit="1" customWidth="1"/>
  </cols>
  <sheetData>
    <row r="3" spans="1:14" x14ac:dyDescent="0.35">
      <c r="A3" s="12" t="s">
        <v>1394</v>
      </c>
      <c r="B3" s="12" t="s">
        <v>1380</v>
      </c>
    </row>
    <row r="4" spans="1:14" x14ac:dyDescent="0.35">
      <c r="B4" t="s">
        <v>1382</v>
      </c>
      <c r="C4" t="s">
        <v>1383</v>
      </c>
      <c r="D4" t="s">
        <v>1384</v>
      </c>
      <c r="E4" t="s">
        <v>1385</v>
      </c>
      <c r="F4" t="s">
        <v>1386</v>
      </c>
      <c r="G4" t="s">
        <v>1387</v>
      </c>
      <c r="H4" t="s">
        <v>1388</v>
      </c>
      <c r="I4" t="s">
        <v>1389</v>
      </c>
      <c r="J4" t="s">
        <v>1390</v>
      </c>
      <c r="K4" t="s">
        <v>1391</v>
      </c>
      <c r="L4" t="s">
        <v>1392</v>
      </c>
      <c r="M4" t="s">
        <v>1393</v>
      </c>
      <c r="N4" t="s">
        <v>1379</v>
      </c>
    </row>
    <row r="5" spans="1:14" x14ac:dyDescent="0.35">
      <c r="A5" s="12" t="s">
        <v>1378</v>
      </c>
    </row>
    <row r="6" spans="1:14" x14ac:dyDescent="0.35">
      <c r="A6" s="13" t="s">
        <v>171</v>
      </c>
      <c r="B6" s="1">
        <v>4</v>
      </c>
      <c r="C6" s="1">
        <v>7</v>
      </c>
      <c r="D6" s="1">
        <v>6</v>
      </c>
      <c r="E6" s="1">
        <v>13</v>
      </c>
      <c r="F6" s="1">
        <v>9</v>
      </c>
      <c r="G6" s="1">
        <v>13</v>
      </c>
      <c r="H6" s="1">
        <v>7</v>
      </c>
      <c r="I6" s="1">
        <v>11</v>
      </c>
      <c r="J6" s="1">
        <v>5</v>
      </c>
      <c r="K6" s="1">
        <v>10</v>
      </c>
      <c r="L6" s="1">
        <v>17</v>
      </c>
      <c r="M6" s="1">
        <v>8</v>
      </c>
      <c r="N6" s="1">
        <v>110</v>
      </c>
    </row>
    <row r="7" spans="1:14" x14ac:dyDescent="0.35">
      <c r="A7" s="13" t="s">
        <v>124</v>
      </c>
      <c r="B7" s="1">
        <v>3</v>
      </c>
      <c r="C7" s="1">
        <v>8</v>
      </c>
      <c r="D7" s="1">
        <v>8</v>
      </c>
      <c r="E7" s="1">
        <v>8</v>
      </c>
      <c r="F7" s="1">
        <v>10</v>
      </c>
      <c r="G7" s="1">
        <v>2</v>
      </c>
      <c r="H7" s="1">
        <v>12</v>
      </c>
      <c r="I7" s="1">
        <v>11</v>
      </c>
      <c r="J7" s="1">
        <v>10</v>
      </c>
      <c r="K7" s="1">
        <v>2</v>
      </c>
      <c r="L7" s="1">
        <v>9</v>
      </c>
      <c r="M7" s="1">
        <v>12</v>
      </c>
      <c r="N7" s="1">
        <v>95</v>
      </c>
    </row>
    <row r="8" spans="1:14" x14ac:dyDescent="0.35">
      <c r="A8" s="13" t="s">
        <v>157</v>
      </c>
      <c r="B8" s="1">
        <v>13</v>
      </c>
      <c r="C8" s="1">
        <v>13</v>
      </c>
      <c r="D8" s="1">
        <v>10</v>
      </c>
      <c r="E8" s="1">
        <v>5</v>
      </c>
      <c r="F8" s="1">
        <v>10</v>
      </c>
      <c r="G8" s="1">
        <v>6</v>
      </c>
      <c r="H8" s="1">
        <v>13</v>
      </c>
      <c r="I8" s="1">
        <v>8</v>
      </c>
      <c r="J8" s="1">
        <v>7</v>
      </c>
      <c r="K8" s="1">
        <v>9</v>
      </c>
      <c r="L8" s="1">
        <v>9</v>
      </c>
      <c r="M8" s="1">
        <v>12</v>
      </c>
      <c r="N8" s="1">
        <v>115</v>
      </c>
    </row>
    <row r="9" spans="1:14" x14ac:dyDescent="0.35">
      <c r="A9" s="13" t="s">
        <v>121</v>
      </c>
      <c r="B9" s="1">
        <v>11</v>
      </c>
      <c r="C9" s="1">
        <v>6</v>
      </c>
      <c r="D9" s="1">
        <v>10</v>
      </c>
      <c r="E9" s="1">
        <v>10</v>
      </c>
      <c r="F9" s="1">
        <v>6</v>
      </c>
      <c r="G9" s="1">
        <v>5</v>
      </c>
      <c r="H9" s="1">
        <v>9</v>
      </c>
      <c r="I9" s="1">
        <v>8</v>
      </c>
      <c r="J9" s="1">
        <v>5</v>
      </c>
      <c r="K9" s="1">
        <v>2</v>
      </c>
      <c r="L9" s="1">
        <v>4</v>
      </c>
      <c r="M9" s="1">
        <v>19</v>
      </c>
      <c r="N9" s="1">
        <v>95</v>
      </c>
    </row>
    <row r="10" spans="1:14" x14ac:dyDescent="0.35">
      <c r="A10" s="13" t="s">
        <v>143</v>
      </c>
      <c r="B10" s="1">
        <v>5</v>
      </c>
      <c r="C10" s="1">
        <v>10</v>
      </c>
      <c r="D10" s="1">
        <v>6</v>
      </c>
      <c r="E10" s="1">
        <v>7</v>
      </c>
      <c r="F10" s="1">
        <v>12</v>
      </c>
      <c r="G10" s="1">
        <v>2</v>
      </c>
      <c r="H10" s="1">
        <v>13</v>
      </c>
      <c r="I10" s="1">
        <v>14</v>
      </c>
      <c r="J10" s="1">
        <v>11</v>
      </c>
      <c r="K10" s="1">
        <v>11</v>
      </c>
      <c r="L10" s="1">
        <v>12</v>
      </c>
      <c r="M10" s="1">
        <v>5</v>
      </c>
      <c r="N10" s="1">
        <v>108</v>
      </c>
    </row>
    <row r="11" spans="1:14" x14ac:dyDescent="0.35">
      <c r="A11" s="13" t="s">
        <v>128</v>
      </c>
      <c r="B11" s="1">
        <v>10</v>
      </c>
      <c r="C11" s="1">
        <v>8</v>
      </c>
      <c r="D11" s="1">
        <v>13</v>
      </c>
      <c r="E11" s="1">
        <v>21</v>
      </c>
      <c r="F11" s="1">
        <v>4</v>
      </c>
      <c r="G11" s="1">
        <v>6</v>
      </c>
      <c r="H11" s="1">
        <v>10</v>
      </c>
      <c r="I11" s="1">
        <v>5</v>
      </c>
      <c r="J11" s="1">
        <v>8</v>
      </c>
      <c r="K11" s="1">
        <v>7</v>
      </c>
      <c r="L11" s="1">
        <v>8</v>
      </c>
      <c r="M11" s="1">
        <v>8</v>
      </c>
      <c r="N11" s="1">
        <v>108</v>
      </c>
    </row>
    <row r="12" spans="1:14" x14ac:dyDescent="0.35">
      <c r="A12" s="13" t="s">
        <v>1379</v>
      </c>
      <c r="B12" s="1">
        <v>46</v>
      </c>
      <c r="C12" s="1">
        <v>52</v>
      </c>
      <c r="D12" s="1">
        <v>53</v>
      </c>
      <c r="E12" s="1">
        <v>64</v>
      </c>
      <c r="F12" s="1">
        <v>51</v>
      </c>
      <c r="G12" s="1">
        <v>34</v>
      </c>
      <c r="H12" s="1">
        <v>64</v>
      </c>
      <c r="I12" s="1">
        <v>57</v>
      </c>
      <c r="J12" s="1">
        <v>46</v>
      </c>
      <c r="K12" s="1">
        <v>41</v>
      </c>
      <c r="L12" s="1">
        <v>59</v>
      </c>
      <c r="M12" s="1">
        <v>64</v>
      </c>
      <c r="N12" s="1">
        <v>631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3C4F-DD2F-4970-BC2B-F0A747940CE8}">
  <dimension ref="A3:C20"/>
  <sheetViews>
    <sheetView workbookViewId="0">
      <selection activeCell="C20" sqref="C20"/>
    </sheetView>
  </sheetViews>
  <sheetFormatPr defaultRowHeight="14.5" x14ac:dyDescent="0.35"/>
  <sheetData>
    <row r="3" spans="1:3" x14ac:dyDescent="0.35">
      <c r="A3" s="3"/>
      <c r="B3" s="4"/>
      <c r="C3" s="5"/>
    </row>
    <row r="4" spans="1:3" x14ac:dyDescent="0.35">
      <c r="A4" s="6"/>
      <c r="B4" s="7"/>
      <c r="C4" s="8"/>
    </row>
    <row r="5" spans="1:3" x14ac:dyDescent="0.35">
      <c r="A5" s="6"/>
      <c r="B5" s="7"/>
      <c r="C5" s="8"/>
    </row>
    <row r="6" spans="1:3" x14ac:dyDescent="0.35">
      <c r="A6" s="6"/>
      <c r="B6" s="7"/>
      <c r="C6" s="8"/>
    </row>
    <row r="7" spans="1:3" x14ac:dyDescent="0.35">
      <c r="A7" s="6"/>
      <c r="B7" s="7"/>
      <c r="C7" s="8"/>
    </row>
    <row r="8" spans="1:3" x14ac:dyDescent="0.35">
      <c r="A8" s="6"/>
      <c r="B8" s="7"/>
      <c r="C8" s="8"/>
    </row>
    <row r="9" spans="1:3" x14ac:dyDescent="0.35">
      <c r="A9" s="6"/>
      <c r="B9" s="7"/>
      <c r="C9" s="8"/>
    </row>
    <row r="10" spans="1:3" x14ac:dyDescent="0.35">
      <c r="A10" s="6"/>
      <c r="B10" s="7"/>
      <c r="C10" s="8"/>
    </row>
    <row r="11" spans="1:3" x14ac:dyDescent="0.35">
      <c r="A11" s="6"/>
      <c r="B11" s="7"/>
      <c r="C11" s="8"/>
    </row>
    <row r="12" spans="1:3" x14ac:dyDescent="0.35">
      <c r="A12" s="6"/>
      <c r="B12" s="7"/>
      <c r="C12" s="8"/>
    </row>
    <row r="13" spans="1:3" x14ac:dyDescent="0.35">
      <c r="A13" s="6"/>
      <c r="B13" s="7"/>
      <c r="C13" s="8"/>
    </row>
    <row r="14" spans="1:3" x14ac:dyDescent="0.35">
      <c r="A14" s="6"/>
      <c r="B14" s="7"/>
      <c r="C14" s="8"/>
    </row>
    <row r="15" spans="1:3" x14ac:dyDescent="0.35">
      <c r="A15" s="6"/>
      <c r="B15" s="7"/>
      <c r="C15" s="8"/>
    </row>
    <row r="16" spans="1:3" x14ac:dyDescent="0.35">
      <c r="A16" s="6"/>
      <c r="B16" s="7"/>
      <c r="C16" s="8"/>
    </row>
    <row r="17" spans="1:3" x14ac:dyDescent="0.35">
      <c r="A17" s="6"/>
      <c r="B17" s="7"/>
      <c r="C17" s="8"/>
    </row>
    <row r="18" spans="1:3" x14ac:dyDescent="0.35">
      <c r="A18" s="6"/>
      <c r="B18" s="7"/>
      <c r="C18" s="8"/>
    </row>
    <row r="19" spans="1:3" x14ac:dyDescent="0.35">
      <c r="A19" s="6"/>
      <c r="B19" s="7"/>
      <c r="C19" s="8"/>
    </row>
    <row r="20" spans="1:3" x14ac:dyDescent="0.35">
      <c r="A20" s="9"/>
      <c r="B20" s="10"/>
      <c r="C20" s="1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BCD0D-40A4-49F1-A282-B147E34B0CF8}">
  <dimension ref="A3:C34"/>
  <sheetViews>
    <sheetView workbookViewId="0">
      <selection activeCell="A3" sqref="A3"/>
    </sheetView>
  </sheetViews>
  <sheetFormatPr defaultRowHeight="14.5" x14ac:dyDescent="0.35"/>
  <cols>
    <col min="1" max="1" width="23.6328125" bestFit="1" customWidth="1"/>
    <col min="2" max="2" width="19.08984375" bestFit="1" customWidth="1"/>
    <col min="3" max="3" width="15.453125" bestFit="1" customWidth="1"/>
  </cols>
  <sheetData>
    <row r="3" spans="1:3" x14ac:dyDescent="0.35">
      <c r="A3" s="12" t="s">
        <v>1378</v>
      </c>
      <c r="B3" t="s">
        <v>1394</v>
      </c>
      <c r="C3" t="s">
        <v>1399</v>
      </c>
    </row>
    <row r="4" spans="1:3" x14ac:dyDescent="0.35">
      <c r="A4" s="13" t="s">
        <v>16</v>
      </c>
      <c r="B4" s="1">
        <v>44</v>
      </c>
      <c r="C4" s="1">
        <v>26.998409090909082</v>
      </c>
    </row>
    <row r="5" spans="1:3" x14ac:dyDescent="0.35">
      <c r="A5" s="14" t="s">
        <v>10</v>
      </c>
      <c r="B5" s="1">
        <v>44</v>
      </c>
      <c r="C5" s="1">
        <v>26.998409090909082</v>
      </c>
    </row>
    <row r="6" spans="1:3" x14ac:dyDescent="0.35">
      <c r="A6" s="13" t="s">
        <v>79</v>
      </c>
      <c r="B6" s="1">
        <v>42</v>
      </c>
      <c r="C6" s="1">
        <v>26.441666666666656</v>
      </c>
    </row>
    <row r="7" spans="1:3" x14ac:dyDescent="0.35">
      <c r="A7" s="14" t="s">
        <v>10</v>
      </c>
      <c r="B7" s="1">
        <v>42</v>
      </c>
      <c r="C7" s="1">
        <v>26.441666666666656</v>
      </c>
    </row>
    <row r="8" spans="1:3" x14ac:dyDescent="0.35">
      <c r="A8" s="13" t="s">
        <v>46</v>
      </c>
      <c r="B8" s="1">
        <v>44</v>
      </c>
      <c r="C8" s="1">
        <v>25.074318181818175</v>
      </c>
    </row>
    <row r="9" spans="1:3" x14ac:dyDescent="0.35">
      <c r="A9" s="14" t="s">
        <v>10</v>
      </c>
      <c r="B9" s="1">
        <v>44</v>
      </c>
      <c r="C9" s="1">
        <v>25.074318181818175</v>
      </c>
    </row>
    <row r="10" spans="1:3" x14ac:dyDescent="0.35">
      <c r="A10" s="13" t="s">
        <v>36</v>
      </c>
      <c r="B10" s="1">
        <v>38</v>
      </c>
      <c r="C10" s="1">
        <v>30.840000000000003</v>
      </c>
    </row>
    <row r="11" spans="1:3" x14ac:dyDescent="0.35">
      <c r="A11" s="14" t="s">
        <v>10</v>
      </c>
      <c r="B11" s="1">
        <v>38</v>
      </c>
      <c r="C11" s="1">
        <v>30.840000000000003</v>
      </c>
    </row>
    <row r="12" spans="1:3" x14ac:dyDescent="0.35">
      <c r="A12" s="13" t="s">
        <v>88</v>
      </c>
      <c r="B12" s="1">
        <v>41</v>
      </c>
      <c r="C12" s="1">
        <v>27.609512195121948</v>
      </c>
    </row>
    <row r="13" spans="1:3" x14ac:dyDescent="0.35">
      <c r="A13" s="14" t="s">
        <v>10</v>
      </c>
      <c r="B13" s="1">
        <v>41</v>
      </c>
      <c r="C13" s="1">
        <v>27.609512195121948</v>
      </c>
    </row>
    <row r="14" spans="1:3" x14ac:dyDescent="0.35">
      <c r="A14" s="13" t="s">
        <v>58</v>
      </c>
      <c r="B14" s="1">
        <v>36</v>
      </c>
      <c r="C14" s="1">
        <v>32.380833333333342</v>
      </c>
    </row>
    <row r="15" spans="1:3" x14ac:dyDescent="0.35">
      <c r="A15" s="14" t="s">
        <v>10</v>
      </c>
      <c r="B15" s="1">
        <v>36</v>
      </c>
      <c r="C15" s="1">
        <v>32.380833333333342</v>
      </c>
    </row>
    <row r="16" spans="1:3" x14ac:dyDescent="0.35">
      <c r="A16" s="13" t="s">
        <v>9</v>
      </c>
      <c r="B16" s="1">
        <v>62</v>
      </c>
      <c r="C16" s="1">
        <v>29.701129032258049</v>
      </c>
    </row>
    <row r="17" spans="1:3" x14ac:dyDescent="0.35">
      <c r="A17" s="14" t="s">
        <v>10</v>
      </c>
      <c r="B17" s="1">
        <v>62</v>
      </c>
      <c r="C17" s="1">
        <v>29.701129032258049</v>
      </c>
    </row>
    <row r="18" spans="1:3" x14ac:dyDescent="0.35">
      <c r="A18" s="13" t="s">
        <v>70</v>
      </c>
      <c r="B18" s="1">
        <v>40</v>
      </c>
      <c r="C18" s="1">
        <v>28.680000000000007</v>
      </c>
    </row>
    <row r="19" spans="1:3" x14ac:dyDescent="0.35">
      <c r="A19" s="14" t="s">
        <v>10</v>
      </c>
      <c r="B19" s="1">
        <v>40</v>
      </c>
      <c r="C19" s="1">
        <v>28.680000000000007</v>
      </c>
    </row>
    <row r="20" spans="1:3" x14ac:dyDescent="0.35">
      <c r="A20" s="13" t="s">
        <v>40</v>
      </c>
      <c r="B20" s="1">
        <v>43</v>
      </c>
      <c r="C20" s="1">
        <v>26.142558139534877</v>
      </c>
    </row>
    <row r="21" spans="1:3" x14ac:dyDescent="0.35">
      <c r="A21" s="14" t="s">
        <v>23</v>
      </c>
      <c r="B21" s="1">
        <v>43</v>
      </c>
      <c r="C21" s="1">
        <v>26.142558139534877</v>
      </c>
    </row>
    <row r="22" spans="1:3" x14ac:dyDescent="0.35">
      <c r="A22" s="13" t="s">
        <v>74</v>
      </c>
      <c r="B22" s="1">
        <v>40</v>
      </c>
      <c r="C22" s="1">
        <v>27.964999999999996</v>
      </c>
    </row>
    <row r="23" spans="1:3" x14ac:dyDescent="0.35">
      <c r="A23" s="14" t="s">
        <v>23</v>
      </c>
      <c r="B23" s="1">
        <v>40</v>
      </c>
      <c r="C23" s="1">
        <v>27.964999999999996</v>
      </c>
    </row>
    <row r="24" spans="1:3" x14ac:dyDescent="0.35">
      <c r="A24" s="13" t="s">
        <v>83</v>
      </c>
      <c r="B24" s="1">
        <v>42</v>
      </c>
      <c r="C24" s="1">
        <v>24.815238095238094</v>
      </c>
    </row>
    <row r="25" spans="1:3" x14ac:dyDescent="0.35">
      <c r="A25" s="14" t="s">
        <v>23</v>
      </c>
      <c r="B25" s="1">
        <v>42</v>
      </c>
      <c r="C25" s="1">
        <v>24.815238095238094</v>
      </c>
    </row>
    <row r="26" spans="1:3" x14ac:dyDescent="0.35">
      <c r="A26" s="13" t="s">
        <v>22</v>
      </c>
      <c r="B26" s="1">
        <v>42</v>
      </c>
      <c r="C26" s="1">
        <v>28.81</v>
      </c>
    </row>
    <row r="27" spans="1:3" x14ac:dyDescent="0.35">
      <c r="A27" s="14" t="s">
        <v>23</v>
      </c>
      <c r="B27" s="1">
        <v>42</v>
      </c>
      <c r="C27" s="1">
        <v>28.81</v>
      </c>
    </row>
    <row r="28" spans="1:3" x14ac:dyDescent="0.35">
      <c r="A28" s="13" t="s">
        <v>52</v>
      </c>
      <c r="B28" s="1">
        <v>41</v>
      </c>
      <c r="C28" s="1">
        <v>27.097317073170721</v>
      </c>
    </row>
    <row r="29" spans="1:3" x14ac:dyDescent="0.35">
      <c r="A29" s="14" t="s">
        <v>23</v>
      </c>
      <c r="B29" s="1">
        <v>41</v>
      </c>
      <c r="C29" s="1">
        <v>27.097317073170721</v>
      </c>
    </row>
    <row r="30" spans="1:3" x14ac:dyDescent="0.35">
      <c r="A30" s="13" t="s">
        <v>64</v>
      </c>
      <c r="B30" s="1">
        <v>47</v>
      </c>
      <c r="C30" s="1">
        <v>25.637446808510628</v>
      </c>
    </row>
    <row r="31" spans="1:3" x14ac:dyDescent="0.35">
      <c r="A31" s="14" t="s">
        <v>23</v>
      </c>
      <c r="B31" s="1">
        <v>47</v>
      </c>
      <c r="C31" s="1">
        <v>25.637446808510628</v>
      </c>
    </row>
    <row r="32" spans="1:3" x14ac:dyDescent="0.35">
      <c r="A32" s="13" t="s">
        <v>30</v>
      </c>
      <c r="B32" s="1">
        <v>29</v>
      </c>
      <c r="C32" s="1">
        <v>29.080689655172417</v>
      </c>
    </row>
    <row r="33" spans="1:3" x14ac:dyDescent="0.35">
      <c r="A33" s="14" t="s">
        <v>23</v>
      </c>
      <c r="B33" s="1">
        <v>29</v>
      </c>
      <c r="C33" s="1">
        <v>29.080689655172417</v>
      </c>
    </row>
    <row r="34" spans="1:3" x14ac:dyDescent="0.35">
      <c r="A34" s="13" t="s">
        <v>1379</v>
      </c>
      <c r="B34" s="1">
        <v>631</v>
      </c>
      <c r="C34" s="1">
        <v>27.756450079239428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CD27C-5467-4FE3-90E0-C410A21E56DB}">
  <dimension ref="A2:S30"/>
  <sheetViews>
    <sheetView workbookViewId="0">
      <selection activeCell="J21" sqref="J21"/>
    </sheetView>
  </sheetViews>
  <sheetFormatPr defaultRowHeight="14.5" x14ac:dyDescent="0.35"/>
  <cols>
    <col min="1" max="1" width="12.453125" bestFit="1" customWidth="1"/>
    <col min="2" max="2" width="15.6328125" bestFit="1" customWidth="1"/>
    <col min="3" max="3" width="11.54296875" bestFit="1" customWidth="1"/>
    <col min="4" max="4" width="15.453125" bestFit="1" customWidth="1"/>
    <col min="5" max="5" width="14.36328125" bestFit="1" customWidth="1"/>
    <col min="6" max="6" width="11.54296875" bestFit="1" customWidth="1"/>
    <col min="7" max="7" width="15.453125" bestFit="1" customWidth="1"/>
    <col min="8" max="8" width="14.36328125" bestFit="1" customWidth="1"/>
    <col min="9" max="9" width="11.54296875" bestFit="1" customWidth="1"/>
    <col min="10" max="10" width="15.453125" bestFit="1" customWidth="1"/>
    <col min="11" max="11" width="14.36328125" bestFit="1" customWidth="1"/>
    <col min="12" max="12" width="11.54296875" bestFit="1" customWidth="1"/>
    <col min="13" max="13" width="15.453125" bestFit="1" customWidth="1"/>
    <col min="14" max="14" width="14.36328125" bestFit="1" customWidth="1"/>
    <col min="15" max="15" width="11.54296875" bestFit="1" customWidth="1"/>
    <col min="16" max="16" width="15.453125" bestFit="1" customWidth="1"/>
    <col min="17" max="17" width="18.90625" bestFit="1" customWidth="1"/>
    <col min="18" max="18" width="16.08984375" bestFit="1" customWidth="1"/>
    <col min="19" max="19" width="20" bestFit="1" customWidth="1"/>
  </cols>
  <sheetData>
    <row r="2" spans="1:19" x14ac:dyDescent="0.35">
      <c r="A2" s="18" t="s">
        <v>1407</v>
      </c>
      <c r="B2" s="18"/>
      <c r="C2" s="18"/>
      <c r="D2" s="18"/>
      <c r="E2" s="18"/>
      <c r="F2" s="18"/>
      <c r="G2" s="18"/>
      <c r="H2" s="18"/>
      <c r="I2" s="18"/>
      <c r="J2" s="18"/>
      <c r="K2" s="18"/>
      <c r="L2" s="18"/>
      <c r="M2" s="18"/>
      <c r="N2" s="18"/>
      <c r="O2" s="18"/>
      <c r="P2" s="18"/>
      <c r="Q2" s="18"/>
      <c r="R2" s="18"/>
      <c r="S2" s="18"/>
    </row>
    <row r="3" spans="1:19" x14ac:dyDescent="0.35">
      <c r="B3" s="12" t="s">
        <v>1380</v>
      </c>
    </row>
    <row r="4" spans="1:19" x14ac:dyDescent="0.35">
      <c r="B4" t="s">
        <v>1317</v>
      </c>
      <c r="E4" t="s">
        <v>1336</v>
      </c>
      <c r="H4" t="s">
        <v>1311</v>
      </c>
      <c r="K4" t="s">
        <v>1358</v>
      </c>
      <c r="N4" t="s">
        <v>1330</v>
      </c>
      <c r="Q4" t="s">
        <v>1400</v>
      </c>
      <c r="R4" t="s">
        <v>1401</v>
      </c>
      <c r="S4" t="s">
        <v>1402</v>
      </c>
    </row>
    <row r="5" spans="1:19" x14ac:dyDescent="0.35">
      <c r="A5" s="12" t="s">
        <v>1378</v>
      </c>
      <c r="B5" t="s">
        <v>1381</v>
      </c>
      <c r="C5" t="s">
        <v>1395</v>
      </c>
      <c r="D5" t="s">
        <v>1399</v>
      </c>
      <c r="E5" t="s">
        <v>1381</v>
      </c>
      <c r="F5" t="s">
        <v>1395</v>
      </c>
      <c r="G5" t="s">
        <v>1399</v>
      </c>
      <c r="H5" t="s">
        <v>1381</v>
      </c>
      <c r="I5" t="s">
        <v>1395</v>
      </c>
      <c r="J5" t="s">
        <v>1399</v>
      </c>
      <c r="K5" t="s">
        <v>1381</v>
      </c>
      <c r="L5" t="s">
        <v>1395</v>
      </c>
      <c r="M5" t="s">
        <v>1399</v>
      </c>
      <c r="N5" t="s">
        <v>1381</v>
      </c>
      <c r="O5" t="s">
        <v>1395</v>
      </c>
      <c r="P5" t="s">
        <v>1399</v>
      </c>
    </row>
    <row r="6" spans="1:19" x14ac:dyDescent="0.35">
      <c r="A6" s="13" t="s">
        <v>1403</v>
      </c>
      <c r="B6" s="1">
        <v>107506000</v>
      </c>
      <c r="C6" s="1">
        <v>27336000</v>
      </c>
      <c r="D6" s="1">
        <v>26.049117647058832</v>
      </c>
      <c r="E6" s="1">
        <v>177973000</v>
      </c>
      <c r="F6" s="1">
        <v>44223000</v>
      </c>
      <c r="G6" s="1">
        <v>26.929583333333337</v>
      </c>
      <c r="H6" s="1">
        <v>3648653000</v>
      </c>
      <c r="I6" s="1">
        <v>940253000</v>
      </c>
      <c r="J6" s="1">
        <v>24.915128205128187</v>
      </c>
      <c r="K6" s="1">
        <v>253650000</v>
      </c>
      <c r="L6" s="1">
        <v>103650000</v>
      </c>
      <c r="M6" s="1">
        <v>40.860000000000007</v>
      </c>
      <c r="N6" s="1">
        <v>680270000</v>
      </c>
      <c r="O6" s="1">
        <v>200570000</v>
      </c>
      <c r="P6" s="1">
        <v>29.468936170212771</v>
      </c>
      <c r="Q6" s="1">
        <v>4868052000</v>
      </c>
      <c r="R6" s="1">
        <v>1316032000</v>
      </c>
      <c r="S6" s="1">
        <v>27.64721854304635</v>
      </c>
    </row>
    <row r="7" spans="1:19" x14ac:dyDescent="0.35">
      <c r="A7" s="13" t="s">
        <v>1404</v>
      </c>
      <c r="B7" s="1">
        <v>146275000</v>
      </c>
      <c r="C7" s="1">
        <v>30745000</v>
      </c>
      <c r="D7" s="1">
        <v>24.379285714285714</v>
      </c>
      <c r="E7" s="1">
        <v>159485000</v>
      </c>
      <c r="F7" s="1">
        <v>37085000</v>
      </c>
      <c r="G7" s="1">
        <v>25.542083333333334</v>
      </c>
      <c r="H7" s="1">
        <v>3440975000</v>
      </c>
      <c r="I7" s="1">
        <v>1028775000</v>
      </c>
      <c r="J7" s="1">
        <v>27.512285714285699</v>
      </c>
      <c r="K7" s="1">
        <v>84550000</v>
      </c>
      <c r="L7" s="1">
        <v>34550000</v>
      </c>
      <c r="M7" s="1">
        <v>40.86</v>
      </c>
      <c r="N7" s="1">
        <v>863182000</v>
      </c>
      <c r="O7" s="1">
        <v>249032000</v>
      </c>
      <c r="P7" s="1">
        <v>30.501333333333339</v>
      </c>
      <c r="Q7" s="1">
        <v>4694467000</v>
      </c>
      <c r="R7" s="1">
        <v>1380187000</v>
      </c>
      <c r="S7" s="1">
        <v>27.483288590604019</v>
      </c>
    </row>
    <row r="8" spans="1:19" x14ac:dyDescent="0.35">
      <c r="A8" s="13" t="s">
        <v>1405</v>
      </c>
      <c r="B8" s="1">
        <v>118907000</v>
      </c>
      <c r="C8" s="1">
        <v>28277000</v>
      </c>
      <c r="D8" s="1">
        <v>21.754545454545454</v>
      </c>
      <c r="E8" s="1">
        <v>135115000</v>
      </c>
      <c r="F8" s="1">
        <v>34815000</v>
      </c>
      <c r="G8" s="1">
        <v>30.111578947368422</v>
      </c>
      <c r="H8" s="1">
        <v>2231342000</v>
      </c>
      <c r="I8" s="1">
        <v>619142000</v>
      </c>
      <c r="J8" s="1">
        <v>27.147941176470574</v>
      </c>
      <c r="K8" s="1">
        <v>240122000</v>
      </c>
      <c r="L8" s="1">
        <v>98122000</v>
      </c>
      <c r="M8" s="1">
        <v>40.860000000000007</v>
      </c>
      <c r="N8" s="1">
        <v>1369587000</v>
      </c>
      <c r="O8" s="1">
        <v>394187000</v>
      </c>
      <c r="P8" s="1">
        <v>27.520158730158723</v>
      </c>
      <c r="Q8" s="1">
        <v>4095073000</v>
      </c>
      <c r="R8" s="1">
        <v>1174543000</v>
      </c>
      <c r="S8" s="1">
        <v>26.779281437125757</v>
      </c>
    </row>
    <row r="9" spans="1:19" x14ac:dyDescent="0.35">
      <c r="A9" s="13" t="s">
        <v>1406</v>
      </c>
      <c r="B9" s="1">
        <v>100551000</v>
      </c>
      <c r="C9" s="1">
        <v>26101000</v>
      </c>
      <c r="D9" s="1">
        <v>25.630263157894738</v>
      </c>
      <c r="E9" s="1">
        <v>176853000</v>
      </c>
      <c r="F9" s="1">
        <v>47403000</v>
      </c>
      <c r="G9" s="1">
        <v>30.25</v>
      </c>
      <c r="H9" s="1">
        <v>4306214000</v>
      </c>
      <c r="I9" s="1">
        <v>1165714000</v>
      </c>
      <c r="J9" s="1">
        <v>26.469111111111093</v>
      </c>
      <c r="K9" s="1">
        <v>162336000</v>
      </c>
      <c r="L9" s="1">
        <v>66336000</v>
      </c>
      <c r="M9" s="1">
        <v>40.860000000000007</v>
      </c>
      <c r="N9" s="1">
        <v>859978000</v>
      </c>
      <c r="O9" s="1">
        <v>268978000</v>
      </c>
      <c r="P9" s="1">
        <v>31.109999999999996</v>
      </c>
      <c r="Q9" s="1">
        <v>5605932000</v>
      </c>
      <c r="R9" s="1">
        <v>1574532000</v>
      </c>
      <c r="S9" s="1">
        <v>29.10024390243904</v>
      </c>
    </row>
    <row r="10" spans="1:19" x14ac:dyDescent="0.35">
      <c r="A10" s="13" t="s">
        <v>1379</v>
      </c>
      <c r="B10" s="1">
        <v>473239000</v>
      </c>
      <c r="C10" s="1">
        <v>112459000</v>
      </c>
      <c r="D10" s="1">
        <v>24.308544303797433</v>
      </c>
      <c r="E10" s="1">
        <v>649426000</v>
      </c>
      <c r="F10" s="1">
        <v>163526000</v>
      </c>
      <c r="G10" s="1">
        <v>28.079888888888924</v>
      </c>
      <c r="H10" s="1">
        <v>13627184000</v>
      </c>
      <c r="I10" s="1">
        <v>3753884000</v>
      </c>
      <c r="J10" s="1">
        <v>26.462483660130712</v>
      </c>
      <c r="K10" s="1">
        <v>740658000</v>
      </c>
      <c r="L10" s="1">
        <v>302658000</v>
      </c>
      <c r="M10" s="1">
        <v>40.86</v>
      </c>
      <c r="N10" s="1">
        <v>3773017000</v>
      </c>
      <c r="O10" s="1">
        <v>1112767000</v>
      </c>
      <c r="P10" s="1">
        <v>29.472970297029715</v>
      </c>
      <c r="Q10" s="1">
        <v>19263524000</v>
      </c>
      <c r="R10" s="1">
        <v>5445294000</v>
      </c>
      <c r="S10" s="1">
        <v>27.756450079239301</v>
      </c>
    </row>
    <row r="28" spans="1:7" x14ac:dyDescent="0.35">
      <c r="A28" s="16" t="s">
        <v>1408</v>
      </c>
      <c r="B28" s="16"/>
      <c r="C28" s="16"/>
      <c r="D28" s="16"/>
      <c r="E28" s="16"/>
      <c r="F28" s="16"/>
      <c r="G28" s="16"/>
    </row>
    <row r="29" spans="1:7" ht="159" customHeight="1" x14ac:dyDescent="0.35">
      <c r="A29" s="17" t="s">
        <v>1409</v>
      </c>
      <c r="B29" s="17"/>
      <c r="C29" s="17"/>
      <c r="D29" s="17"/>
      <c r="E29" s="17"/>
      <c r="F29" s="17"/>
      <c r="G29" s="17"/>
    </row>
    <row r="30" spans="1:7" x14ac:dyDescent="0.35">
      <c r="A30" s="15"/>
      <c r="B30" s="15"/>
      <c r="C30" s="15"/>
      <c r="D30" s="15"/>
      <c r="E30" s="15"/>
      <c r="F30" s="15"/>
      <c r="G30" s="15"/>
    </row>
  </sheetData>
  <mergeCells count="4">
    <mergeCell ref="A2:S2"/>
    <mergeCell ref="A28:G28"/>
    <mergeCell ref="A29:G29"/>
    <mergeCell ref="A30:G30"/>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A97E7-F3F8-4BE7-97AD-B926B6566227}">
  <dimension ref="A1:Q632"/>
  <sheetViews>
    <sheetView topLeftCell="A2" workbookViewId="0">
      <selection sqref="A1:Q632"/>
    </sheetView>
  </sheetViews>
  <sheetFormatPr defaultRowHeight="14.5" x14ac:dyDescent="0.35"/>
  <cols>
    <col min="1" max="1" width="13.7265625" bestFit="1" customWidth="1"/>
    <col min="2" max="2" width="11.6328125" bestFit="1" customWidth="1"/>
    <col min="3" max="3" width="14.36328125" bestFit="1" customWidth="1"/>
    <col min="4" max="4" width="13" bestFit="1" customWidth="1"/>
    <col min="5" max="5" width="9.08984375" bestFit="1" customWidth="1"/>
    <col min="6" max="6" width="15.26953125" bestFit="1" customWidth="1"/>
    <col min="7" max="7" width="20.26953125" bestFit="1" customWidth="1"/>
    <col min="8" max="8" width="9.90625" bestFit="1" customWidth="1"/>
    <col min="9" max="9" width="14.08984375" bestFit="1" customWidth="1"/>
    <col min="10" max="10" width="11.90625" bestFit="1" customWidth="1"/>
    <col min="11" max="11" width="12" bestFit="1" customWidth="1"/>
    <col min="12" max="12" width="21.1796875" bestFit="1" customWidth="1"/>
    <col min="13" max="13" width="16.1796875" bestFit="1" customWidth="1"/>
    <col min="14" max="14" width="16.36328125" bestFit="1" customWidth="1"/>
    <col min="15" max="15" width="10.36328125" bestFit="1" customWidth="1"/>
    <col min="16" max="16" width="9.81640625" bestFit="1" customWidth="1"/>
    <col min="17" max="17" width="8.7265625" bestFit="1" customWidth="1"/>
    <col min="18" max="18" width="15" bestFit="1" customWidth="1"/>
  </cols>
  <sheetData>
    <row r="1" spans="1:17" x14ac:dyDescent="0.35">
      <c r="A1" t="s">
        <v>99</v>
      </c>
      <c r="B1" t="s">
        <v>101</v>
      </c>
      <c r="C1" t="s">
        <v>0</v>
      </c>
      <c r="D1" t="s">
        <v>103</v>
      </c>
      <c r="E1" t="s">
        <v>102</v>
      </c>
      <c r="F1" t="s">
        <v>1298</v>
      </c>
      <c r="G1" t="s">
        <v>1299</v>
      </c>
      <c r="H1" t="s">
        <v>1300</v>
      </c>
      <c r="I1" t="s">
        <v>1371</v>
      </c>
      <c r="J1" t="s">
        <v>1304</v>
      </c>
      <c r="K1" t="s">
        <v>1372</v>
      </c>
      <c r="L1" t="s">
        <v>1</v>
      </c>
      <c r="M1" t="s">
        <v>1373</v>
      </c>
      <c r="N1" t="s">
        <v>1374</v>
      </c>
      <c r="O1" t="s">
        <v>1375</v>
      </c>
      <c r="P1" t="s">
        <v>1376</v>
      </c>
      <c r="Q1" t="s">
        <v>1377</v>
      </c>
    </row>
    <row r="2" spans="1:17" x14ac:dyDescent="0.35">
      <c r="A2" s="1" t="s">
        <v>104</v>
      </c>
      <c r="B2" s="1" t="s">
        <v>106</v>
      </c>
      <c r="C2" s="1" t="s">
        <v>39</v>
      </c>
      <c r="D2" s="1" t="s">
        <v>143</v>
      </c>
      <c r="E2">
        <v>4</v>
      </c>
      <c r="F2" s="2">
        <v>45617</v>
      </c>
      <c r="G2" s="1" t="s">
        <v>1348</v>
      </c>
      <c r="H2" s="1" t="s">
        <v>1317</v>
      </c>
      <c r="I2" s="1" t="s">
        <v>1323</v>
      </c>
      <c r="J2">
        <v>300000</v>
      </c>
      <c r="K2">
        <v>355000</v>
      </c>
      <c r="L2" s="1" t="s">
        <v>40</v>
      </c>
      <c r="M2" s="1" t="s">
        <v>23</v>
      </c>
      <c r="N2" s="1" t="s">
        <v>41</v>
      </c>
      <c r="O2">
        <v>1420000</v>
      </c>
      <c r="P2">
        <v>220000</v>
      </c>
      <c r="Q2">
        <v>15.49</v>
      </c>
    </row>
    <row r="3" spans="1:17" x14ac:dyDescent="0.35">
      <c r="A3" s="1" t="s">
        <v>104</v>
      </c>
      <c r="B3" s="1" t="s">
        <v>109</v>
      </c>
      <c r="C3" s="1" t="s">
        <v>39</v>
      </c>
      <c r="D3" s="1" t="s">
        <v>143</v>
      </c>
      <c r="E3">
        <v>2</v>
      </c>
      <c r="F3" s="2">
        <v>45617</v>
      </c>
      <c r="G3" s="1" t="s">
        <v>1357</v>
      </c>
      <c r="H3" s="1" t="s">
        <v>1358</v>
      </c>
      <c r="I3" s="1" t="s">
        <v>41</v>
      </c>
      <c r="J3">
        <v>2000000</v>
      </c>
      <c r="K3">
        <v>3382000</v>
      </c>
      <c r="L3" s="1" t="s">
        <v>40</v>
      </c>
      <c r="M3" s="1" t="s">
        <v>23</v>
      </c>
      <c r="N3" s="1" t="s">
        <v>41</v>
      </c>
      <c r="O3">
        <v>6764000</v>
      </c>
      <c r="P3">
        <v>2764000</v>
      </c>
      <c r="Q3">
        <v>40.86</v>
      </c>
    </row>
    <row r="4" spans="1:17" x14ac:dyDescent="0.35">
      <c r="A4" s="1" t="s">
        <v>104</v>
      </c>
      <c r="B4" s="1" t="s">
        <v>111</v>
      </c>
      <c r="C4" s="1" t="s">
        <v>39</v>
      </c>
      <c r="D4" s="1" t="s">
        <v>143</v>
      </c>
      <c r="E4">
        <v>3</v>
      </c>
      <c r="F4" s="2">
        <v>45617</v>
      </c>
      <c r="G4" s="1" t="s">
        <v>1344</v>
      </c>
      <c r="H4" s="1" t="s">
        <v>1311</v>
      </c>
      <c r="I4" s="1" t="s">
        <v>1323</v>
      </c>
      <c r="J4">
        <v>18000000</v>
      </c>
      <c r="K4">
        <v>27603000</v>
      </c>
      <c r="L4" s="1" t="s">
        <v>40</v>
      </c>
      <c r="M4" s="1" t="s">
        <v>23</v>
      </c>
      <c r="N4" s="1" t="s">
        <v>41</v>
      </c>
      <c r="O4">
        <v>82809000</v>
      </c>
      <c r="P4">
        <v>28809000</v>
      </c>
      <c r="Q4">
        <v>34.79</v>
      </c>
    </row>
    <row r="5" spans="1:17" x14ac:dyDescent="0.35">
      <c r="A5" s="1" t="s">
        <v>104</v>
      </c>
      <c r="B5" s="1" t="s">
        <v>113</v>
      </c>
      <c r="C5" s="1" t="s">
        <v>39</v>
      </c>
      <c r="D5" s="1" t="s">
        <v>143</v>
      </c>
      <c r="E5">
        <v>10</v>
      </c>
      <c r="F5" s="2">
        <v>45617</v>
      </c>
      <c r="G5" s="1" t="s">
        <v>1346</v>
      </c>
      <c r="H5" s="1" t="s">
        <v>1311</v>
      </c>
      <c r="I5" s="1" t="s">
        <v>1323</v>
      </c>
      <c r="J5">
        <v>4500000</v>
      </c>
      <c r="K5">
        <v>5522000</v>
      </c>
      <c r="L5" s="1" t="s">
        <v>40</v>
      </c>
      <c r="M5" s="1" t="s">
        <v>23</v>
      </c>
      <c r="N5" s="1" t="s">
        <v>41</v>
      </c>
      <c r="O5">
        <v>55220000</v>
      </c>
      <c r="P5">
        <v>10220000</v>
      </c>
      <c r="Q5">
        <v>18.510000000000002</v>
      </c>
    </row>
    <row r="6" spans="1:17" x14ac:dyDescent="0.35">
      <c r="A6" s="1" t="s">
        <v>158</v>
      </c>
      <c r="B6" s="1" t="s">
        <v>106</v>
      </c>
      <c r="C6" s="1" t="s">
        <v>82</v>
      </c>
      <c r="D6" s="1" t="s">
        <v>121</v>
      </c>
      <c r="E6">
        <v>4</v>
      </c>
      <c r="F6" s="2">
        <v>45632</v>
      </c>
      <c r="G6" s="1" t="s">
        <v>1348</v>
      </c>
      <c r="H6" s="1" t="s">
        <v>1317</v>
      </c>
      <c r="I6" s="1" t="s">
        <v>1323</v>
      </c>
      <c r="J6">
        <v>300000</v>
      </c>
      <c r="K6">
        <v>355000</v>
      </c>
      <c r="L6" s="1" t="s">
        <v>83</v>
      </c>
      <c r="M6" s="1" t="s">
        <v>23</v>
      </c>
      <c r="N6" s="1" t="s">
        <v>84</v>
      </c>
      <c r="O6">
        <v>1420000</v>
      </c>
      <c r="P6">
        <v>220000</v>
      </c>
      <c r="Q6">
        <v>15.49</v>
      </c>
    </row>
    <row r="7" spans="1:17" x14ac:dyDescent="0.35">
      <c r="A7" s="1" t="s">
        <v>160</v>
      </c>
      <c r="B7" s="1" t="s">
        <v>106</v>
      </c>
      <c r="C7" s="1" t="s">
        <v>78</v>
      </c>
      <c r="D7" s="1" t="s">
        <v>124</v>
      </c>
      <c r="E7">
        <v>8</v>
      </c>
      <c r="F7" s="2">
        <v>45527</v>
      </c>
      <c r="G7" s="1" t="s">
        <v>1348</v>
      </c>
      <c r="H7" s="1" t="s">
        <v>1317</v>
      </c>
      <c r="I7" s="1" t="s">
        <v>1323</v>
      </c>
      <c r="J7">
        <v>300000</v>
      </c>
      <c r="K7">
        <v>355000</v>
      </c>
      <c r="L7" s="1" t="s">
        <v>79</v>
      </c>
      <c r="M7" s="1" t="s">
        <v>10</v>
      </c>
      <c r="N7" s="1" t="s">
        <v>17</v>
      </c>
      <c r="O7">
        <v>2840000</v>
      </c>
      <c r="P7">
        <v>440000</v>
      </c>
      <c r="Q7">
        <v>15.49</v>
      </c>
    </row>
    <row r="8" spans="1:17" x14ac:dyDescent="0.35">
      <c r="A8" s="1" t="s">
        <v>125</v>
      </c>
      <c r="B8" s="1" t="s">
        <v>111</v>
      </c>
      <c r="C8" s="1" t="s">
        <v>78</v>
      </c>
      <c r="D8" s="1" t="s">
        <v>128</v>
      </c>
      <c r="E8">
        <v>7</v>
      </c>
      <c r="F8" s="2">
        <v>45396</v>
      </c>
      <c r="G8" s="1" t="s">
        <v>1344</v>
      </c>
      <c r="H8" s="1" t="s">
        <v>1311</v>
      </c>
      <c r="I8" s="1" t="s">
        <v>1323</v>
      </c>
      <c r="J8">
        <v>18000000</v>
      </c>
      <c r="K8">
        <v>27603000</v>
      </c>
      <c r="L8" s="1" t="s">
        <v>79</v>
      </c>
      <c r="M8" s="1" t="s">
        <v>10</v>
      </c>
      <c r="N8" s="1" t="s">
        <v>17</v>
      </c>
      <c r="O8">
        <v>193221000</v>
      </c>
      <c r="P8">
        <v>67221000</v>
      </c>
      <c r="Q8">
        <v>34.79</v>
      </c>
    </row>
    <row r="9" spans="1:17" x14ac:dyDescent="0.35">
      <c r="A9" s="1" t="s">
        <v>135</v>
      </c>
      <c r="B9" s="1" t="s">
        <v>137</v>
      </c>
      <c r="C9" s="1" t="s">
        <v>21</v>
      </c>
      <c r="D9" s="1" t="s">
        <v>128</v>
      </c>
      <c r="E9">
        <v>9</v>
      </c>
      <c r="F9" s="2">
        <v>45653</v>
      </c>
      <c r="G9" s="1" t="s">
        <v>1324</v>
      </c>
      <c r="H9" s="1" t="s">
        <v>1311</v>
      </c>
      <c r="I9" s="1" t="s">
        <v>11</v>
      </c>
      <c r="J9">
        <v>2000000</v>
      </c>
      <c r="K9">
        <v>2533000</v>
      </c>
      <c r="L9" s="1" t="s">
        <v>22</v>
      </c>
      <c r="M9" s="1" t="s">
        <v>23</v>
      </c>
      <c r="N9" s="1" t="s">
        <v>24</v>
      </c>
      <c r="O9">
        <v>22797000</v>
      </c>
      <c r="P9">
        <v>4797000</v>
      </c>
      <c r="Q9">
        <v>21.04</v>
      </c>
    </row>
    <row r="10" spans="1:17" x14ac:dyDescent="0.35">
      <c r="A10" s="1" t="s">
        <v>122</v>
      </c>
      <c r="B10" s="1" t="s">
        <v>109</v>
      </c>
      <c r="C10" s="1" t="s">
        <v>29</v>
      </c>
      <c r="D10" s="1" t="s">
        <v>124</v>
      </c>
      <c r="E10">
        <v>2</v>
      </c>
      <c r="F10" s="2">
        <v>45387</v>
      </c>
      <c r="G10" s="1" t="s">
        <v>1357</v>
      </c>
      <c r="H10" s="1" t="s">
        <v>1358</v>
      </c>
      <c r="I10" s="1" t="s">
        <v>41</v>
      </c>
      <c r="J10">
        <v>2000000</v>
      </c>
      <c r="K10">
        <v>3382000</v>
      </c>
      <c r="L10" s="1" t="s">
        <v>30</v>
      </c>
      <c r="M10" s="1" t="s">
        <v>23</v>
      </c>
      <c r="N10" s="1" t="s">
        <v>31</v>
      </c>
      <c r="O10">
        <v>6764000</v>
      </c>
      <c r="P10">
        <v>2764000</v>
      </c>
      <c r="Q10">
        <v>40.86</v>
      </c>
    </row>
    <row r="11" spans="1:17" x14ac:dyDescent="0.35">
      <c r="A11" s="1" t="s">
        <v>119</v>
      </c>
      <c r="B11" s="1" t="s">
        <v>109</v>
      </c>
      <c r="C11" s="1" t="s">
        <v>69</v>
      </c>
      <c r="D11" s="1" t="s">
        <v>121</v>
      </c>
      <c r="E11">
        <v>4</v>
      </c>
      <c r="F11" s="2">
        <v>45335</v>
      </c>
      <c r="G11" s="1" t="s">
        <v>1357</v>
      </c>
      <c r="H11" s="1" t="s">
        <v>1358</v>
      </c>
      <c r="I11" s="1" t="s">
        <v>41</v>
      </c>
      <c r="J11">
        <v>2000000</v>
      </c>
      <c r="K11">
        <v>3382000</v>
      </c>
      <c r="L11" s="1" t="s">
        <v>70</v>
      </c>
      <c r="M11" s="1" t="s">
        <v>10</v>
      </c>
      <c r="N11" s="1" t="s">
        <v>11</v>
      </c>
      <c r="O11">
        <v>13528000</v>
      </c>
      <c r="P11">
        <v>5528000</v>
      </c>
      <c r="Q11">
        <v>40.86</v>
      </c>
    </row>
    <row r="12" spans="1:17" x14ac:dyDescent="0.35">
      <c r="A12" s="1" t="s">
        <v>147</v>
      </c>
      <c r="B12" s="1" t="s">
        <v>149</v>
      </c>
      <c r="C12" s="1" t="s">
        <v>35</v>
      </c>
      <c r="D12" s="1" t="s">
        <v>157</v>
      </c>
      <c r="E12">
        <v>9</v>
      </c>
      <c r="F12" s="2">
        <v>45604</v>
      </c>
      <c r="G12" s="1" t="s">
        <v>1316</v>
      </c>
      <c r="H12" s="1" t="s">
        <v>1317</v>
      </c>
      <c r="I12" s="1" t="s">
        <v>41</v>
      </c>
      <c r="J12">
        <v>100000</v>
      </c>
      <c r="K12">
        <v>169000</v>
      </c>
      <c r="L12" s="1" t="s">
        <v>36</v>
      </c>
      <c r="M12" s="1" t="s">
        <v>10</v>
      </c>
      <c r="N12" s="1" t="s">
        <v>11</v>
      </c>
      <c r="O12">
        <v>1521000</v>
      </c>
      <c r="P12">
        <v>621000</v>
      </c>
      <c r="Q12">
        <v>40.83</v>
      </c>
    </row>
    <row r="13" spans="1:17" x14ac:dyDescent="0.35">
      <c r="A13" s="1" t="s">
        <v>151</v>
      </c>
      <c r="B13" s="1" t="s">
        <v>109</v>
      </c>
      <c r="C13" s="1" t="s">
        <v>51</v>
      </c>
      <c r="D13" s="1" t="s">
        <v>124</v>
      </c>
      <c r="E13">
        <v>1</v>
      </c>
      <c r="F13" s="2">
        <v>45648</v>
      </c>
      <c r="G13" s="1" t="s">
        <v>1357</v>
      </c>
      <c r="H13" s="1" t="s">
        <v>1358</v>
      </c>
      <c r="I13" s="1" t="s">
        <v>41</v>
      </c>
      <c r="J13">
        <v>2000000</v>
      </c>
      <c r="K13">
        <v>3382000</v>
      </c>
      <c r="L13" s="1" t="s">
        <v>52</v>
      </c>
      <c r="M13" s="1" t="s">
        <v>23</v>
      </c>
      <c r="N13" s="1" t="s">
        <v>53</v>
      </c>
      <c r="O13">
        <v>3382000</v>
      </c>
      <c r="P13">
        <v>1382000</v>
      </c>
      <c r="Q13">
        <v>40.86</v>
      </c>
    </row>
    <row r="14" spans="1:17" x14ac:dyDescent="0.35">
      <c r="A14" s="1" t="s">
        <v>129</v>
      </c>
      <c r="B14" s="1" t="s">
        <v>111</v>
      </c>
      <c r="C14" s="1" t="s">
        <v>87</v>
      </c>
      <c r="D14" s="1" t="s">
        <v>124</v>
      </c>
      <c r="E14">
        <v>7</v>
      </c>
      <c r="F14" s="2">
        <v>45521</v>
      </c>
      <c r="G14" s="1" t="s">
        <v>1344</v>
      </c>
      <c r="H14" s="1" t="s">
        <v>1311</v>
      </c>
      <c r="I14" s="1" t="s">
        <v>1323</v>
      </c>
      <c r="J14">
        <v>18000000</v>
      </c>
      <c r="K14">
        <v>27603000</v>
      </c>
      <c r="L14" s="1" t="s">
        <v>88</v>
      </c>
      <c r="M14" s="1" t="s">
        <v>10</v>
      </c>
      <c r="N14" s="1" t="s">
        <v>89</v>
      </c>
      <c r="O14">
        <v>193221000</v>
      </c>
      <c r="P14">
        <v>67221000</v>
      </c>
      <c r="Q14">
        <v>34.79</v>
      </c>
    </row>
    <row r="15" spans="1:17" x14ac:dyDescent="0.35">
      <c r="A15" s="1" t="s">
        <v>144</v>
      </c>
      <c r="B15" s="1" t="s">
        <v>111</v>
      </c>
      <c r="C15" s="1" t="s">
        <v>87</v>
      </c>
      <c r="D15" s="1" t="s">
        <v>121</v>
      </c>
      <c r="E15">
        <v>14</v>
      </c>
      <c r="F15" s="2">
        <v>45310</v>
      </c>
      <c r="G15" s="1" t="s">
        <v>1344</v>
      </c>
      <c r="H15" s="1" t="s">
        <v>1311</v>
      </c>
      <c r="I15" s="1" t="s">
        <v>1323</v>
      </c>
      <c r="J15">
        <v>18000000</v>
      </c>
      <c r="K15">
        <v>27603000</v>
      </c>
      <c r="L15" s="1" t="s">
        <v>88</v>
      </c>
      <c r="M15" s="1" t="s">
        <v>10</v>
      </c>
      <c r="N15" s="1" t="s">
        <v>89</v>
      </c>
      <c r="O15">
        <v>386442000</v>
      </c>
      <c r="P15">
        <v>134442000</v>
      </c>
      <c r="Q15">
        <v>34.79</v>
      </c>
    </row>
    <row r="16" spans="1:17" x14ac:dyDescent="0.35">
      <c r="A16" s="1" t="s">
        <v>169</v>
      </c>
      <c r="B16" s="1" t="s">
        <v>111</v>
      </c>
      <c r="C16" s="1" t="s">
        <v>87</v>
      </c>
      <c r="D16" s="1" t="s">
        <v>171</v>
      </c>
      <c r="E16">
        <v>1</v>
      </c>
      <c r="F16" s="2">
        <v>45598</v>
      </c>
      <c r="G16" s="1" t="s">
        <v>1344</v>
      </c>
      <c r="H16" s="1" t="s">
        <v>1311</v>
      </c>
      <c r="I16" s="1" t="s">
        <v>1323</v>
      </c>
      <c r="J16">
        <v>18000000</v>
      </c>
      <c r="K16">
        <v>27603000</v>
      </c>
      <c r="L16" s="1" t="s">
        <v>88</v>
      </c>
      <c r="M16" s="1" t="s">
        <v>10</v>
      </c>
      <c r="N16" s="1" t="s">
        <v>89</v>
      </c>
      <c r="O16">
        <v>27603000</v>
      </c>
      <c r="P16">
        <v>9603000</v>
      </c>
      <c r="Q16">
        <v>34.79</v>
      </c>
    </row>
    <row r="17" spans="1:17" x14ac:dyDescent="0.35">
      <c r="A17" s="1" t="s">
        <v>154</v>
      </c>
      <c r="B17" s="1" t="s">
        <v>113</v>
      </c>
      <c r="C17" s="1" t="s">
        <v>87</v>
      </c>
      <c r="D17" s="1" t="s">
        <v>157</v>
      </c>
      <c r="E17">
        <v>8</v>
      </c>
      <c r="F17" s="2">
        <v>45362</v>
      </c>
      <c r="G17" s="1" t="s">
        <v>1346</v>
      </c>
      <c r="H17" s="1" t="s">
        <v>1311</v>
      </c>
      <c r="I17" s="1" t="s">
        <v>1323</v>
      </c>
      <c r="J17">
        <v>4500000</v>
      </c>
      <c r="K17">
        <v>5522000</v>
      </c>
      <c r="L17" s="1" t="s">
        <v>88</v>
      </c>
      <c r="M17" s="1" t="s">
        <v>10</v>
      </c>
      <c r="N17" s="1" t="s">
        <v>89</v>
      </c>
      <c r="O17">
        <v>44176000</v>
      </c>
      <c r="P17">
        <v>8176000</v>
      </c>
      <c r="Q17">
        <v>18.510000000000002</v>
      </c>
    </row>
    <row r="18" spans="1:17" x14ac:dyDescent="0.35">
      <c r="A18" s="1" t="s">
        <v>114</v>
      </c>
      <c r="B18" s="1" t="s">
        <v>116</v>
      </c>
      <c r="C18" s="1" t="s">
        <v>35</v>
      </c>
      <c r="D18" s="1" t="s">
        <v>124</v>
      </c>
      <c r="E18">
        <v>14</v>
      </c>
      <c r="F18" s="2">
        <v>45442</v>
      </c>
      <c r="G18" s="1" t="s">
        <v>1352</v>
      </c>
      <c r="H18" s="1" t="s">
        <v>1330</v>
      </c>
      <c r="I18" s="1" t="s">
        <v>1323</v>
      </c>
      <c r="J18">
        <v>5000000</v>
      </c>
      <c r="K18">
        <v>7546000</v>
      </c>
      <c r="L18" s="1" t="s">
        <v>36</v>
      </c>
      <c r="M18" s="1" t="s">
        <v>10</v>
      </c>
      <c r="N18" s="1" t="s">
        <v>11</v>
      </c>
      <c r="O18">
        <v>105644000</v>
      </c>
      <c r="P18">
        <v>35644000</v>
      </c>
      <c r="Q18">
        <v>33.74</v>
      </c>
    </row>
    <row r="19" spans="1:17" x14ac:dyDescent="0.35">
      <c r="A19" s="1" t="s">
        <v>174</v>
      </c>
      <c r="B19" s="1" t="s">
        <v>176</v>
      </c>
      <c r="C19" s="1" t="s">
        <v>82</v>
      </c>
      <c r="D19" s="1" t="s">
        <v>121</v>
      </c>
      <c r="E19">
        <v>7</v>
      </c>
      <c r="F19" s="2">
        <v>45477</v>
      </c>
      <c r="G19" s="1" t="s">
        <v>1329</v>
      </c>
      <c r="H19" s="1" t="s">
        <v>1330</v>
      </c>
      <c r="I19" s="1" t="s">
        <v>1323</v>
      </c>
      <c r="J19">
        <v>1500000</v>
      </c>
      <c r="K19">
        <v>1772000</v>
      </c>
      <c r="L19" s="1" t="s">
        <v>83</v>
      </c>
      <c r="M19" s="1" t="s">
        <v>23</v>
      </c>
      <c r="N19" s="1" t="s">
        <v>84</v>
      </c>
      <c r="O19">
        <v>12404000</v>
      </c>
      <c r="P19">
        <v>1904000</v>
      </c>
      <c r="Q19">
        <v>15.35</v>
      </c>
    </row>
    <row r="20" spans="1:17" x14ac:dyDescent="0.35">
      <c r="A20" s="1" t="s">
        <v>162</v>
      </c>
      <c r="B20" s="1" t="s">
        <v>164</v>
      </c>
      <c r="C20" s="1" t="s">
        <v>39</v>
      </c>
      <c r="D20" s="1" t="s">
        <v>128</v>
      </c>
      <c r="E20">
        <v>15</v>
      </c>
      <c r="F20" s="2">
        <v>45477</v>
      </c>
      <c r="G20" s="1" t="s">
        <v>1332</v>
      </c>
      <c r="H20" s="1" t="s">
        <v>1330</v>
      </c>
      <c r="I20" s="1" t="s">
        <v>11</v>
      </c>
      <c r="J20">
        <v>750000</v>
      </c>
      <c r="K20">
        <v>971000</v>
      </c>
      <c r="L20" s="1" t="s">
        <v>40</v>
      </c>
      <c r="M20" s="1" t="s">
        <v>23</v>
      </c>
      <c r="N20" s="1" t="s">
        <v>41</v>
      </c>
      <c r="O20">
        <v>14565000</v>
      </c>
      <c r="P20">
        <v>3315000</v>
      </c>
      <c r="Q20">
        <v>22.76</v>
      </c>
    </row>
    <row r="21" spans="1:17" x14ac:dyDescent="0.35">
      <c r="A21" s="1" t="s">
        <v>131</v>
      </c>
      <c r="B21" s="1" t="s">
        <v>133</v>
      </c>
      <c r="C21" s="1" t="s">
        <v>39</v>
      </c>
      <c r="D21" s="1" t="s">
        <v>128</v>
      </c>
      <c r="E21">
        <v>3</v>
      </c>
      <c r="F21" s="2">
        <v>45372</v>
      </c>
      <c r="G21" s="1" t="s">
        <v>1354</v>
      </c>
      <c r="H21" s="1" t="s">
        <v>1330</v>
      </c>
      <c r="I21" s="1" t="s">
        <v>11</v>
      </c>
      <c r="J21">
        <v>2500000</v>
      </c>
      <c r="K21">
        <v>3080000</v>
      </c>
      <c r="L21" s="1" t="s">
        <v>40</v>
      </c>
      <c r="M21" s="1" t="s">
        <v>23</v>
      </c>
      <c r="N21" s="1" t="s">
        <v>41</v>
      </c>
      <c r="O21">
        <v>9240000</v>
      </c>
      <c r="P21">
        <v>1740000</v>
      </c>
      <c r="Q21">
        <v>18.829999999999998</v>
      </c>
    </row>
    <row r="22" spans="1:17" x14ac:dyDescent="0.35">
      <c r="A22" s="1" t="s">
        <v>166</v>
      </c>
      <c r="B22" s="1" t="s">
        <v>168</v>
      </c>
      <c r="C22" s="1" t="s">
        <v>39</v>
      </c>
      <c r="D22" s="1" t="s">
        <v>124</v>
      </c>
      <c r="E22">
        <v>1</v>
      </c>
      <c r="F22" s="2">
        <v>45477</v>
      </c>
      <c r="G22" s="1" t="s">
        <v>1338</v>
      </c>
      <c r="H22" s="1" t="s">
        <v>1336</v>
      </c>
      <c r="I22" s="1" t="s">
        <v>41</v>
      </c>
      <c r="J22">
        <v>500000</v>
      </c>
      <c r="K22">
        <v>844000</v>
      </c>
      <c r="L22" s="1" t="s">
        <v>40</v>
      </c>
      <c r="M22" s="1" t="s">
        <v>23</v>
      </c>
      <c r="N22" s="1" t="s">
        <v>41</v>
      </c>
      <c r="O22">
        <v>844000</v>
      </c>
      <c r="P22">
        <v>344000</v>
      </c>
      <c r="Q22">
        <v>40.76</v>
      </c>
    </row>
    <row r="23" spans="1:17" x14ac:dyDescent="0.35">
      <c r="A23" s="1" t="s">
        <v>169</v>
      </c>
      <c r="B23" s="1" t="s">
        <v>168</v>
      </c>
      <c r="C23" s="1" t="s">
        <v>87</v>
      </c>
      <c r="D23" s="1" t="s">
        <v>171</v>
      </c>
      <c r="E23">
        <v>1</v>
      </c>
      <c r="F23" s="2">
        <v>45598</v>
      </c>
      <c r="G23" s="1" t="s">
        <v>1338</v>
      </c>
      <c r="H23" s="1" t="s">
        <v>1336</v>
      </c>
      <c r="I23" s="1" t="s">
        <v>41</v>
      </c>
      <c r="J23">
        <v>500000</v>
      </c>
      <c r="K23">
        <v>844000</v>
      </c>
      <c r="L23" s="1" t="s">
        <v>88</v>
      </c>
      <c r="M23" s="1" t="s">
        <v>10</v>
      </c>
      <c r="N23" s="1" t="s">
        <v>89</v>
      </c>
      <c r="O23">
        <v>844000</v>
      </c>
      <c r="P23">
        <v>344000</v>
      </c>
      <c r="Q23">
        <v>40.76</v>
      </c>
    </row>
    <row r="24" spans="1:17" x14ac:dyDescent="0.35">
      <c r="A24" s="1" t="s">
        <v>169</v>
      </c>
      <c r="B24" s="1" t="s">
        <v>172</v>
      </c>
      <c r="C24" s="1" t="s">
        <v>87</v>
      </c>
      <c r="D24" s="1" t="s">
        <v>171</v>
      </c>
      <c r="E24">
        <v>1</v>
      </c>
      <c r="F24" s="2">
        <v>45598</v>
      </c>
      <c r="G24" s="1" t="s">
        <v>1340</v>
      </c>
      <c r="H24" s="1" t="s">
        <v>1330</v>
      </c>
      <c r="I24" s="1" t="s">
        <v>41</v>
      </c>
      <c r="J24">
        <v>950000</v>
      </c>
      <c r="K24">
        <v>1649000</v>
      </c>
      <c r="L24" s="1" t="s">
        <v>88</v>
      </c>
      <c r="M24" s="1" t="s">
        <v>10</v>
      </c>
      <c r="N24" s="1" t="s">
        <v>89</v>
      </c>
      <c r="O24">
        <v>1649000</v>
      </c>
      <c r="P24">
        <v>699000</v>
      </c>
      <c r="Q24">
        <v>42.39</v>
      </c>
    </row>
    <row r="25" spans="1:17" x14ac:dyDescent="0.35">
      <c r="A25" s="1" t="s">
        <v>139</v>
      </c>
      <c r="B25" s="1" t="s">
        <v>141</v>
      </c>
      <c r="C25" s="1" t="s">
        <v>73</v>
      </c>
      <c r="D25" s="1" t="s">
        <v>143</v>
      </c>
      <c r="E25">
        <v>6</v>
      </c>
      <c r="F25" s="2">
        <v>45502</v>
      </c>
      <c r="G25" s="1" t="s">
        <v>1355</v>
      </c>
      <c r="H25" s="1" t="s">
        <v>1330</v>
      </c>
      <c r="I25" s="1" t="s">
        <v>41</v>
      </c>
      <c r="J25">
        <v>400000</v>
      </c>
      <c r="K25">
        <v>623000</v>
      </c>
      <c r="L25" s="1" t="s">
        <v>74</v>
      </c>
      <c r="M25" s="1" t="s">
        <v>23</v>
      </c>
      <c r="N25" s="1" t="s">
        <v>75</v>
      </c>
      <c r="O25">
        <v>3738000</v>
      </c>
      <c r="P25">
        <v>1338000</v>
      </c>
      <c r="Q25">
        <v>35.79</v>
      </c>
    </row>
    <row r="26" spans="1:17" x14ac:dyDescent="0.35">
      <c r="A26" s="1" t="s">
        <v>169</v>
      </c>
      <c r="B26" s="1" t="s">
        <v>173</v>
      </c>
      <c r="C26" s="1" t="s">
        <v>87</v>
      </c>
      <c r="D26" s="1" t="s">
        <v>171</v>
      </c>
      <c r="E26">
        <v>1</v>
      </c>
      <c r="F26" s="2">
        <v>45598</v>
      </c>
      <c r="G26" s="1" t="s">
        <v>1342</v>
      </c>
      <c r="H26" s="1" t="s">
        <v>1317</v>
      </c>
      <c r="I26" s="1" t="s">
        <v>1323</v>
      </c>
      <c r="J26">
        <v>80000</v>
      </c>
      <c r="K26">
        <v>92000</v>
      </c>
      <c r="L26" s="1" t="s">
        <v>88</v>
      </c>
      <c r="M26" s="1" t="s">
        <v>10</v>
      </c>
      <c r="N26" s="1" t="s">
        <v>89</v>
      </c>
      <c r="O26">
        <v>92000</v>
      </c>
      <c r="P26">
        <v>12000</v>
      </c>
      <c r="Q26">
        <v>13.04</v>
      </c>
    </row>
    <row r="27" spans="1:17" x14ac:dyDescent="0.35">
      <c r="A27" s="1" t="s">
        <v>177</v>
      </c>
      <c r="B27" s="1" t="s">
        <v>141</v>
      </c>
      <c r="C27" s="1" t="s">
        <v>29</v>
      </c>
      <c r="D27" s="1" t="s">
        <v>124</v>
      </c>
      <c r="E27">
        <v>14</v>
      </c>
      <c r="F27" s="2">
        <v>45608</v>
      </c>
      <c r="G27" s="1" t="s">
        <v>1355</v>
      </c>
      <c r="H27" s="1" t="s">
        <v>1330</v>
      </c>
      <c r="I27" s="1" t="s">
        <v>41</v>
      </c>
      <c r="J27">
        <v>400000</v>
      </c>
      <c r="K27">
        <v>623000</v>
      </c>
      <c r="L27" s="1" t="s">
        <v>30</v>
      </c>
      <c r="M27" s="1" t="s">
        <v>23</v>
      </c>
      <c r="N27" s="1" t="s">
        <v>31</v>
      </c>
      <c r="O27">
        <v>8722000</v>
      </c>
      <c r="P27">
        <v>3122000</v>
      </c>
      <c r="Q27">
        <v>35.79</v>
      </c>
    </row>
    <row r="28" spans="1:17" x14ac:dyDescent="0.35">
      <c r="A28" s="1" t="s">
        <v>179</v>
      </c>
      <c r="B28" s="1" t="s">
        <v>116</v>
      </c>
      <c r="C28" s="1" t="s">
        <v>63</v>
      </c>
      <c r="D28" s="1" t="s">
        <v>124</v>
      </c>
      <c r="E28">
        <v>6</v>
      </c>
      <c r="F28" s="2">
        <v>45609</v>
      </c>
      <c r="G28" s="1" t="s">
        <v>1352</v>
      </c>
      <c r="H28" s="1" t="s">
        <v>1330</v>
      </c>
      <c r="I28" s="1" t="s">
        <v>1323</v>
      </c>
      <c r="J28">
        <v>5000000</v>
      </c>
      <c r="K28">
        <v>7546000</v>
      </c>
      <c r="L28" s="1" t="s">
        <v>64</v>
      </c>
      <c r="M28" s="1" t="s">
        <v>23</v>
      </c>
      <c r="N28" s="1" t="s">
        <v>65</v>
      </c>
      <c r="O28">
        <v>45276000</v>
      </c>
      <c r="P28">
        <v>15276000</v>
      </c>
      <c r="Q28">
        <v>33.74</v>
      </c>
    </row>
    <row r="29" spans="1:17" x14ac:dyDescent="0.35">
      <c r="A29" s="1" t="s">
        <v>181</v>
      </c>
      <c r="B29" s="1" t="s">
        <v>133</v>
      </c>
      <c r="C29" s="1" t="s">
        <v>21</v>
      </c>
      <c r="D29" s="1" t="s">
        <v>121</v>
      </c>
      <c r="E29">
        <v>5</v>
      </c>
      <c r="F29" s="2">
        <v>45545</v>
      </c>
      <c r="G29" s="1" t="s">
        <v>1354</v>
      </c>
      <c r="H29" s="1" t="s">
        <v>1330</v>
      </c>
      <c r="I29" s="1" t="s">
        <v>11</v>
      </c>
      <c r="J29">
        <v>2500000</v>
      </c>
      <c r="K29">
        <v>3080000</v>
      </c>
      <c r="L29" s="1" t="s">
        <v>22</v>
      </c>
      <c r="M29" s="1" t="s">
        <v>23</v>
      </c>
      <c r="N29" s="1" t="s">
        <v>24</v>
      </c>
      <c r="O29">
        <v>15400000</v>
      </c>
      <c r="P29">
        <v>2900000</v>
      </c>
      <c r="Q29">
        <v>18.829999999999998</v>
      </c>
    </row>
    <row r="30" spans="1:17" x14ac:dyDescent="0.35">
      <c r="A30" s="1" t="s">
        <v>184</v>
      </c>
      <c r="B30" s="1" t="s">
        <v>137</v>
      </c>
      <c r="C30" s="1" t="s">
        <v>82</v>
      </c>
      <c r="D30" s="1" t="s">
        <v>157</v>
      </c>
      <c r="E30">
        <v>3</v>
      </c>
      <c r="F30" s="2">
        <v>45645</v>
      </c>
      <c r="G30" s="1" t="s">
        <v>1324</v>
      </c>
      <c r="H30" s="1" t="s">
        <v>1311</v>
      </c>
      <c r="I30" s="1" t="s">
        <v>11</v>
      </c>
      <c r="J30">
        <v>2000000</v>
      </c>
      <c r="K30">
        <v>2533000</v>
      </c>
      <c r="L30" s="1" t="s">
        <v>83</v>
      </c>
      <c r="M30" s="1" t="s">
        <v>23</v>
      </c>
      <c r="N30" s="1" t="s">
        <v>84</v>
      </c>
      <c r="O30">
        <v>7599000</v>
      </c>
      <c r="P30">
        <v>1599000</v>
      </c>
      <c r="Q30">
        <v>21.04</v>
      </c>
    </row>
    <row r="31" spans="1:17" x14ac:dyDescent="0.35">
      <c r="A31" s="1" t="s">
        <v>186</v>
      </c>
      <c r="B31" s="1" t="s">
        <v>188</v>
      </c>
      <c r="C31" s="1" t="s">
        <v>8</v>
      </c>
      <c r="D31" s="1" t="s">
        <v>128</v>
      </c>
      <c r="E31">
        <v>15</v>
      </c>
      <c r="F31" s="2">
        <v>45416</v>
      </c>
      <c r="G31" s="1" t="s">
        <v>1327</v>
      </c>
      <c r="H31" s="1" t="s">
        <v>1311</v>
      </c>
      <c r="I31" s="1" t="s">
        <v>41</v>
      </c>
      <c r="J31">
        <v>2800000</v>
      </c>
      <c r="K31">
        <v>4747000</v>
      </c>
      <c r="L31" s="1" t="s">
        <v>9</v>
      </c>
      <c r="M31" s="1" t="s">
        <v>10</v>
      </c>
      <c r="N31" s="1" t="s">
        <v>11</v>
      </c>
      <c r="O31">
        <v>71205000</v>
      </c>
      <c r="P31">
        <v>29205000</v>
      </c>
      <c r="Q31">
        <v>41.02</v>
      </c>
    </row>
    <row r="32" spans="1:17" x14ac:dyDescent="0.35">
      <c r="A32" s="1" t="s">
        <v>189</v>
      </c>
      <c r="B32" s="1" t="s">
        <v>191</v>
      </c>
      <c r="C32" s="1" t="s">
        <v>63</v>
      </c>
      <c r="D32" s="1" t="s">
        <v>171</v>
      </c>
      <c r="E32">
        <v>10</v>
      </c>
      <c r="F32" s="2">
        <v>45306</v>
      </c>
      <c r="G32" s="1" t="s">
        <v>1310</v>
      </c>
      <c r="H32" s="1" t="s">
        <v>1311</v>
      </c>
      <c r="I32" s="1" t="s">
        <v>11</v>
      </c>
      <c r="J32">
        <v>12000000</v>
      </c>
      <c r="K32">
        <v>13963000</v>
      </c>
      <c r="L32" s="1" t="s">
        <v>64</v>
      </c>
      <c r="M32" s="1" t="s">
        <v>23</v>
      </c>
      <c r="N32" s="1" t="s">
        <v>65</v>
      </c>
      <c r="O32">
        <v>139630000</v>
      </c>
      <c r="P32">
        <v>19630000</v>
      </c>
      <c r="Q32">
        <v>14.06</v>
      </c>
    </row>
    <row r="33" spans="1:17" x14ac:dyDescent="0.35">
      <c r="A33" s="1" t="s">
        <v>193</v>
      </c>
      <c r="B33" s="1" t="s">
        <v>172</v>
      </c>
      <c r="C33" s="1" t="s">
        <v>82</v>
      </c>
      <c r="D33" s="1" t="s">
        <v>171</v>
      </c>
      <c r="E33">
        <v>4</v>
      </c>
      <c r="F33" s="2">
        <v>45348</v>
      </c>
      <c r="G33" s="1" t="s">
        <v>1340</v>
      </c>
      <c r="H33" s="1" t="s">
        <v>1330</v>
      </c>
      <c r="I33" s="1" t="s">
        <v>41</v>
      </c>
      <c r="J33">
        <v>950000</v>
      </c>
      <c r="K33">
        <v>1649000</v>
      </c>
      <c r="L33" s="1" t="s">
        <v>83</v>
      </c>
      <c r="M33" s="1" t="s">
        <v>23</v>
      </c>
      <c r="N33" s="1" t="s">
        <v>84</v>
      </c>
      <c r="O33">
        <v>6596000</v>
      </c>
      <c r="P33">
        <v>2796000</v>
      </c>
      <c r="Q33">
        <v>42.39</v>
      </c>
    </row>
    <row r="34" spans="1:17" x14ac:dyDescent="0.35">
      <c r="A34" s="1" t="s">
        <v>195</v>
      </c>
      <c r="B34" s="1" t="s">
        <v>197</v>
      </c>
      <c r="C34" s="1" t="s">
        <v>73</v>
      </c>
      <c r="D34" s="1" t="s">
        <v>171</v>
      </c>
      <c r="E34">
        <v>14</v>
      </c>
      <c r="F34" s="2">
        <v>45614</v>
      </c>
      <c r="G34" s="1" t="s">
        <v>1350</v>
      </c>
      <c r="H34" s="1" t="s">
        <v>1336</v>
      </c>
      <c r="I34" s="1" t="s">
        <v>11</v>
      </c>
      <c r="J34">
        <v>1200000</v>
      </c>
      <c r="K34">
        <v>1375000</v>
      </c>
      <c r="L34" s="1" t="s">
        <v>74</v>
      </c>
      <c r="M34" s="1" t="s">
        <v>23</v>
      </c>
      <c r="N34" s="1" t="s">
        <v>75</v>
      </c>
      <c r="O34">
        <v>19250000</v>
      </c>
      <c r="P34">
        <v>2450000</v>
      </c>
      <c r="Q34">
        <v>12.73</v>
      </c>
    </row>
    <row r="35" spans="1:17" x14ac:dyDescent="0.35">
      <c r="A35" s="1" t="s">
        <v>198</v>
      </c>
      <c r="B35" s="1" t="s">
        <v>106</v>
      </c>
      <c r="C35" s="1" t="s">
        <v>63</v>
      </c>
      <c r="D35" s="1" t="s">
        <v>157</v>
      </c>
      <c r="E35">
        <v>8</v>
      </c>
      <c r="F35" s="2">
        <v>45596</v>
      </c>
      <c r="G35" s="1" t="s">
        <v>1348</v>
      </c>
      <c r="H35" s="1" t="s">
        <v>1317</v>
      </c>
      <c r="I35" s="1" t="s">
        <v>1323</v>
      </c>
      <c r="J35">
        <v>300000</v>
      </c>
      <c r="K35">
        <v>355000</v>
      </c>
      <c r="L35" s="1" t="s">
        <v>64</v>
      </c>
      <c r="M35" s="1" t="s">
        <v>23</v>
      </c>
      <c r="N35" s="1" t="s">
        <v>65</v>
      </c>
      <c r="O35">
        <v>2840000</v>
      </c>
      <c r="P35">
        <v>440000</v>
      </c>
      <c r="Q35">
        <v>15.49</v>
      </c>
    </row>
    <row r="36" spans="1:17" x14ac:dyDescent="0.35">
      <c r="A36" s="1" t="s">
        <v>200</v>
      </c>
      <c r="B36" s="1" t="s">
        <v>191</v>
      </c>
      <c r="C36" s="1" t="s">
        <v>73</v>
      </c>
      <c r="D36" s="1" t="s">
        <v>157</v>
      </c>
      <c r="E36">
        <v>6</v>
      </c>
      <c r="F36" s="2">
        <v>45556</v>
      </c>
      <c r="G36" s="1" t="s">
        <v>1310</v>
      </c>
      <c r="H36" s="1" t="s">
        <v>1311</v>
      </c>
      <c r="I36" s="1" t="s">
        <v>11</v>
      </c>
      <c r="J36">
        <v>12000000</v>
      </c>
      <c r="K36">
        <v>13963000</v>
      </c>
      <c r="L36" s="1" t="s">
        <v>74</v>
      </c>
      <c r="M36" s="1" t="s">
        <v>23</v>
      </c>
      <c r="N36" s="1" t="s">
        <v>75</v>
      </c>
      <c r="O36">
        <v>83778000</v>
      </c>
      <c r="P36">
        <v>11778000</v>
      </c>
      <c r="Q36">
        <v>14.06</v>
      </c>
    </row>
    <row r="37" spans="1:17" x14ac:dyDescent="0.35">
      <c r="A37" s="1" t="s">
        <v>202</v>
      </c>
      <c r="B37" s="1" t="s">
        <v>113</v>
      </c>
      <c r="C37" s="1" t="s">
        <v>29</v>
      </c>
      <c r="D37" s="1" t="s">
        <v>124</v>
      </c>
      <c r="E37">
        <v>13</v>
      </c>
      <c r="F37" s="2">
        <v>45505</v>
      </c>
      <c r="G37" s="1" t="s">
        <v>1346</v>
      </c>
      <c r="H37" s="1" t="s">
        <v>1311</v>
      </c>
      <c r="I37" s="1" t="s">
        <v>1323</v>
      </c>
      <c r="J37">
        <v>4500000</v>
      </c>
      <c r="K37">
        <v>5522000</v>
      </c>
      <c r="L37" s="1" t="s">
        <v>30</v>
      </c>
      <c r="M37" s="1" t="s">
        <v>23</v>
      </c>
      <c r="N37" s="1" t="s">
        <v>31</v>
      </c>
      <c r="O37">
        <v>71786000</v>
      </c>
      <c r="P37">
        <v>13286000</v>
      </c>
      <c r="Q37">
        <v>18.510000000000002</v>
      </c>
    </row>
    <row r="38" spans="1:17" x14ac:dyDescent="0.35">
      <c r="A38" s="1" t="s">
        <v>205</v>
      </c>
      <c r="B38" s="1" t="s">
        <v>137</v>
      </c>
      <c r="C38" s="1" t="s">
        <v>73</v>
      </c>
      <c r="D38" s="1" t="s">
        <v>124</v>
      </c>
      <c r="E38">
        <v>6</v>
      </c>
      <c r="F38" s="2">
        <v>45564</v>
      </c>
      <c r="G38" s="1" t="s">
        <v>1324</v>
      </c>
      <c r="H38" s="1" t="s">
        <v>1311</v>
      </c>
      <c r="I38" s="1" t="s">
        <v>11</v>
      </c>
      <c r="J38">
        <v>2000000</v>
      </c>
      <c r="K38">
        <v>2533000</v>
      </c>
      <c r="L38" s="1" t="s">
        <v>74</v>
      </c>
      <c r="M38" s="1" t="s">
        <v>23</v>
      </c>
      <c r="N38" s="1" t="s">
        <v>75</v>
      </c>
      <c r="O38">
        <v>15198000</v>
      </c>
      <c r="P38">
        <v>3198000</v>
      </c>
      <c r="Q38">
        <v>21.04</v>
      </c>
    </row>
    <row r="39" spans="1:17" x14ac:dyDescent="0.35">
      <c r="A39" s="1" t="s">
        <v>207</v>
      </c>
      <c r="B39" s="1" t="s">
        <v>176</v>
      </c>
      <c r="C39" s="1" t="s">
        <v>78</v>
      </c>
      <c r="D39" s="1" t="s">
        <v>157</v>
      </c>
      <c r="E39">
        <v>8</v>
      </c>
      <c r="F39" s="2">
        <v>45320</v>
      </c>
      <c r="G39" s="1" t="s">
        <v>1329</v>
      </c>
      <c r="H39" s="1" t="s">
        <v>1330</v>
      </c>
      <c r="I39" s="1" t="s">
        <v>1323</v>
      </c>
      <c r="J39">
        <v>1500000</v>
      </c>
      <c r="K39">
        <v>1772000</v>
      </c>
      <c r="L39" s="1" t="s">
        <v>79</v>
      </c>
      <c r="M39" s="1" t="s">
        <v>10</v>
      </c>
      <c r="N39" s="1" t="s">
        <v>17</v>
      </c>
      <c r="O39">
        <v>14176000</v>
      </c>
      <c r="P39">
        <v>2176000</v>
      </c>
      <c r="Q39">
        <v>15.35</v>
      </c>
    </row>
    <row r="40" spans="1:17" x14ac:dyDescent="0.35">
      <c r="A40" s="1" t="s">
        <v>209</v>
      </c>
      <c r="B40" s="1" t="s">
        <v>111</v>
      </c>
      <c r="C40" s="1" t="s">
        <v>57</v>
      </c>
      <c r="D40" s="1" t="s">
        <v>121</v>
      </c>
      <c r="E40">
        <v>9</v>
      </c>
      <c r="F40" s="2">
        <v>45651</v>
      </c>
      <c r="G40" s="1" t="s">
        <v>1344</v>
      </c>
      <c r="H40" s="1" t="s">
        <v>1311</v>
      </c>
      <c r="I40" s="1" t="s">
        <v>1323</v>
      </c>
      <c r="J40">
        <v>18000000</v>
      </c>
      <c r="K40">
        <v>27603000</v>
      </c>
      <c r="L40" s="1" t="s">
        <v>58</v>
      </c>
      <c r="M40" s="1" t="s">
        <v>10</v>
      </c>
      <c r="N40" s="1" t="s">
        <v>59</v>
      </c>
      <c r="O40">
        <v>248427000</v>
      </c>
      <c r="P40">
        <v>86427000</v>
      </c>
      <c r="Q40">
        <v>34.79</v>
      </c>
    </row>
    <row r="41" spans="1:17" x14ac:dyDescent="0.35">
      <c r="A41" s="1" t="s">
        <v>212</v>
      </c>
      <c r="B41" s="1" t="s">
        <v>133</v>
      </c>
      <c r="C41" s="1" t="s">
        <v>15</v>
      </c>
      <c r="D41" s="1" t="s">
        <v>157</v>
      </c>
      <c r="E41">
        <v>11</v>
      </c>
      <c r="F41" s="2">
        <v>45440</v>
      </c>
      <c r="G41" s="1" t="s">
        <v>1354</v>
      </c>
      <c r="H41" s="1" t="s">
        <v>1330</v>
      </c>
      <c r="I41" s="1" t="s">
        <v>11</v>
      </c>
      <c r="J41">
        <v>2500000</v>
      </c>
      <c r="K41">
        <v>3080000</v>
      </c>
      <c r="L41" s="1" t="s">
        <v>16</v>
      </c>
      <c r="M41" s="1" t="s">
        <v>10</v>
      </c>
      <c r="N41" s="1" t="s">
        <v>17</v>
      </c>
      <c r="O41">
        <v>33880000</v>
      </c>
      <c r="P41">
        <v>6380000</v>
      </c>
      <c r="Q41">
        <v>18.829999999999998</v>
      </c>
    </row>
    <row r="42" spans="1:17" x14ac:dyDescent="0.35">
      <c r="A42" s="1" t="s">
        <v>215</v>
      </c>
      <c r="B42" s="1" t="s">
        <v>173</v>
      </c>
      <c r="C42" s="1" t="s">
        <v>73</v>
      </c>
      <c r="D42" s="1" t="s">
        <v>143</v>
      </c>
      <c r="E42">
        <v>10</v>
      </c>
      <c r="F42" s="2">
        <v>45348</v>
      </c>
      <c r="G42" s="1" t="s">
        <v>1342</v>
      </c>
      <c r="H42" s="1" t="s">
        <v>1317</v>
      </c>
      <c r="I42" s="1" t="s">
        <v>1323</v>
      </c>
      <c r="J42">
        <v>80000</v>
      </c>
      <c r="K42">
        <v>92000</v>
      </c>
      <c r="L42" s="1" t="s">
        <v>74</v>
      </c>
      <c r="M42" s="1" t="s">
        <v>23</v>
      </c>
      <c r="N42" s="1" t="s">
        <v>75</v>
      </c>
      <c r="O42">
        <v>920000</v>
      </c>
      <c r="P42">
        <v>120000</v>
      </c>
      <c r="Q42">
        <v>13.04</v>
      </c>
    </row>
    <row r="43" spans="1:17" x14ac:dyDescent="0.35">
      <c r="A43" s="1" t="s">
        <v>217</v>
      </c>
      <c r="B43" s="1" t="s">
        <v>149</v>
      </c>
      <c r="C43" s="1" t="s">
        <v>45</v>
      </c>
      <c r="D43" s="1" t="s">
        <v>157</v>
      </c>
      <c r="E43">
        <v>11</v>
      </c>
      <c r="F43" s="2">
        <v>45299</v>
      </c>
      <c r="G43" s="1" t="s">
        <v>1316</v>
      </c>
      <c r="H43" s="1" t="s">
        <v>1317</v>
      </c>
      <c r="I43" s="1" t="s">
        <v>41</v>
      </c>
      <c r="J43">
        <v>100000</v>
      </c>
      <c r="K43">
        <v>169000</v>
      </c>
      <c r="L43" s="1" t="s">
        <v>46</v>
      </c>
      <c r="M43" s="1" t="s">
        <v>10</v>
      </c>
      <c r="N43" s="1" t="s">
        <v>47</v>
      </c>
      <c r="O43">
        <v>1859000</v>
      </c>
      <c r="P43">
        <v>759000</v>
      </c>
      <c r="Q43">
        <v>40.83</v>
      </c>
    </row>
    <row r="44" spans="1:17" x14ac:dyDescent="0.35">
      <c r="A44" s="1" t="s">
        <v>219</v>
      </c>
      <c r="B44" s="1" t="s">
        <v>197</v>
      </c>
      <c r="C44" s="1" t="s">
        <v>8</v>
      </c>
      <c r="D44" s="1" t="s">
        <v>171</v>
      </c>
      <c r="E44">
        <v>1</v>
      </c>
      <c r="F44" s="2">
        <v>45434</v>
      </c>
      <c r="G44" s="1" t="s">
        <v>1350</v>
      </c>
      <c r="H44" s="1" t="s">
        <v>1336</v>
      </c>
      <c r="I44" s="1" t="s">
        <v>11</v>
      </c>
      <c r="J44">
        <v>1200000</v>
      </c>
      <c r="K44">
        <v>1375000</v>
      </c>
      <c r="L44" s="1" t="s">
        <v>9</v>
      </c>
      <c r="M44" s="1" t="s">
        <v>10</v>
      </c>
      <c r="N44" s="1" t="s">
        <v>11</v>
      </c>
      <c r="O44">
        <v>1375000</v>
      </c>
      <c r="P44">
        <v>175000</v>
      </c>
      <c r="Q44">
        <v>12.73</v>
      </c>
    </row>
    <row r="45" spans="1:17" x14ac:dyDescent="0.35">
      <c r="A45" s="1" t="s">
        <v>221</v>
      </c>
      <c r="B45" s="1" t="s">
        <v>111</v>
      </c>
      <c r="C45" s="1" t="s">
        <v>57</v>
      </c>
      <c r="D45" s="1" t="s">
        <v>128</v>
      </c>
      <c r="E45">
        <v>10</v>
      </c>
      <c r="F45" s="2">
        <v>45500</v>
      </c>
      <c r="G45" s="1" t="s">
        <v>1344</v>
      </c>
      <c r="H45" s="1" t="s">
        <v>1311</v>
      </c>
      <c r="I45" s="1" t="s">
        <v>1323</v>
      </c>
      <c r="J45">
        <v>18000000</v>
      </c>
      <c r="K45">
        <v>27603000</v>
      </c>
      <c r="L45" s="1" t="s">
        <v>58</v>
      </c>
      <c r="M45" s="1" t="s">
        <v>10</v>
      </c>
      <c r="N45" s="1" t="s">
        <v>59</v>
      </c>
      <c r="O45">
        <v>276030000</v>
      </c>
      <c r="P45">
        <v>96030000</v>
      </c>
      <c r="Q45">
        <v>34.79</v>
      </c>
    </row>
    <row r="46" spans="1:17" x14ac:dyDescent="0.35">
      <c r="A46" s="1" t="s">
        <v>223</v>
      </c>
      <c r="B46" s="1" t="s">
        <v>113</v>
      </c>
      <c r="C46" s="1" t="s">
        <v>57</v>
      </c>
      <c r="D46" s="1" t="s">
        <v>128</v>
      </c>
      <c r="E46">
        <v>8</v>
      </c>
      <c r="F46" s="2">
        <v>45644</v>
      </c>
      <c r="G46" s="1" t="s">
        <v>1346</v>
      </c>
      <c r="H46" s="1" t="s">
        <v>1311</v>
      </c>
      <c r="I46" s="1" t="s">
        <v>1323</v>
      </c>
      <c r="J46">
        <v>4500000</v>
      </c>
      <c r="K46">
        <v>5522000</v>
      </c>
      <c r="L46" s="1" t="s">
        <v>58</v>
      </c>
      <c r="M46" s="1" t="s">
        <v>10</v>
      </c>
      <c r="N46" s="1" t="s">
        <v>59</v>
      </c>
      <c r="O46">
        <v>44176000</v>
      </c>
      <c r="P46">
        <v>8176000</v>
      </c>
      <c r="Q46">
        <v>18.510000000000002</v>
      </c>
    </row>
    <row r="47" spans="1:17" x14ac:dyDescent="0.35">
      <c r="A47" s="1" t="s">
        <v>225</v>
      </c>
      <c r="B47" s="1" t="s">
        <v>191</v>
      </c>
      <c r="C47" s="1" t="s">
        <v>15</v>
      </c>
      <c r="D47" s="1" t="s">
        <v>143</v>
      </c>
      <c r="E47">
        <v>13</v>
      </c>
      <c r="F47" s="2">
        <v>45414</v>
      </c>
      <c r="G47" s="1" t="s">
        <v>1310</v>
      </c>
      <c r="H47" s="1" t="s">
        <v>1311</v>
      </c>
      <c r="I47" s="1" t="s">
        <v>11</v>
      </c>
      <c r="J47">
        <v>12000000</v>
      </c>
      <c r="K47">
        <v>13963000</v>
      </c>
      <c r="L47" s="1" t="s">
        <v>16</v>
      </c>
      <c r="M47" s="1" t="s">
        <v>10</v>
      </c>
      <c r="N47" s="1" t="s">
        <v>17</v>
      </c>
      <c r="O47">
        <v>181519000</v>
      </c>
      <c r="P47">
        <v>25519000</v>
      </c>
      <c r="Q47">
        <v>14.06</v>
      </c>
    </row>
    <row r="48" spans="1:17" x14ac:dyDescent="0.35">
      <c r="A48" s="1" t="s">
        <v>228</v>
      </c>
      <c r="B48" s="1" t="s">
        <v>116</v>
      </c>
      <c r="C48" s="1" t="s">
        <v>82</v>
      </c>
      <c r="D48" s="1" t="s">
        <v>157</v>
      </c>
      <c r="E48">
        <v>4</v>
      </c>
      <c r="F48" s="2">
        <v>45489</v>
      </c>
      <c r="G48" s="1" t="s">
        <v>1352</v>
      </c>
      <c r="H48" s="1" t="s">
        <v>1330</v>
      </c>
      <c r="I48" s="1" t="s">
        <v>1323</v>
      </c>
      <c r="J48">
        <v>5000000</v>
      </c>
      <c r="K48">
        <v>7546000</v>
      </c>
      <c r="L48" s="1" t="s">
        <v>83</v>
      </c>
      <c r="M48" s="1" t="s">
        <v>23</v>
      </c>
      <c r="N48" s="1" t="s">
        <v>84</v>
      </c>
      <c r="O48">
        <v>30184000</v>
      </c>
      <c r="P48">
        <v>10184000</v>
      </c>
      <c r="Q48">
        <v>33.74</v>
      </c>
    </row>
    <row r="49" spans="1:17" x14ac:dyDescent="0.35">
      <c r="A49" s="1" t="s">
        <v>230</v>
      </c>
      <c r="B49" s="1" t="s">
        <v>141</v>
      </c>
      <c r="C49" s="1" t="s">
        <v>78</v>
      </c>
      <c r="D49" s="1" t="s">
        <v>128</v>
      </c>
      <c r="E49">
        <v>1</v>
      </c>
      <c r="F49" s="2">
        <v>45368</v>
      </c>
      <c r="G49" s="1" t="s">
        <v>1355</v>
      </c>
      <c r="H49" s="1" t="s">
        <v>1330</v>
      </c>
      <c r="I49" s="1" t="s">
        <v>41</v>
      </c>
      <c r="J49">
        <v>400000</v>
      </c>
      <c r="K49">
        <v>623000</v>
      </c>
      <c r="L49" s="1" t="s">
        <v>79</v>
      </c>
      <c r="M49" s="1" t="s">
        <v>10</v>
      </c>
      <c r="N49" s="1" t="s">
        <v>17</v>
      </c>
      <c r="O49">
        <v>623000</v>
      </c>
      <c r="P49">
        <v>223000</v>
      </c>
      <c r="Q49">
        <v>35.79</v>
      </c>
    </row>
    <row r="50" spans="1:17" x14ac:dyDescent="0.35">
      <c r="A50" s="1" t="s">
        <v>232</v>
      </c>
      <c r="B50" s="1" t="s">
        <v>133</v>
      </c>
      <c r="C50" s="1" t="s">
        <v>35</v>
      </c>
      <c r="D50" s="1" t="s">
        <v>143</v>
      </c>
      <c r="E50">
        <v>10</v>
      </c>
      <c r="F50" s="2">
        <v>45551</v>
      </c>
      <c r="G50" s="1" t="s">
        <v>1354</v>
      </c>
      <c r="H50" s="1" t="s">
        <v>1330</v>
      </c>
      <c r="I50" s="1" t="s">
        <v>11</v>
      </c>
      <c r="J50">
        <v>2500000</v>
      </c>
      <c r="K50">
        <v>3080000</v>
      </c>
      <c r="L50" s="1" t="s">
        <v>36</v>
      </c>
      <c r="M50" s="1" t="s">
        <v>10</v>
      </c>
      <c r="N50" s="1" t="s">
        <v>11</v>
      </c>
      <c r="O50">
        <v>30800000</v>
      </c>
      <c r="P50">
        <v>5800000</v>
      </c>
      <c r="Q50">
        <v>18.829999999999998</v>
      </c>
    </row>
    <row r="51" spans="1:17" x14ac:dyDescent="0.35">
      <c r="A51" s="1" t="s">
        <v>234</v>
      </c>
      <c r="B51" s="1" t="s">
        <v>137</v>
      </c>
      <c r="C51" s="1" t="s">
        <v>82</v>
      </c>
      <c r="D51" s="1" t="s">
        <v>157</v>
      </c>
      <c r="E51">
        <v>8</v>
      </c>
      <c r="F51" s="2">
        <v>45451</v>
      </c>
      <c r="G51" s="1" t="s">
        <v>1324</v>
      </c>
      <c r="H51" s="1" t="s">
        <v>1311</v>
      </c>
      <c r="I51" s="1" t="s">
        <v>11</v>
      </c>
      <c r="J51">
        <v>2000000</v>
      </c>
      <c r="K51">
        <v>2533000</v>
      </c>
      <c r="L51" s="1" t="s">
        <v>83</v>
      </c>
      <c r="M51" s="1" t="s">
        <v>23</v>
      </c>
      <c r="N51" s="1" t="s">
        <v>84</v>
      </c>
      <c r="O51">
        <v>20264000</v>
      </c>
      <c r="P51">
        <v>4264000</v>
      </c>
      <c r="Q51">
        <v>21.04</v>
      </c>
    </row>
    <row r="52" spans="1:17" x14ac:dyDescent="0.35">
      <c r="A52" s="1" t="s">
        <v>236</v>
      </c>
      <c r="B52" s="1" t="s">
        <v>172</v>
      </c>
      <c r="C52" s="1" t="s">
        <v>15</v>
      </c>
      <c r="D52" s="1" t="s">
        <v>124</v>
      </c>
      <c r="E52">
        <v>8</v>
      </c>
      <c r="F52" s="2">
        <v>45447</v>
      </c>
      <c r="G52" s="1" t="s">
        <v>1340</v>
      </c>
      <c r="H52" s="1" t="s">
        <v>1330</v>
      </c>
      <c r="I52" s="1" t="s">
        <v>41</v>
      </c>
      <c r="J52">
        <v>950000</v>
      </c>
      <c r="K52">
        <v>1649000</v>
      </c>
      <c r="L52" s="1" t="s">
        <v>16</v>
      </c>
      <c r="M52" s="1" t="s">
        <v>10</v>
      </c>
      <c r="N52" s="1" t="s">
        <v>17</v>
      </c>
      <c r="O52">
        <v>13192000</v>
      </c>
      <c r="P52">
        <v>5592000</v>
      </c>
      <c r="Q52">
        <v>42.39</v>
      </c>
    </row>
    <row r="53" spans="1:17" x14ac:dyDescent="0.35">
      <c r="A53" s="1" t="s">
        <v>238</v>
      </c>
      <c r="B53" s="1" t="s">
        <v>137</v>
      </c>
      <c r="C53" s="1" t="s">
        <v>29</v>
      </c>
      <c r="D53" s="1" t="s">
        <v>124</v>
      </c>
      <c r="E53">
        <v>4</v>
      </c>
      <c r="F53" s="2">
        <v>45518</v>
      </c>
      <c r="G53" s="1" t="s">
        <v>1324</v>
      </c>
      <c r="H53" s="1" t="s">
        <v>1311</v>
      </c>
      <c r="I53" s="1" t="s">
        <v>11</v>
      </c>
      <c r="J53">
        <v>2000000</v>
      </c>
      <c r="K53">
        <v>2533000</v>
      </c>
      <c r="L53" s="1" t="s">
        <v>30</v>
      </c>
      <c r="M53" s="1" t="s">
        <v>23</v>
      </c>
      <c r="N53" s="1" t="s">
        <v>31</v>
      </c>
      <c r="O53">
        <v>10132000</v>
      </c>
      <c r="P53">
        <v>2132000</v>
      </c>
      <c r="Q53">
        <v>21.04</v>
      </c>
    </row>
    <row r="54" spans="1:17" x14ac:dyDescent="0.35">
      <c r="A54" s="1" t="s">
        <v>238</v>
      </c>
      <c r="B54" s="1" t="s">
        <v>240</v>
      </c>
      <c r="C54" s="1" t="s">
        <v>29</v>
      </c>
      <c r="D54" s="1" t="s">
        <v>124</v>
      </c>
      <c r="E54">
        <v>4</v>
      </c>
      <c r="F54" s="2">
        <v>45518</v>
      </c>
      <c r="G54" s="1" t="s">
        <v>1326</v>
      </c>
      <c r="H54" s="1" t="s">
        <v>1317</v>
      </c>
      <c r="I54" s="1" t="s">
        <v>41</v>
      </c>
      <c r="J54">
        <v>350000</v>
      </c>
      <c r="K54">
        <v>626000</v>
      </c>
      <c r="L54" s="1" t="s">
        <v>30</v>
      </c>
      <c r="M54" s="1" t="s">
        <v>23</v>
      </c>
      <c r="N54" s="1" t="s">
        <v>31</v>
      </c>
      <c r="O54">
        <v>2504000</v>
      </c>
      <c r="P54">
        <v>1104000</v>
      </c>
      <c r="Q54">
        <v>44.09</v>
      </c>
    </row>
    <row r="55" spans="1:17" x14ac:dyDescent="0.35">
      <c r="A55" s="1" t="s">
        <v>241</v>
      </c>
      <c r="B55" s="1" t="s">
        <v>173</v>
      </c>
      <c r="C55" s="1" t="s">
        <v>82</v>
      </c>
      <c r="D55" s="1" t="s">
        <v>143</v>
      </c>
      <c r="E55">
        <v>12</v>
      </c>
      <c r="F55" s="2">
        <v>45496</v>
      </c>
      <c r="G55" s="1" t="s">
        <v>1342</v>
      </c>
      <c r="H55" s="1" t="s">
        <v>1317</v>
      </c>
      <c r="I55" s="1" t="s">
        <v>1323</v>
      </c>
      <c r="J55">
        <v>80000</v>
      </c>
      <c r="K55">
        <v>92000</v>
      </c>
      <c r="L55" s="1" t="s">
        <v>83</v>
      </c>
      <c r="M55" s="1" t="s">
        <v>23</v>
      </c>
      <c r="N55" s="1" t="s">
        <v>84</v>
      </c>
      <c r="O55">
        <v>1104000</v>
      </c>
      <c r="P55">
        <v>144000</v>
      </c>
      <c r="Q55">
        <v>13.04</v>
      </c>
    </row>
    <row r="56" spans="1:17" x14ac:dyDescent="0.35">
      <c r="A56" s="1" t="s">
        <v>244</v>
      </c>
      <c r="B56" s="1" t="s">
        <v>164</v>
      </c>
      <c r="C56" s="1" t="s">
        <v>73</v>
      </c>
      <c r="D56" s="1" t="s">
        <v>157</v>
      </c>
      <c r="E56">
        <v>3</v>
      </c>
      <c r="F56" s="2">
        <v>45586</v>
      </c>
      <c r="G56" s="1" t="s">
        <v>1332</v>
      </c>
      <c r="H56" s="1" t="s">
        <v>1330</v>
      </c>
      <c r="I56" s="1" t="s">
        <v>11</v>
      </c>
      <c r="J56">
        <v>750000</v>
      </c>
      <c r="K56">
        <v>971000</v>
      </c>
      <c r="L56" s="1" t="s">
        <v>74</v>
      </c>
      <c r="M56" s="1" t="s">
        <v>23</v>
      </c>
      <c r="N56" s="1" t="s">
        <v>75</v>
      </c>
      <c r="O56">
        <v>2913000</v>
      </c>
      <c r="P56">
        <v>663000</v>
      </c>
      <c r="Q56">
        <v>22.76</v>
      </c>
    </row>
    <row r="57" spans="1:17" x14ac:dyDescent="0.35">
      <c r="A57" s="1" t="s">
        <v>246</v>
      </c>
      <c r="B57" s="1" t="s">
        <v>248</v>
      </c>
      <c r="C57" s="1" t="s">
        <v>39</v>
      </c>
      <c r="D57" s="1" t="s">
        <v>171</v>
      </c>
      <c r="E57">
        <v>14</v>
      </c>
      <c r="F57" s="2">
        <v>45447</v>
      </c>
      <c r="G57" s="1" t="s">
        <v>1335</v>
      </c>
      <c r="H57" s="1" t="s">
        <v>1336</v>
      </c>
      <c r="I57" s="1" t="s">
        <v>41</v>
      </c>
      <c r="J57">
        <v>250000</v>
      </c>
      <c r="K57">
        <v>354000</v>
      </c>
      <c r="L57" s="1" t="s">
        <v>40</v>
      </c>
      <c r="M57" s="1" t="s">
        <v>23</v>
      </c>
      <c r="N57" s="1" t="s">
        <v>41</v>
      </c>
      <c r="O57">
        <v>4956000</v>
      </c>
      <c r="P57">
        <v>1456000</v>
      </c>
      <c r="Q57">
        <v>29.38</v>
      </c>
    </row>
    <row r="58" spans="1:17" x14ac:dyDescent="0.35">
      <c r="A58" s="1" t="s">
        <v>249</v>
      </c>
      <c r="B58" s="1" t="s">
        <v>191</v>
      </c>
      <c r="C58" s="1" t="s">
        <v>87</v>
      </c>
      <c r="D58" s="1" t="s">
        <v>171</v>
      </c>
      <c r="E58">
        <v>12</v>
      </c>
      <c r="F58" s="2">
        <v>45455</v>
      </c>
      <c r="G58" s="1" t="s">
        <v>1310</v>
      </c>
      <c r="H58" s="1" t="s">
        <v>1311</v>
      </c>
      <c r="I58" s="1" t="s">
        <v>11</v>
      </c>
      <c r="J58">
        <v>12000000</v>
      </c>
      <c r="K58">
        <v>13963000</v>
      </c>
      <c r="L58" s="1" t="s">
        <v>88</v>
      </c>
      <c r="M58" s="1" t="s">
        <v>10</v>
      </c>
      <c r="N58" s="1" t="s">
        <v>89</v>
      </c>
      <c r="O58">
        <v>167556000</v>
      </c>
      <c r="P58">
        <v>23556000</v>
      </c>
      <c r="Q58">
        <v>14.06</v>
      </c>
    </row>
    <row r="59" spans="1:17" x14ac:dyDescent="0.35">
      <c r="A59" s="1" t="s">
        <v>251</v>
      </c>
      <c r="B59" s="1" t="s">
        <v>137</v>
      </c>
      <c r="C59" s="1" t="s">
        <v>73</v>
      </c>
      <c r="D59" s="1" t="s">
        <v>157</v>
      </c>
      <c r="E59">
        <v>15</v>
      </c>
      <c r="F59" s="2">
        <v>45651</v>
      </c>
      <c r="G59" s="1" t="s">
        <v>1324</v>
      </c>
      <c r="H59" s="1" t="s">
        <v>1311</v>
      </c>
      <c r="I59" s="1" t="s">
        <v>11</v>
      </c>
      <c r="J59">
        <v>2000000</v>
      </c>
      <c r="K59">
        <v>2533000</v>
      </c>
      <c r="L59" s="1" t="s">
        <v>74</v>
      </c>
      <c r="M59" s="1" t="s">
        <v>23</v>
      </c>
      <c r="N59" s="1" t="s">
        <v>75</v>
      </c>
      <c r="O59">
        <v>37995000</v>
      </c>
      <c r="P59">
        <v>7995000</v>
      </c>
      <c r="Q59">
        <v>21.04</v>
      </c>
    </row>
    <row r="60" spans="1:17" x14ac:dyDescent="0.35">
      <c r="A60" s="1" t="s">
        <v>253</v>
      </c>
      <c r="B60" s="1" t="s">
        <v>109</v>
      </c>
      <c r="C60" s="1" t="s">
        <v>82</v>
      </c>
      <c r="D60" s="1" t="s">
        <v>121</v>
      </c>
      <c r="E60">
        <v>12</v>
      </c>
      <c r="F60" s="2">
        <v>45319</v>
      </c>
      <c r="G60" s="1" t="s">
        <v>1357</v>
      </c>
      <c r="H60" s="1" t="s">
        <v>1358</v>
      </c>
      <c r="I60" s="1" t="s">
        <v>41</v>
      </c>
      <c r="J60">
        <v>2000000</v>
      </c>
      <c r="K60">
        <v>3382000</v>
      </c>
      <c r="L60" s="1" t="s">
        <v>83</v>
      </c>
      <c r="M60" s="1" t="s">
        <v>23</v>
      </c>
      <c r="N60" s="1" t="s">
        <v>84</v>
      </c>
      <c r="O60">
        <v>40584000</v>
      </c>
      <c r="P60">
        <v>16584000</v>
      </c>
      <c r="Q60">
        <v>40.86</v>
      </c>
    </row>
    <row r="61" spans="1:17" x14ac:dyDescent="0.35">
      <c r="A61" s="1" t="s">
        <v>255</v>
      </c>
      <c r="B61" s="1" t="s">
        <v>141</v>
      </c>
      <c r="C61" s="1" t="s">
        <v>78</v>
      </c>
      <c r="D61" s="1" t="s">
        <v>121</v>
      </c>
      <c r="E61">
        <v>4</v>
      </c>
      <c r="F61" s="2">
        <v>45456</v>
      </c>
      <c r="G61" s="1" t="s">
        <v>1355</v>
      </c>
      <c r="H61" s="1" t="s">
        <v>1330</v>
      </c>
      <c r="I61" s="1" t="s">
        <v>41</v>
      </c>
      <c r="J61">
        <v>400000</v>
      </c>
      <c r="K61">
        <v>623000</v>
      </c>
      <c r="L61" s="1" t="s">
        <v>79</v>
      </c>
      <c r="M61" s="1" t="s">
        <v>10</v>
      </c>
      <c r="N61" s="1" t="s">
        <v>17</v>
      </c>
      <c r="O61">
        <v>2492000</v>
      </c>
      <c r="P61">
        <v>892000</v>
      </c>
      <c r="Q61">
        <v>35.79</v>
      </c>
    </row>
    <row r="62" spans="1:17" x14ac:dyDescent="0.35">
      <c r="A62" s="1" t="s">
        <v>257</v>
      </c>
      <c r="B62" s="1" t="s">
        <v>116</v>
      </c>
      <c r="C62" s="1" t="s">
        <v>29</v>
      </c>
      <c r="D62" s="1" t="s">
        <v>121</v>
      </c>
      <c r="E62">
        <v>4</v>
      </c>
      <c r="F62" s="2">
        <v>45393</v>
      </c>
      <c r="G62" s="1" t="s">
        <v>1352</v>
      </c>
      <c r="H62" s="1" t="s">
        <v>1330</v>
      </c>
      <c r="I62" s="1" t="s">
        <v>1323</v>
      </c>
      <c r="J62">
        <v>5000000</v>
      </c>
      <c r="K62">
        <v>7546000</v>
      </c>
      <c r="L62" s="1" t="s">
        <v>30</v>
      </c>
      <c r="M62" s="1" t="s">
        <v>23</v>
      </c>
      <c r="N62" s="1" t="s">
        <v>31</v>
      </c>
      <c r="O62">
        <v>30184000</v>
      </c>
      <c r="P62">
        <v>10184000</v>
      </c>
      <c r="Q62">
        <v>33.74</v>
      </c>
    </row>
    <row r="63" spans="1:17" x14ac:dyDescent="0.35">
      <c r="A63" s="1" t="s">
        <v>259</v>
      </c>
      <c r="B63" s="1" t="s">
        <v>137</v>
      </c>
      <c r="C63" s="1" t="s">
        <v>39</v>
      </c>
      <c r="D63" s="1" t="s">
        <v>171</v>
      </c>
      <c r="E63">
        <v>11</v>
      </c>
      <c r="F63" s="2">
        <v>45480</v>
      </c>
      <c r="G63" s="1" t="s">
        <v>1324</v>
      </c>
      <c r="H63" s="1" t="s">
        <v>1311</v>
      </c>
      <c r="I63" s="1" t="s">
        <v>11</v>
      </c>
      <c r="J63">
        <v>2000000</v>
      </c>
      <c r="K63">
        <v>2533000</v>
      </c>
      <c r="L63" s="1" t="s">
        <v>40</v>
      </c>
      <c r="M63" s="1" t="s">
        <v>23</v>
      </c>
      <c r="N63" s="1" t="s">
        <v>41</v>
      </c>
      <c r="O63">
        <v>27863000</v>
      </c>
      <c r="P63">
        <v>5863000</v>
      </c>
      <c r="Q63">
        <v>21.04</v>
      </c>
    </row>
    <row r="64" spans="1:17" x14ac:dyDescent="0.35">
      <c r="A64" s="1" t="s">
        <v>262</v>
      </c>
      <c r="B64" s="1" t="s">
        <v>240</v>
      </c>
      <c r="C64" s="1" t="s">
        <v>8</v>
      </c>
      <c r="D64" s="1" t="s">
        <v>128</v>
      </c>
      <c r="E64">
        <v>9</v>
      </c>
      <c r="F64" s="2">
        <v>45641</v>
      </c>
      <c r="G64" s="1" t="s">
        <v>1326</v>
      </c>
      <c r="H64" s="1" t="s">
        <v>1317</v>
      </c>
      <c r="I64" s="1" t="s">
        <v>41</v>
      </c>
      <c r="J64">
        <v>350000</v>
      </c>
      <c r="K64">
        <v>626000</v>
      </c>
      <c r="L64" s="1" t="s">
        <v>9</v>
      </c>
      <c r="M64" s="1" t="s">
        <v>10</v>
      </c>
      <c r="N64" s="1" t="s">
        <v>11</v>
      </c>
      <c r="O64">
        <v>5634000</v>
      </c>
      <c r="P64">
        <v>2484000</v>
      </c>
      <c r="Q64">
        <v>44.09</v>
      </c>
    </row>
    <row r="65" spans="1:17" x14ac:dyDescent="0.35">
      <c r="A65" s="1" t="s">
        <v>264</v>
      </c>
      <c r="B65" s="1" t="s">
        <v>137</v>
      </c>
      <c r="C65" s="1" t="s">
        <v>45</v>
      </c>
      <c r="D65" s="1" t="s">
        <v>124</v>
      </c>
      <c r="E65">
        <v>10</v>
      </c>
      <c r="F65" s="2">
        <v>45564</v>
      </c>
      <c r="G65" s="1" t="s">
        <v>1324</v>
      </c>
      <c r="H65" s="1" t="s">
        <v>1311</v>
      </c>
      <c r="I65" s="1" t="s">
        <v>11</v>
      </c>
      <c r="J65">
        <v>2000000</v>
      </c>
      <c r="K65">
        <v>2533000</v>
      </c>
      <c r="L65" s="1" t="s">
        <v>46</v>
      </c>
      <c r="M65" s="1" t="s">
        <v>10</v>
      </c>
      <c r="N65" s="1" t="s">
        <v>47</v>
      </c>
      <c r="O65">
        <v>25330000</v>
      </c>
      <c r="P65">
        <v>5330000</v>
      </c>
      <c r="Q65">
        <v>21.04</v>
      </c>
    </row>
    <row r="66" spans="1:17" x14ac:dyDescent="0.35">
      <c r="A66" s="1" t="s">
        <v>266</v>
      </c>
      <c r="B66" s="1" t="s">
        <v>197</v>
      </c>
      <c r="C66" s="1" t="s">
        <v>51</v>
      </c>
      <c r="D66" s="1" t="s">
        <v>157</v>
      </c>
      <c r="E66">
        <v>10</v>
      </c>
      <c r="F66" s="2">
        <v>45492</v>
      </c>
      <c r="G66" s="1" t="s">
        <v>1350</v>
      </c>
      <c r="H66" s="1" t="s">
        <v>1336</v>
      </c>
      <c r="I66" s="1" t="s">
        <v>11</v>
      </c>
      <c r="J66">
        <v>1200000</v>
      </c>
      <c r="K66">
        <v>1375000</v>
      </c>
      <c r="L66" s="1" t="s">
        <v>52</v>
      </c>
      <c r="M66" s="1" t="s">
        <v>23</v>
      </c>
      <c r="N66" s="1" t="s">
        <v>53</v>
      </c>
      <c r="O66">
        <v>13750000</v>
      </c>
      <c r="P66">
        <v>1750000</v>
      </c>
      <c r="Q66">
        <v>12.73</v>
      </c>
    </row>
    <row r="67" spans="1:17" x14ac:dyDescent="0.35">
      <c r="A67" s="1" t="s">
        <v>268</v>
      </c>
      <c r="B67" s="1" t="s">
        <v>164</v>
      </c>
      <c r="C67" s="1" t="s">
        <v>8</v>
      </c>
      <c r="D67" s="1" t="s">
        <v>171</v>
      </c>
      <c r="E67">
        <v>1</v>
      </c>
      <c r="F67" s="2">
        <v>45538</v>
      </c>
      <c r="G67" s="1" t="s">
        <v>1332</v>
      </c>
      <c r="H67" s="1" t="s">
        <v>1330</v>
      </c>
      <c r="I67" s="1" t="s">
        <v>11</v>
      </c>
      <c r="J67">
        <v>750000</v>
      </c>
      <c r="K67">
        <v>971000</v>
      </c>
      <c r="L67" s="1" t="s">
        <v>9</v>
      </c>
      <c r="M67" s="1" t="s">
        <v>10</v>
      </c>
      <c r="N67" s="1" t="s">
        <v>11</v>
      </c>
      <c r="O67">
        <v>971000</v>
      </c>
      <c r="P67">
        <v>221000</v>
      </c>
      <c r="Q67">
        <v>22.76</v>
      </c>
    </row>
    <row r="68" spans="1:17" x14ac:dyDescent="0.35">
      <c r="A68" s="1" t="s">
        <v>270</v>
      </c>
      <c r="B68" s="1" t="s">
        <v>272</v>
      </c>
      <c r="C68" s="1" t="s">
        <v>45</v>
      </c>
      <c r="D68" s="1" t="s">
        <v>171</v>
      </c>
      <c r="E68">
        <v>3</v>
      </c>
      <c r="F68" s="2">
        <v>45609</v>
      </c>
      <c r="G68" s="1" t="s">
        <v>1320</v>
      </c>
      <c r="H68" s="1" t="s">
        <v>1317</v>
      </c>
      <c r="I68" s="1" t="s">
        <v>1323</v>
      </c>
      <c r="J68">
        <v>650000</v>
      </c>
      <c r="K68">
        <v>741000</v>
      </c>
      <c r="L68" s="1" t="s">
        <v>46</v>
      </c>
      <c r="M68" s="1" t="s">
        <v>10</v>
      </c>
      <c r="N68" s="1" t="s">
        <v>47</v>
      </c>
      <c r="O68">
        <v>2223000</v>
      </c>
      <c r="P68">
        <v>273000</v>
      </c>
      <c r="Q68">
        <v>12.28</v>
      </c>
    </row>
    <row r="69" spans="1:17" x14ac:dyDescent="0.35">
      <c r="A69" s="1" t="s">
        <v>273</v>
      </c>
      <c r="B69" s="1" t="s">
        <v>188</v>
      </c>
      <c r="C69" s="1" t="s">
        <v>78</v>
      </c>
      <c r="D69" s="1" t="s">
        <v>124</v>
      </c>
      <c r="E69">
        <v>15</v>
      </c>
      <c r="F69" s="2">
        <v>45355</v>
      </c>
      <c r="G69" s="1" t="s">
        <v>1327</v>
      </c>
      <c r="H69" s="1" t="s">
        <v>1311</v>
      </c>
      <c r="I69" s="1" t="s">
        <v>41</v>
      </c>
      <c r="J69">
        <v>2800000</v>
      </c>
      <c r="K69">
        <v>4747000</v>
      </c>
      <c r="L69" s="1" t="s">
        <v>79</v>
      </c>
      <c r="M69" s="1" t="s">
        <v>10</v>
      </c>
      <c r="N69" s="1" t="s">
        <v>17</v>
      </c>
      <c r="O69">
        <v>71205000</v>
      </c>
      <c r="P69">
        <v>29205000</v>
      </c>
      <c r="Q69">
        <v>41.02</v>
      </c>
    </row>
    <row r="70" spans="1:17" x14ac:dyDescent="0.35">
      <c r="A70" s="1" t="s">
        <v>276</v>
      </c>
      <c r="B70" s="1" t="s">
        <v>111</v>
      </c>
      <c r="C70" s="1" t="s">
        <v>73</v>
      </c>
      <c r="D70" s="1" t="s">
        <v>171</v>
      </c>
      <c r="E70">
        <v>4</v>
      </c>
      <c r="F70" s="2">
        <v>45606</v>
      </c>
      <c r="G70" s="1" t="s">
        <v>1344</v>
      </c>
      <c r="H70" s="1" t="s">
        <v>1311</v>
      </c>
      <c r="I70" s="1" t="s">
        <v>1323</v>
      </c>
      <c r="J70">
        <v>18000000</v>
      </c>
      <c r="K70">
        <v>27603000</v>
      </c>
      <c r="L70" s="1" t="s">
        <v>74</v>
      </c>
      <c r="M70" s="1" t="s">
        <v>23</v>
      </c>
      <c r="N70" s="1" t="s">
        <v>75</v>
      </c>
      <c r="O70">
        <v>110412000</v>
      </c>
      <c r="P70">
        <v>38412000</v>
      </c>
      <c r="Q70">
        <v>34.79</v>
      </c>
    </row>
    <row r="71" spans="1:17" x14ac:dyDescent="0.35">
      <c r="A71" s="1" t="s">
        <v>278</v>
      </c>
      <c r="B71" s="1" t="s">
        <v>176</v>
      </c>
      <c r="C71" s="1" t="s">
        <v>21</v>
      </c>
      <c r="D71" s="1" t="s">
        <v>121</v>
      </c>
      <c r="E71">
        <v>13</v>
      </c>
      <c r="F71" s="2">
        <v>45543</v>
      </c>
      <c r="G71" s="1" t="s">
        <v>1329</v>
      </c>
      <c r="H71" s="1" t="s">
        <v>1330</v>
      </c>
      <c r="I71" s="1" t="s">
        <v>1323</v>
      </c>
      <c r="J71">
        <v>1500000</v>
      </c>
      <c r="K71">
        <v>1772000</v>
      </c>
      <c r="L71" s="1" t="s">
        <v>22</v>
      </c>
      <c r="M71" s="1" t="s">
        <v>23</v>
      </c>
      <c r="N71" s="1" t="s">
        <v>24</v>
      </c>
      <c r="O71">
        <v>23036000</v>
      </c>
      <c r="P71">
        <v>3536000</v>
      </c>
      <c r="Q71">
        <v>15.35</v>
      </c>
    </row>
    <row r="72" spans="1:17" x14ac:dyDescent="0.35">
      <c r="A72" s="1" t="s">
        <v>278</v>
      </c>
      <c r="B72" s="1" t="s">
        <v>164</v>
      </c>
      <c r="C72" s="1" t="s">
        <v>21</v>
      </c>
      <c r="D72" s="1" t="s">
        <v>121</v>
      </c>
      <c r="E72">
        <v>13</v>
      </c>
      <c r="F72" s="2">
        <v>45543</v>
      </c>
      <c r="G72" s="1" t="s">
        <v>1332</v>
      </c>
      <c r="H72" s="1" t="s">
        <v>1330</v>
      </c>
      <c r="I72" s="1" t="s">
        <v>11</v>
      </c>
      <c r="J72">
        <v>750000</v>
      </c>
      <c r="K72">
        <v>971000</v>
      </c>
      <c r="L72" s="1" t="s">
        <v>22</v>
      </c>
      <c r="M72" s="1" t="s">
        <v>23</v>
      </c>
      <c r="N72" s="1" t="s">
        <v>24</v>
      </c>
      <c r="O72">
        <v>12623000</v>
      </c>
      <c r="P72">
        <v>2873000</v>
      </c>
      <c r="Q72">
        <v>22.76</v>
      </c>
    </row>
    <row r="73" spans="1:17" x14ac:dyDescent="0.35">
      <c r="A73" s="1" t="s">
        <v>278</v>
      </c>
      <c r="B73" s="1" t="s">
        <v>248</v>
      </c>
      <c r="C73" s="1" t="s">
        <v>21</v>
      </c>
      <c r="D73" s="1" t="s">
        <v>121</v>
      </c>
      <c r="E73">
        <v>13</v>
      </c>
      <c r="F73" s="2">
        <v>45543</v>
      </c>
      <c r="G73" s="1" t="s">
        <v>1335</v>
      </c>
      <c r="H73" s="1" t="s">
        <v>1336</v>
      </c>
      <c r="I73" s="1" t="s">
        <v>41</v>
      </c>
      <c r="J73">
        <v>250000</v>
      </c>
      <c r="K73">
        <v>354000</v>
      </c>
      <c r="L73" s="1" t="s">
        <v>22</v>
      </c>
      <c r="M73" s="1" t="s">
        <v>23</v>
      </c>
      <c r="N73" s="1" t="s">
        <v>24</v>
      </c>
      <c r="O73">
        <v>4602000</v>
      </c>
      <c r="P73">
        <v>1352000</v>
      </c>
      <c r="Q73">
        <v>29.38</v>
      </c>
    </row>
    <row r="74" spans="1:17" x14ac:dyDescent="0.35">
      <c r="A74" s="1" t="s">
        <v>280</v>
      </c>
      <c r="B74" s="1" t="s">
        <v>176</v>
      </c>
      <c r="C74" s="1" t="s">
        <v>15</v>
      </c>
      <c r="D74" s="1" t="s">
        <v>143</v>
      </c>
      <c r="E74">
        <v>12</v>
      </c>
      <c r="F74" s="2">
        <v>45582</v>
      </c>
      <c r="G74" s="1" t="s">
        <v>1329</v>
      </c>
      <c r="H74" s="1" t="s">
        <v>1330</v>
      </c>
      <c r="I74" s="1" t="s">
        <v>1323</v>
      </c>
      <c r="J74">
        <v>1500000</v>
      </c>
      <c r="K74">
        <v>1772000</v>
      </c>
      <c r="L74" s="1" t="s">
        <v>16</v>
      </c>
      <c r="M74" s="1" t="s">
        <v>10</v>
      </c>
      <c r="N74" s="1" t="s">
        <v>17</v>
      </c>
      <c r="O74">
        <v>21264000</v>
      </c>
      <c r="P74">
        <v>3264000</v>
      </c>
      <c r="Q74">
        <v>15.35</v>
      </c>
    </row>
    <row r="75" spans="1:17" x14ac:dyDescent="0.35">
      <c r="A75" s="1" t="s">
        <v>282</v>
      </c>
      <c r="B75" s="1" t="s">
        <v>197</v>
      </c>
      <c r="C75" s="1" t="s">
        <v>78</v>
      </c>
      <c r="D75" s="1" t="s">
        <v>121</v>
      </c>
      <c r="E75">
        <v>4</v>
      </c>
      <c r="F75" s="2">
        <v>45363</v>
      </c>
      <c r="G75" s="1" t="s">
        <v>1350</v>
      </c>
      <c r="H75" s="1" t="s">
        <v>1336</v>
      </c>
      <c r="I75" s="1" t="s">
        <v>11</v>
      </c>
      <c r="J75">
        <v>1200000</v>
      </c>
      <c r="K75">
        <v>1375000</v>
      </c>
      <c r="L75" s="1" t="s">
        <v>79</v>
      </c>
      <c r="M75" s="1" t="s">
        <v>10</v>
      </c>
      <c r="N75" s="1" t="s">
        <v>17</v>
      </c>
      <c r="O75">
        <v>5500000</v>
      </c>
      <c r="P75">
        <v>700000</v>
      </c>
      <c r="Q75">
        <v>12.73</v>
      </c>
    </row>
    <row r="76" spans="1:17" x14ac:dyDescent="0.35">
      <c r="A76" s="1" t="s">
        <v>284</v>
      </c>
      <c r="B76" s="1" t="s">
        <v>168</v>
      </c>
      <c r="C76" s="1" t="s">
        <v>57</v>
      </c>
      <c r="D76" s="1" t="s">
        <v>121</v>
      </c>
      <c r="E76">
        <v>11</v>
      </c>
      <c r="F76" s="2">
        <v>45354</v>
      </c>
      <c r="G76" s="1" t="s">
        <v>1338</v>
      </c>
      <c r="H76" s="1" t="s">
        <v>1336</v>
      </c>
      <c r="I76" s="1" t="s">
        <v>41</v>
      </c>
      <c r="J76">
        <v>500000</v>
      </c>
      <c r="K76">
        <v>844000</v>
      </c>
      <c r="L76" s="1" t="s">
        <v>58</v>
      </c>
      <c r="M76" s="1" t="s">
        <v>10</v>
      </c>
      <c r="N76" s="1" t="s">
        <v>59</v>
      </c>
      <c r="O76">
        <v>9284000</v>
      </c>
      <c r="P76">
        <v>3784000</v>
      </c>
      <c r="Q76">
        <v>40.76</v>
      </c>
    </row>
    <row r="77" spans="1:17" x14ac:dyDescent="0.35">
      <c r="A77" s="1" t="s">
        <v>286</v>
      </c>
      <c r="B77" s="1" t="s">
        <v>106</v>
      </c>
      <c r="C77" s="1" t="s">
        <v>73</v>
      </c>
      <c r="D77" s="1" t="s">
        <v>128</v>
      </c>
      <c r="E77">
        <v>4</v>
      </c>
      <c r="F77" s="2">
        <v>45581</v>
      </c>
      <c r="G77" s="1" t="s">
        <v>1348</v>
      </c>
      <c r="H77" s="1" t="s">
        <v>1317</v>
      </c>
      <c r="I77" s="1" t="s">
        <v>1323</v>
      </c>
      <c r="J77">
        <v>300000</v>
      </c>
      <c r="K77">
        <v>355000</v>
      </c>
      <c r="L77" s="1" t="s">
        <v>74</v>
      </c>
      <c r="M77" s="1" t="s">
        <v>23</v>
      </c>
      <c r="N77" s="1" t="s">
        <v>75</v>
      </c>
      <c r="O77">
        <v>1420000</v>
      </c>
      <c r="P77">
        <v>220000</v>
      </c>
      <c r="Q77">
        <v>15.49</v>
      </c>
    </row>
    <row r="78" spans="1:17" x14ac:dyDescent="0.35">
      <c r="A78" s="1" t="s">
        <v>288</v>
      </c>
      <c r="B78" s="1" t="s">
        <v>133</v>
      </c>
      <c r="C78" s="1" t="s">
        <v>45</v>
      </c>
      <c r="D78" s="1" t="s">
        <v>124</v>
      </c>
      <c r="E78">
        <v>11</v>
      </c>
      <c r="F78" s="2">
        <v>45416</v>
      </c>
      <c r="G78" s="1" t="s">
        <v>1354</v>
      </c>
      <c r="H78" s="1" t="s">
        <v>1330</v>
      </c>
      <c r="I78" s="1" t="s">
        <v>11</v>
      </c>
      <c r="J78">
        <v>2500000</v>
      </c>
      <c r="K78">
        <v>3080000</v>
      </c>
      <c r="L78" s="1" t="s">
        <v>46</v>
      </c>
      <c r="M78" s="1" t="s">
        <v>10</v>
      </c>
      <c r="N78" s="1" t="s">
        <v>47</v>
      </c>
      <c r="O78">
        <v>33880000</v>
      </c>
      <c r="P78">
        <v>6380000</v>
      </c>
      <c r="Q78">
        <v>18.829999999999998</v>
      </c>
    </row>
    <row r="79" spans="1:17" x14ac:dyDescent="0.35">
      <c r="A79" s="1" t="s">
        <v>290</v>
      </c>
      <c r="B79" s="1" t="s">
        <v>168</v>
      </c>
      <c r="C79" s="1" t="s">
        <v>35</v>
      </c>
      <c r="D79" s="1" t="s">
        <v>157</v>
      </c>
      <c r="E79">
        <v>3</v>
      </c>
      <c r="F79" s="2">
        <v>45354</v>
      </c>
      <c r="G79" s="1" t="s">
        <v>1338</v>
      </c>
      <c r="H79" s="1" t="s">
        <v>1336</v>
      </c>
      <c r="I79" s="1" t="s">
        <v>41</v>
      </c>
      <c r="J79">
        <v>500000</v>
      </c>
      <c r="K79">
        <v>844000</v>
      </c>
      <c r="L79" s="1" t="s">
        <v>36</v>
      </c>
      <c r="M79" s="1" t="s">
        <v>10</v>
      </c>
      <c r="N79" s="1" t="s">
        <v>11</v>
      </c>
      <c r="O79">
        <v>2532000</v>
      </c>
      <c r="P79">
        <v>1032000</v>
      </c>
      <c r="Q79">
        <v>40.76</v>
      </c>
    </row>
    <row r="80" spans="1:17" x14ac:dyDescent="0.35">
      <c r="A80" s="1" t="s">
        <v>292</v>
      </c>
      <c r="B80" s="1" t="s">
        <v>197</v>
      </c>
      <c r="C80" s="1" t="s">
        <v>39</v>
      </c>
      <c r="D80" s="1" t="s">
        <v>121</v>
      </c>
      <c r="E80">
        <v>7</v>
      </c>
      <c r="F80" s="2">
        <v>45396</v>
      </c>
      <c r="G80" s="1" t="s">
        <v>1350</v>
      </c>
      <c r="H80" s="1" t="s">
        <v>1336</v>
      </c>
      <c r="I80" s="1" t="s">
        <v>11</v>
      </c>
      <c r="J80">
        <v>1200000</v>
      </c>
      <c r="K80">
        <v>1375000</v>
      </c>
      <c r="L80" s="1" t="s">
        <v>40</v>
      </c>
      <c r="M80" s="1" t="s">
        <v>23</v>
      </c>
      <c r="N80" s="1" t="s">
        <v>41</v>
      </c>
      <c r="O80">
        <v>9625000</v>
      </c>
      <c r="P80">
        <v>1225000</v>
      </c>
      <c r="Q80">
        <v>12.73</v>
      </c>
    </row>
    <row r="81" spans="1:17" x14ac:dyDescent="0.35">
      <c r="A81" s="1" t="s">
        <v>294</v>
      </c>
      <c r="B81" s="1" t="s">
        <v>176</v>
      </c>
      <c r="C81" s="1" t="s">
        <v>87</v>
      </c>
      <c r="D81" s="1" t="s">
        <v>128</v>
      </c>
      <c r="E81">
        <v>11</v>
      </c>
      <c r="F81" s="2">
        <v>45296</v>
      </c>
      <c r="G81" s="1" t="s">
        <v>1329</v>
      </c>
      <c r="H81" s="1" t="s">
        <v>1330</v>
      </c>
      <c r="I81" s="1" t="s">
        <v>1323</v>
      </c>
      <c r="J81">
        <v>1500000</v>
      </c>
      <c r="K81">
        <v>1772000</v>
      </c>
      <c r="L81" s="1" t="s">
        <v>88</v>
      </c>
      <c r="M81" s="1" t="s">
        <v>10</v>
      </c>
      <c r="N81" s="1" t="s">
        <v>89</v>
      </c>
      <c r="O81">
        <v>19492000</v>
      </c>
      <c r="P81">
        <v>2992000</v>
      </c>
      <c r="Q81">
        <v>15.35</v>
      </c>
    </row>
    <row r="82" spans="1:17" x14ac:dyDescent="0.35">
      <c r="A82" s="1" t="s">
        <v>296</v>
      </c>
      <c r="B82" s="1" t="s">
        <v>272</v>
      </c>
      <c r="C82" s="1" t="s">
        <v>87</v>
      </c>
      <c r="D82" s="1" t="s">
        <v>124</v>
      </c>
      <c r="E82">
        <v>14</v>
      </c>
      <c r="F82" s="2">
        <v>45478</v>
      </c>
      <c r="G82" s="1" t="s">
        <v>1320</v>
      </c>
      <c r="H82" s="1" t="s">
        <v>1317</v>
      </c>
      <c r="I82" s="1" t="s">
        <v>1323</v>
      </c>
      <c r="J82">
        <v>650000</v>
      </c>
      <c r="K82">
        <v>741000</v>
      </c>
      <c r="L82" s="1" t="s">
        <v>88</v>
      </c>
      <c r="M82" s="1" t="s">
        <v>10</v>
      </c>
      <c r="N82" s="1" t="s">
        <v>89</v>
      </c>
      <c r="O82">
        <v>10374000</v>
      </c>
      <c r="P82">
        <v>1274000</v>
      </c>
      <c r="Q82">
        <v>12.28</v>
      </c>
    </row>
    <row r="83" spans="1:17" x14ac:dyDescent="0.35">
      <c r="A83" s="1" t="s">
        <v>298</v>
      </c>
      <c r="B83" s="1" t="s">
        <v>111</v>
      </c>
      <c r="C83" s="1" t="s">
        <v>51</v>
      </c>
      <c r="D83" s="1" t="s">
        <v>171</v>
      </c>
      <c r="E83">
        <v>14</v>
      </c>
      <c r="F83" s="2">
        <v>45450</v>
      </c>
      <c r="G83" s="1" t="s">
        <v>1344</v>
      </c>
      <c r="H83" s="1" t="s">
        <v>1311</v>
      </c>
      <c r="I83" s="1" t="s">
        <v>1323</v>
      </c>
      <c r="J83">
        <v>18000000</v>
      </c>
      <c r="K83">
        <v>27603000</v>
      </c>
      <c r="L83" s="1" t="s">
        <v>52</v>
      </c>
      <c r="M83" s="1" t="s">
        <v>23</v>
      </c>
      <c r="N83" s="1" t="s">
        <v>53</v>
      </c>
      <c r="O83">
        <v>386442000</v>
      </c>
      <c r="P83">
        <v>134442000</v>
      </c>
      <c r="Q83">
        <v>34.79</v>
      </c>
    </row>
    <row r="84" spans="1:17" x14ac:dyDescent="0.35">
      <c r="A84" s="1" t="s">
        <v>300</v>
      </c>
      <c r="B84" s="1" t="s">
        <v>109</v>
      </c>
      <c r="C84" s="1" t="s">
        <v>63</v>
      </c>
      <c r="D84" s="1" t="s">
        <v>128</v>
      </c>
      <c r="E84">
        <v>6</v>
      </c>
      <c r="F84" s="2">
        <v>45501</v>
      </c>
      <c r="G84" s="1" t="s">
        <v>1357</v>
      </c>
      <c r="H84" s="1" t="s">
        <v>1358</v>
      </c>
      <c r="I84" s="1" t="s">
        <v>41</v>
      </c>
      <c r="J84">
        <v>2000000</v>
      </c>
      <c r="K84">
        <v>3382000</v>
      </c>
      <c r="L84" s="1" t="s">
        <v>64</v>
      </c>
      <c r="M84" s="1" t="s">
        <v>23</v>
      </c>
      <c r="N84" s="1" t="s">
        <v>65</v>
      </c>
      <c r="O84">
        <v>20292000</v>
      </c>
      <c r="P84">
        <v>8292000</v>
      </c>
      <c r="Q84">
        <v>40.86</v>
      </c>
    </row>
    <row r="85" spans="1:17" x14ac:dyDescent="0.35">
      <c r="A85" s="1" t="s">
        <v>302</v>
      </c>
      <c r="B85" s="1" t="s">
        <v>106</v>
      </c>
      <c r="C85" s="1" t="s">
        <v>45</v>
      </c>
      <c r="D85" s="1" t="s">
        <v>143</v>
      </c>
      <c r="E85">
        <v>10</v>
      </c>
      <c r="F85" s="2">
        <v>45399</v>
      </c>
      <c r="G85" s="1" t="s">
        <v>1348</v>
      </c>
      <c r="H85" s="1" t="s">
        <v>1317</v>
      </c>
      <c r="I85" s="1" t="s">
        <v>1323</v>
      </c>
      <c r="J85">
        <v>300000</v>
      </c>
      <c r="K85">
        <v>355000</v>
      </c>
      <c r="L85" s="1" t="s">
        <v>46</v>
      </c>
      <c r="M85" s="1" t="s">
        <v>10</v>
      </c>
      <c r="N85" s="1" t="s">
        <v>47</v>
      </c>
      <c r="O85">
        <v>3550000</v>
      </c>
      <c r="P85">
        <v>550000</v>
      </c>
      <c r="Q85">
        <v>15.49</v>
      </c>
    </row>
    <row r="86" spans="1:17" x14ac:dyDescent="0.35">
      <c r="A86" s="1" t="s">
        <v>304</v>
      </c>
      <c r="B86" s="1" t="s">
        <v>164</v>
      </c>
      <c r="C86" s="1" t="s">
        <v>35</v>
      </c>
      <c r="D86" s="1" t="s">
        <v>157</v>
      </c>
      <c r="E86">
        <v>6</v>
      </c>
      <c r="F86" s="2">
        <v>45600</v>
      </c>
      <c r="G86" s="1" t="s">
        <v>1332</v>
      </c>
      <c r="H86" s="1" t="s">
        <v>1330</v>
      </c>
      <c r="I86" s="1" t="s">
        <v>11</v>
      </c>
      <c r="J86">
        <v>750000</v>
      </c>
      <c r="K86">
        <v>971000</v>
      </c>
      <c r="L86" s="1" t="s">
        <v>36</v>
      </c>
      <c r="M86" s="1" t="s">
        <v>10</v>
      </c>
      <c r="N86" s="1" t="s">
        <v>11</v>
      </c>
      <c r="O86">
        <v>5826000</v>
      </c>
      <c r="P86">
        <v>1326000</v>
      </c>
      <c r="Q86">
        <v>22.76</v>
      </c>
    </row>
    <row r="87" spans="1:17" x14ac:dyDescent="0.35">
      <c r="A87" s="1" t="s">
        <v>306</v>
      </c>
      <c r="B87" s="1" t="s">
        <v>191</v>
      </c>
      <c r="C87" s="1" t="s">
        <v>51</v>
      </c>
      <c r="D87" s="1" t="s">
        <v>124</v>
      </c>
      <c r="E87">
        <v>11</v>
      </c>
      <c r="F87" s="2">
        <v>45637</v>
      </c>
      <c r="G87" s="1" t="s">
        <v>1310</v>
      </c>
      <c r="H87" s="1" t="s">
        <v>1311</v>
      </c>
      <c r="I87" s="1" t="s">
        <v>11</v>
      </c>
      <c r="J87">
        <v>12000000</v>
      </c>
      <c r="K87">
        <v>13963000</v>
      </c>
      <c r="L87" s="1" t="s">
        <v>52</v>
      </c>
      <c r="M87" s="1" t="s">
        <v>23</v>
      </c>
      <c r="N87" s="1" t="s">
        <v>53</v>
      </c>
      <c r="O87">
        <v>153593000</v>
      </c>
      <c r="P87">
        <v>21593000</v>
      </c>
      <c r="Q87">
        <v>14.06</v>
      </c>
    </row>
    <row r="88" spans="1:17" x14ac:dyDescent="0.35">
      <c r="A88" s="1" t="s">
        <v>308</v>
      </c>
      <c r="B88" s="1" t="s">
        <v>272</v>
      </c>
      <c r="C88" s="1" t="s">
        <v>63</v>
      </c>
      <c r="D88" s="1" t="s">
        <v>143</v>
      </c>
      <c r="E88">
        <v>8</v>
      </c>
      <c r="F88" s="2">
        <v>45419</v>
      </c>
      <c r="G88" s="1" t="s">
        <v>1320</v>
      </c>
      <c r="H88" s="1" t="s">
        <v>1317</v>
      </c>
      <c r="I88" s="1" t="s">
        <v>1323</v>
      </c>
      <c r="J88">
        <v>650000</v>
      </c>
      <c r="K88">
        <v>741000</v>
      </c>
      <c r="L88" s="1" t="s">
        <v>64</v>
      </c>
      <c r="M88" s="1" t="s">
        <v>23</v>
      </c>
      <c r="N88" s="1" t="s">
        <v>65</v>
      </c>
      <c r="O88">
        <v>5928000</v>
      </c>
      <c r="P88">
        <v>728000</v>
      </c>
      <c r="Q88">
        <v>12.28</v>
      </c>
    </row>
    <row r="89" spans="1:17" x14ac:dyDescent="0.35">
      <c r="A89" s="1" t="s">
        <v>310</v>
      </c>
      <c r="B89" s="1" t="s">
        <v>113</v>
      </c>
      <c r="C89" s="1" t="s">
        <v>8</v>
      </c>
      <c r="D89" s="1" t="s">
        <v>171</v>
      </c>
      <c r="E89">
        <v>8</v>
      </c>
      <c r="F89" s="2">
        <v>45586</v>
      </c>
      <c r="G89" s="1" t="s">
        <v>1346</v>
      </c>
      <c r="H89" s="1" t="s">
        <v>1311</v>
      </c>
      <c r="I89" s="1" t="s">
        <v>1323</v>
      </c>
      <c r="J89">
        <v>4500000</v>
      </c>
      <c r="K89">
        <v>5522000</v>
      </c>
      <c r="L89" s="1" t="s">
        <v>9</v>
      </c>
      <c r="M89" s="1" t="s">
        <v>10</v>
      </c>
      <c r="N89" s="1" t="s">
        <v>11</v>
      </c>
      <c r="O89">
        <v>44176000</v>
      </c>
      <c r="P89">
        <v>8176000</v>
      </c>
      <c r="Q89">
        <v>18.510000000000002</v>
      </c>
    </row>
    <row r="90" spans="1:17" x14ac:dyDescent="0.35">
      <c r="A90" s="1" t="s">
        <v>312</v>
      </c>
      <c r="B90" s="1" t="s">
        <v>141</v>
      </c>
      <c r="C90" s="1" t="s">
        <v>69</v>
      </c>
      <c r="D90" s="1" t="s">
        <v>128</v>
      </c>
      <c r="E90">
        <v>6</v>
      </c>
      <c r="F90" s="2">
        <v>45368</v>
      </c>
      <c r="G90" s="1" t="s">
        <v>1355</v>
      </c>
      <c r="H90" s="1" t="s">
        <v>1330</v>
      </c>
      <c r="I90" s="1" t="s">
        <v>41</v>
      </c>
      <c r="J90">
        <v>400000</v>
      </c>
      <c r="K90">
        <v>623000</v>
      </c>
      <c r="L90" s="1" t="s">
        <v>70</v>
      </c>
      <c r="M90" s="1" t="s">
        <v>10</v>
      </c>
      <c r="N90" s="1" t="s">
        <v>11</v>
      </c>
      <c r="O90">
        <v>3738000</v>
      </c>
      <c r="P90">
        <v>1338000</v>
      </c>
      <c r="Q90">
        <v>35.79</v>
      </c>
    </row>
    <row r="91" spans="1:17" x14ac:dyDescent="0.35">
      <c r="A91" s="1" t="s">
        <v>315</v>
      </c>
      <c r="B91" s="1" t="s">
        <v>240</v>
      </c>
      <c r="C91" s="1" t="s">
        <v>35</v>
      </c>
      <c r="D91" s="1" t="s">
        <v>157</v>
      </c>
      <c r="E91">
        <v>3</v>
      </c>
      <c r="F91" s="2">
        <v>45305</v>
      </c>
      <c r="G91" s="1" t="s">
        <v>1326</v>
      </c>
      <c r="H91" s="1" t="s">
        <v>1317</v>
      </c>
      <c r="I91" s="1" t="s">
        <v>41</v>
      </c>
      <c r="J91">
        <v>350000</v>
      </c>
      <c r="K91">
        <v>626000</v>
      </c>
      <c r="L91" s="1" t="s">
        <v>36</v>
      </c>
      <c r="M91" s="1" t="s">
        <v>10</v>
      </c>
      <c r="N91" s="1" t="s">
        <v>11</v>
      </c>
      <c r="O91">
        <v>1878000</v>
      </c>
      <c r="P91">
        <v>828000</v>
      </c>
      <c r="Q91">
        <v>44.09</v>
      </c>
    </row>
    <row r="92" spans="1:17" x14ac:dyDescent="0.35">
      <c r="A92" s="1" t="s">
        <v>317</v>
      </c>
      <c r="B92" s="1" t="s">
        <v>172</v>
      </c>
      <c r="C92" s="1" t="s">
        <v>35</v>
      </c>
      <c r="D92" s="1" t="s">
        <v>171</v>
      </c>
      <c r="E92">
        <v>10</v>
      </c>
      <c r="F92" s="2">
        <v>45624</v>
      </c>
      <c r="G92" s="1" t="s">
        <v>1340</v>
      </c>
      <c r="H92" s="1" t="s">
        <v>1330</v>
      </c>
      <c r="I92" s="1" t="s">
        <v>41</v>
      </c>
      <c r="J92">
        <v>950000</v>
      </c>
      <c r="K92">
        <v>1649000</v>
      </c>
      <c r="L92" s="1" t="s">
        <v>36</v>
      </c>
      <c r="M92" s="1" t="s">
        <v>10</v>
      </c>
      <c r="N92" s="1" t="s">
        <v>11</v>
      </c>
      <c r="O92">
        <v>16490000</v>
      </c>
      <c r="P92">
        <v>6990000</v>
      </c>
      <c r="Q92">
        <v>42.39</v>
      </c>
    </row>
    <row r="93" spans="1:17" x14ac:dyDescent="0.35">
      <c r="A93" s="1" t="s">
        <v>319</v>
      </c>
      <c r="B93" s="1" t="s">
        <v>191</v>
      </c>
      <c r="C93" s="1" t="s">
        <v>57</v>
      </c>
      <c r="D93" s="1" t="s">
        <v>143</v>
      </c>
      <c r="E93">
        <v>14</v>
      </c>
      <c r="F93" s="2">
        <v>45347</v>
      </c>
      <c r="G93" s="1" t="s">
        <v>1310</v>
      </c>
      <c r="H93" s="1" t="s">
        <v>1311</v>
      </c>
      <c r="I93" s="1" t="s">
        <v>11</v>
      </c>
      <c r="J93">
        <v>12000000</v>
      </c>
      <c r="K93">
        <v>13963000</v>
      </c>
      <c r="L93" s="1" t="s">
        <v>58</v>
      </c>
      <c r="M93" s="1" t="s">
        <v>10</v>
      </c>
      <c r="N93" s="1" t="s">
        <v>59</v>
      </c>
      <c r="O93">
        <v>195482000</v>
      </c>
      <c r="P93">
        <v>27482000</v>
      </c>
      <c r="Q93">
        <v>14.06</v>
      </c>
    </row>
    <row r="94" spans="1:17" x14ac:dyDescent="0.35">
      <c r="A94" s="1" t="s">
        <v>321</v>
      </c>
      <c r="B94" s="1" t="s">
        <v>111</v>
      </c>
      <c r="C94" s="1" t="s">
        <v>21</v>
      </c>
      <c r="D94" s="1" t="s">
        <v>143</v>
      </c>
      <c r="E94">
        <v>5</v>
      </c>
      <c r="F94" s="2">
        <v>45445</v>
      </c>
      <c r="G94" s="1" t="s">
        <v>1344</v>
      </c>
      <c r="H94" s="1" t="s">
        <v>1311</v>
      </c>
      <c r="I94" s="1" t="s">
        <v>1323</v>
      </c>
      <c r="J94">
        <v>18000000</v>
      </c>
      <c r="K94">
        <v>27603000</v>
      </c>
      <c r="L94" s="1" t="s">
        <v>22</v>
      </c>
      <c r="M94" s="1" t="s">
        <v>23</v>
      </c>
      <c r="N94" s="1" t="s">
        <v>24</v>
      </c>
      <c r="O94">
        <v>138015000</v>
      </c>
      <c r="P94">
        <v>48015000</v>
      </c>
      <c r="Q94">
        <v>34.79</v>
      </c>
    </row>
    <row r="95" spans="1:17" x14ac:dyDescent="0.35">
      <c r="A95" s="1" t="s">
        <v>323</v>
      </c>
      <c r="B95" s="1" t="s">
        <v>240</v>
      </c>
      <c r="C95" s="1" t="s">
        <v>15</v>
      </c>
      <c r="D95" s="1" t="s">
        <v>171</v>
      </c>
      <c r="E95">
        <v>2</v>
      </c>
      <c r="F95" s="2">
        <v>45423</v>
      </c>
      <c r="G95" s="1" t="s">
        <v>1326</v>
      </c>
      <c r="H95" s="1" t="s">
        <v>1317</v>
      </c>
      <c r="I95" s="1" t="s">
        <v>41</v>
      </c>
      <c r="J95">
        <v>350000</v>
      </c>
      <c r="K95">
        <v>626000</v>
      </c>
      <c r="L95" s="1" t="s">
        <v>16</v>
      </c>
      <c r="M95" s="1" t="s">
        <v>10</v>
      </c>
      <c r="N95" s="1" t="s">
        <v>17</v>
      </c>
      <c r="O95">
        <v>1252000</v>
      </c>
      <c r="P95">
        <v>552000</v>
      </c>
      <c r="Q95">
        <v>44.09</v>
      </c>
    </row>
    <row r="96" spans="1:17" x14ac:dyDescent="0.35">
      <c r="A96" s="1" t="s">
        <v>325</v>
      </c>
      <c r="B96" s="1" t="s">
        <v>141</v>
      </c>
      <c r="C96" s="1" t="s">
        <v>8</v>
      </c>
      <c r="D96" s="1" t="s">
        <v>143</v>
      </c>
      <c r="E96">
        <v>15</v>
      </c>
      <c r="F96" s="2">
        <v>45396</v>
      </c>
      <c r="G96" s="1" t="s">
        <v>1355</v>
      </c>
      <c r="H96" s="1" t="s">
        <v>1330</v>
      </c>
      <c r="I96" s="1" t="s">
        <v>41</v>
      </c>
      <c r="J96">
        <v>400000</v>
      </c>
      <c r="K96">
        <v>623000</v>
      </c>
      <c r="L96" s="1" t="s">
        <v>9</v>
      </c>
      <c r="M96" s="1" t="s">
        <v>10</v>
      </c>
      <c r="N96" s="1" t="s">
        <v>11</v>
      </c>
      <c r="O96">
        <v>9345000</v>
      </c>
      <c r="P96">
        <v>3345000</v>
      </c>
      <c r="Q96">
        <v>35.79</v>
      </c>
    </row>
    <row r="97" spans="1:17" x14ac:dyDescent="0.35">
      <c r="A97" s="1" t="s">
        <v>327</v>
      </c>
      <c r="B97" s="1" t="s">
        <v>188</v>
      </c>
      <c r="C97" s="1" t="s">
        <v>21</v>
      </c>
      <c r="D97" s="1" t="s">
        <v>171</v>
      </c>
      <c r="E97">
        <v>9</v>
      </c>
      <c r="F97" s="2">
        <v>45386</v>
      </c>
      <c r="G97" s="1" t="s">
        <v>1327</v>
      </c>
      <c r="H97" s="1" t="s">
        <v>1311</v>
      </c>
      <c r="I97" s="1" t="s">
        <v>41</v>
      </c>
      <c r="J97">
        <v>2800000</v>
      </c>
      <c r="K97">
        <v>4747000</v>
      </c>
      <c r="L97" s="1" t="s">
        <v>22</v>
      </c>
      <c r="M97" s="1" t="s">
        <v>23</v>
      </c>
      <c r="N97" s="1" t="s">
        <v>24</v>
      </c>
      <c r="O97">
        <v>42723000</v>
      </c>
      <c r="P97">
        <v>17523000</v>
      </c>
      <c r="Q97">
        <v>41.02</v>
      </c>
    </row>
    <row r="98" spans="1:17" x14ac:dyDescent="0.35">
      <c r="A98" s="1" t="s">
        <v>329</v>
      </c>
      <c r="B98" s="1" t="s">
        <v>172</v>
      </c>
      <c r="C98" s="1" t="s">
        <v>78</v>
      </c>
      <c r="D98" s="1" t="s">
        <v>171</v>
      </c>
      <c r="E98">
        <v>6</v>
      </c>
      <c r="F98" s="2">
        <v>45422</v>
      </c>
      <c r="G98" s="1" t="s">
        <v>1340</v>
      </c>
      <c r="H98" s="1" t="s">
        <v>1330</v>
      </c>
      <c r="I98" s="1" t="s">
        <v>41</v>
      </c>
      <c r="J98">
        <v>950000</v>
      </c>
      <c r="K98">
        <v>1649000</v>
      </c>
      <c r="L98" s="1" t="s">
        <v>79</v>
      </c>
      <c r="M98" s="1" t="s">
        <v>10</v>
      </c>
      <c r="N98" s="1" t="s">
        <v>17</v>
      </c>
      <c r="O98">
        <v>9894000</v>
      </c>
      <c r="P98">
        <v>4194000</v>
      </c>
      <c r="Q98">
        <v>42.39</v>
      </c>
    </row>
    <row r="99" spans="1:17" x14ac:dyDescent="0.35">
      <c r="A99" s="1" t="s">
        <v>331</v>
      </c>
      <c r="B99" s="1" t="s">
        <v>191</v>
      </c>
      <c r="C99" s="1" t="s">
        <v>57</v>
      </c>
      <c r="D99" s="1" t="s">
        <v>121</v>
      </c>
      <c r="E99">
        <v>10</v>
      </c>
      <c r="F99" s="2">
        <v>45377</v>
      </c>
      <c r="G99" s="1" t="s">
        <v>1310</v>
      </c>
      <c r="H99" s="1" t="s">
        <v>1311</v>
      </c>
      <c r="I99" s="1" t="s">
        <v>11</v>
      </c>
      <c r="J99">
        <v>12000000</v>
      </c>
      <c r="K99">
        <v>13963000</v>
      </c>
      <c r="L99" s="1" t="s">
        <v>58</v>
      </c>
      <c r="M99" s="1" t="s">
        <v>10</v>
      </c>
      <c r="N99" s="1" t="s">
        <v>59</v>
      </c>
      <c r="O99">
        <v>139630000</v>
      </c>
      <c r="P99">
        <v>19630000</v>
      </c>
      <c r="Q99">
        <v>14.06</v>
      </c>
    </row>
    <row r="100" spans="1:17" x14ac:dyDescent="0.35">
      <c r="A100" s="1" t="s">
        <v>333</v>
      </c>
      <c r="B100" s="1" t="s">
        <v>188</v>
      </c>
      <c r="C100" s="1" t="s">
        <v>21</v>
      </c>
      <c r="D100" s="1" t="s">
        <v>124</v>
      </c>
      <c r="E100">
        <v>7</v>
      </c>
      <c r="F100" s="2">
        <v>45447</v>
      </c>
      <c r="G100" s="1" t="s">
        <v>1327</v>
      </c>
      <c r="H100" s="1" t="s">
        <v>1311</v>
      </c>
      <c r="I100" s="1" t="s">
        <v>41</v>
      </c>
      <c r="J100">
        <v>2800000</v>
      </c>
      <c r="K100">
        <v>4747000</v>
      </c>
      <c r="L100" s="1" t="s">
        <v>22</v>
      </c>
      <c r="M100" s="1" t="s">
        <v>23</v>
      </c>
      <c r="N100" s="1" t="s">
        <v>24</v>
      </c>
      <c r="O100">
        <v>33229000</v>
      </c>
      <c r="P100">
        <v>13629000</v>
      </c>
      <c r="Q100">
        <v>41.02</v>
      </c>
    </row>
    <row r="101" spans="1:17" x14ac:dyDescent="0.35">
      <c r="A101" s="1" t="s">
        <v>335</v>
      </c>
      <c r="B101" s="1" t="s">
        <v>172</v>
      </c>
      <c r="C101" s="1" t="s">
        <v>57</v>
      </c>
      <c r="D101" s="1" t="s">
        <v>121</v>
      </c>
      <c r="E101">
        <v>12</v>
      </c>
      <c r="F101" s="2">
        <v>45353</v>
      </c>
      <c r="G101" s="1" t="s">
        <v>1340</v>
      </c>
      <c r="H101" s="1" t="s">
        <v>1330</v>
      </c>
      <c r="I101" s="1" t="s">
        <v>41</v>
      </c>
      <c r="J101">
        <v>950000</v>
      </c>
      <c r="K101">
        <v>1649000</v>
      </c>
      <c r="L101" s="1" t="s">
        <v>58</v>
      </c>
      <c r="M101" s="1" t="s">
        <v>10</v>
      </c>
      <c r="N101" s="1" t="s">
        <v>59</v>
      </c>
      <c r="O101">
        <v>19788000</v>
      </c>
      <c r="P101">
        <v>8388000</v>
      </c>
      <c r="Q101">
        <v>42.39</v>
      </c>
    </row>
    <row r="102" spans="1:17" x14ac:dyDescent="0.35">
      <c r="A102" s="1" t="s">
        <v>337</v>
      </c>
      <c r="B102" s="1" t="s">
        <v>188</v>
      </c>
      <c r="C102" s="1" t="s">
        <v>57</v>
      </c>
      <c r="D102" s="1" t="s">
        <v>157</v>
      </c>
      <c r="E102">
        <v>3</v>
      </c>
      <c r="F102" s="2">
        <v>45383</v>
      </c>
      <c r="G102" s="1" t="s">
        <v>1327</v>
      </c>
      <c r="H102" s="1" t="s">
        <v>1311</v>
      </c>
      <c r="I102" s="1" t="s">
        <v>41</v>
      </c>
      <c r="J102">
        <v>2800000</v>
      </c>
      <c r="K102">
        <v>4747000</v>
      </c>
      <c r="L102" s="1" t="s">
        <v>58</v>
      </c>
      <c r="M102" s="1" t="s">
        <v>10</v>
      </c>
      <c r="N102" s="1" t="s">
        <v>59</v>
      </c>
      <c r="O102">
        <v>14241000</v>
      </c>
      <c r="P102">
        <v>5841000</v>
      </c>
      <c r="Q102">
        <v>41.02</v>
      </c>
    </row>
    <row r="103" spans="1:17" x14ac:dyDescent="0.35">
      <c r="A103" s="1" t="s">
        <v>339</v>
      </c>
      <c r="B103" s="1" t="s">
        <v>172</v>
      </c>
      <c r="C103" s="1" t="s">
        <v>78</v>
      </c>
      <c r="D103" s="1" t="s">
        <v>143</v>
      </c>
      <c r="E103">
        <v>4</v>
      </c>
      <c r="F103" s="2">
        <v>45511</v>
      </c>
      <c r="G103" s="1" t="s">
        <v>1340</v>
      </c>
      <c r="H103" s="1" t="s">
        <v>1330</v>
      </c>
      <c r="I103" s="1" t="s">
        <v>41</v>
      </c>
      <c r="J103">
        <v>950000</v>
      </c>
      <c r="K103">
        <v>1649000</v>
      </c>
      <c r="L103" s="1" t="s">
        <v>79</v>
      </c>
      <c r="M103" s="1" t="s">
        <v>10</v>
      </c>
      <c r="N103" s="1" t="s">
        <v>17</v>
      </c>
      <c r="O103">
        <v>6596000</v>
      </c>
      <c r="P103">
        <v>2796000</v>
      </c>
      <c r="Q103">
        <v>42.39</v>
      </c>
    </row>
    <row r="104" spans="1:17" x14ac:dyDescent="0.35">
      <c r="A104" s="1" t="s">
        <v>341</v>
      </c>
      <c r="B104" s="1" t="s">
        <v>109</v>
      </c>
      <c r="C104" s="1" t="s">
        <v>35</v>
      </c>
      <c r="D104" s="1" t="s">
        <v>157</v>
      </c>
      <c r="E104">
        <v>4</v>
      </c>
      <c r="F104" s="2">
        <v>45533</v>
      </c>
      <c r="G104" s="1" t="s">
        <v>1357</v>
      </c>
      <c r="H104" s="1" t="s">
        <v>1358</v>
      </c>
      <c r="I104" s="1" t="s">
        <v>41</v>
      </c>
      <c r="J104">
        <v>2000000</v>
      </c>
      <c r="K104">
        <v>3382000</v>
      </c>
      <c r="L104" s="1" t="s">
        <v>36</v>
      </c>
      <c r="M104" s="1" t="s">
        <v>10</v>
      </c>
      <c r="N104" s="1" t="s">
        <v>11</v>
      </c>
      <c r="O104">
        <v>13528000</v>
      </c>
      <c r="P104">
        <v>5528000</v>
      </c>
      <c r="Q104">
        <v>40.86</v>
      </c>
    </row>
    <row r="105" spans="1:17" x14ac:dyDescent="0.35">
      <c r="A105" s="1" t="s">
        <v>343</v>
      </c>
      <c r="B105" s="1" t="s">
        <v>173</v>
      </c>
      <c r="C105" s="1" t="s">
        <v>39</v>
      </c>
      <c r="D105" s="1" t="s">
        <v>171</v>
      </c>
      <c r="E105">
        <v>2</v>
      </c>
      <c r="F105" s="2">
        <v>45309</v>
      </c>
      <c r="G105" s="1" t="s">
        <v>1342</v>
      </c>
      <c r="H105" s="1" t="s">
        <v>1317</v>
      </c>
      <c r="I105" s="1" t="s">
        <v>1323</v>
      </c>
      <c r="J105">
        <v>80000</v>
      </c>
      <c r="K105">
        <v>92000</v>
      </c>
      <c r="L105" s="1" t="s">
        <v>40</v>
      </c>
      <c r="M105" s="1" t="s">
        <v>23</v>
      </c>
      <c r="N105" s="1" t="s">
        <v>41</v>
      </c>
      <c r="O105">
        <v>184000</v>
      </c>
      <c r="P105">
        <v>24000</v>
      </c>
      <c r="Q105">
        <v>13.04</v>
      </c>
    </row>
    <row r="106" spans="1:17" x14ac:dyDescent="0.35">
      <c r="A106" s="1" t="s">
        <v>345</v>
      </c>
      <c r="B106" s="1" t="s">
        <v>116</v>
      </c>
      <c r="C106" s="1" t="s">
        <v>39</v>
      </c>
      <c r="D106" s="1" t="s">
        <v>128</v>
      </c>
      <c r="E106">
        <v>15</v>
      </c>
      <c r="F106" s="2">
        <v>45509</v>
      </c>
      <c r="G106" s="1" t="s">
        <v>1352</v>
      </c>
      <c r="H106" s="1" t="s">
        <v>1330</v>
      </c>
      <c r="I106" s="1" t="s">
        <v>1323</v>
      </c>
      <c r="J106">
        <v>5000000</v>
      </c>
      <c r="K106">
        <v>7546000</v>
      </c>
      <c r="L106" s="1" t="s">
        <v>40</v>
      </c>
      <c r="M106" s="1" t="s">
        <v>23</v>
      </c>
      <c r="N106" s="1" t="s">
        <v>41</v>
      </c>
      <c r="O106">
        <v>113190000</v>
      </c>
      <c r="P106">
        <v>38190000</v>
      </c>
      <c r="Q106">
        <v>33.74</v>
      </c>
    </row>
    <row r="107" spans="1:17" x14ac:dyDescent="0.35">
      <c r="A107" s="1" t="s">
        <v>347</v>
      </c>
      <c r="B107" s="1" t="s">
        <v>240</v>
      </c>
      <c r="C107" s="1" t="s">
        <v>39</v>
      </c>
      <c r="D107" s="1" t="s">
        <v>128</v>
      </c>
      <c r="E107">
        <v>14</v>
      </c>
      <c r="F107" s="2">
        <v>45293</v>
      </c>
      <c r="G107" s="1" t="s">
        <v>1326</v>
      </c>
      <c r="H107" s="1" t="s">
        <v>1317</v>
      </c>
      <c r="I107" s="1" t="s">
        <v>41</v>
      </c>
      <c r="J107">
        <v>350000</v>
      </c>
      <c r="K107">
        <v>626000</v>
      </c>
      <c r="L107" s="1" t="s">
        <v>40</v>
      </c>
      <c r="M107" s="1" t="s">
        <v>23</v>
      </c>
      <c r="N107" s="1" t="s">
        <v>41</v>
      </c>
      <c r="O107">
        <v>8764000</v>
      </c>
      <c r="P107">
        <v>3864000</v>
      </c>
      <c r="Q107">
        <v>44.09</v>
      </c>
    </row>
    <row r="108" spans="1:17" x14ac:dyDescent="0.35">
      <c r="A108" s="1" t="s">
        <v>349</v>
      </c>
      <c r="B108" s="1" t="s">
        <v>149</v>
      </c>
      <c r="C108" s="1" t="s">
        <v>63</v>
      </c>
      <c r="D108" s="1" t="s">
        <v>128</v>
      </c>
      <c r="E108">
        <v>10</v>
      </c>
      <c r="F108" s="2">
        <v>45380</v>
      </c>
      <c r="G108" s="1" t="s">
        <v>1316</v>
      </c>
      <c r="H108" s="1" t="s">
        <v>1317</v>
      </c>
      <c r="I108" s="1" t="s">
        <v>41</v>
      </c>
      <c r="J108">
        <v>100000</v>
      </c>
      <c r="K108">
        <v>169000</v>
      </c>
      <c r="L108" s="1" t="s">
        <v>64</v>
      </c>
      <c r="M108" s="1" t="s">
        <v>23</v>
      </c>
      <c r="N108" s="1" t="s">
        <v>65</v>
      </c>
      <c r="O108">
        <v>1690000</v>
      </c>
      <c r="P108">
        <v>690000</v>
      </c>
      <c r="Q108">
        <v>40.83</v>
      </c>
    </row>
    <row r="109" spans="1:17" x14ac:dyDescent="0.35">
      <c r="A109" s="1" t="s">
        <v>351</v>
      </c>
      <c r="B109" s="1" t="s">
        <v>168</v>
      </c>
      <c r="C109" s="1" t="s">
        <v>69</v>
      </c>
      <c r="D109" s="1" t="s">
        <v>143</v>
      </c>
      <c r="E109">
        <v>14</v>
      </c>
      <c r="F109" s="2">
        <v>45627</v>
      </c>
      <c r="G109" s="1" t="s">
        <v>1338</v>
      </c>
      <c r="H109" s="1" t="s">
        <v>1336</v>
      </c>
      <c r="I109" s="1" t="s">
        <v>41</v>
      </c>
      <c r="J109">
        <v>500000</v>
      </c>
      <c r="K109">
        <v>844000</v>
      </c>
      <c r="L109" s="1" t="s">
        <v>70</v>
      </c>
      <c r="M109" s="1" t="s">
        <v>10</v>
      </c>
      <c r="N109" s="1" t="s">
        <v>11</v>
      </c>
      <c r="O109">
        <v>11816000</v>
      </c>
      <c r="P109">
        <v>4816000</v>
      </c>
      <c r="Q109">
        <v>40.76</v>
      </c>
    </row>
    <row r="110" spans="1:17" x14ac:dyDescent="0.35">
      <c r="A110" s="1" t="s">
        <v>353</v>
      </c>
      <c r="B110" s="1" t="s">
        <v>197</v>
      </c>
      <c r="C110" s="1" t="s">
        <v>8</v>
      </c>
      <c r="D110" s="1" t="s">
        <v>124</v>
      </c>
      <c r="E110">
        <v>12</v>
      </c>
      <c r="F110" s="2">
        <v>45563</v>
      </c>
      <c r="G110" s="1" t="s">
        <v>1350</v>
      </c>
      <c r="H110" s="1" t="s">
        <v>1336</v>
      </c>
      <c r="I110" s="1" t="s">
        <v>11</v>
      </c>
      <c r="J110">
        <v>1200000</v>
      </c>
      <c r="K110">
        <v>1375000</v>
      </c>
      <c r="L110" s="1" t="s">
        <v>9</v>
      </c>
      <c r="M110" s="1" t="s">
        <v>10</v>
      </c>
      <c r="N110" s="1" t="s">
        <v>11</v>
      </c>
      <c r="O110">
        <v>16500000</v>
      </c>
      <c r="P110">
        <v>2100000</v>
      </c>
      <c r="Q110">
        <v>12.73</v>
      </c>
    </row>
    <row r="111" spans="1:17" x14ac:dyDescent="0.35">
      <c r="A111" s="1" t="s">
        <v>355</v>
      </c>
      <c r="B111" s="1" t="s">
        <v>106</v>
      </c>
      <c r="C111" s="1" t="s">
        <v>63</v>
      </c>
      <c r="D111" s="1" t="s">
        <v>157</v>
      </c>
      <c r="E111">
        <v>13</v>
      </c>
      <c r="F111" s="2">
        <v>45515</v>
      </c>
      <c r="G111" s="1" t="s">
        <v>1348</v>
      </c>
      <c r="H111" s="1" t="s">
        <v>1317</v>
      </c>
      <c r="I111" s="1" t="s">
        <v>1323</v>
      </c>
      <c r="J111">
        <v>300000</v>
      </c>
      <c r="K111">
        <v>355000</v>
      </c>
      <c r="L111" s="1" t="s">
        <v>64</v>
      </c>
      <c r="M111" s="1" t="s">
        <v>23</v>
      </c>
      <c r="N111" s="1" t="s">
        <v>65</v>
      </c>
      <c r="O111">
        <v>4615000</v>
      </c>
      <c r="P111">
        <v>715000</v>
      </c>
      <c r="Q111">
        <v>15.49</v>
      </c>
    </row>
    <row r="112" spans="1:17" x14ac:dyDescent="0.35">
      <c r="A112" s="1" t="s">
        <v>357</v>
      </c>
      <c r="B112" s="1" t="s">
        <v>172</v>
      </c>
      <c r="C112" s="1" t="s">
        <v>21</v>
      </c>
      <c r="D112" s="1" t="s">
        <v>128</v>
      </c>
      <c r="E112">
        <v>10</v>
      </c>
      <c r="F112" s="2">
        <v>45393</v>
      </c>
      <c r="G112" s="1" t="s">
        <v>1340</v>
      </c>
      <c r="H112" s="1" t="s">
        <v>1330</v>
      </c>
      <c r="I112" s="1" t="s">
        <v>41</v>
      </c>
      <c r="J112">
        <v>950000</v>
      </c>
      <c r="K112">
        <v>1649000</v>
      </c>
      <c r="L112" s="1" t="s">
        <v>22</v>
      </c>
      <c r="M112" s="1" t="s">
        <v>23</v>
      </c>
      <c r="N112" s="1" t="s">
        <v>24</v>
      </c>
      <c r="O112">
        <v>16490000</v>
      </c>
      <c r="P112">
        <v>6990000</v>
      </c>
      <c r="Q112">
        <v>42.39</v>
      </c>
    </row>
    <row r="113" spans="1:17" x14ac:dyDescent="0.35">
      <c r="A113" s="1" t="s">
        <v>359</v>
      </c>
      <c r="B113" s="1" t="s">
        <v>149</v>
      </c>
      <c r="C113" s="1" t="s">
        <v>82</v>
      </c>
      <c r="D113" s="1" t="s">
        <v>143</v>
      </c>
      <c r="E113">
        <v>7</v>
      </c>
      <c r="F113" s="2">
        <v>45432</v>
      </c>
      <c r="G113" s="1" t="s">
        <v>1316</v>
      </c>
      <c r="H113" s="1" t="s">
        <v>1317</v>
      </c>
      <c r="I113" s="1" t="s">
        <v>41</v>
      </c>
      <c r="J113">
        <v>100000</v>
      </c>
      <c r="K113">
        <v>169000</v>
      </c>
      <c r="L113" s="1" t="s">
        <v>83</v>
      </c>
      <c r="M113" s="1" t="s">
        <v>23</v>
      </c>
      <c r="N113" s="1" t="s">
        <v>84</v>
      </c>
      <c r="O113">
        <v>1183000</v>
      </c>
      <c r="P113">
        <v>483000</v>
      </c>
      <c r="Q113">
        <v>40.83</v>
      </c>
    </row>
    <row r="114" spans="1:17" x14ac:dyDescent="0.35">
      <c r="A114" s="1" t="s">
        <v>361</v>
      </c>
      <c r="B114" s="1" t="s">
        <v>109</v>
      </c>
      <c r="C114" s="1" t="s">
        <v>8</v>
      </c>
      <c r="D114" s="1" t="s">
        <v>121</v>
      </c>
      <c r="E114">
        <v>15</v>
      </c>
      <c r="F114" s="2">
        <v>45328</v>
      </c>
      <c r="G114" s="1" t="s">
        <v>1357</v>
      </c>
      <c r="H114" s="1" t="s">
        <v>1358</v>
      </c>
      <c r="I114" s="1" t="s">
        <v>41</v>
      </c>
      <c r="J114">
        <v>2000000</v>
      </c>
      <c r="K114">
        <v>3382000</v>
      </c>
      <c r="L114" s="1" t="s">
        <v>9</v>
      </c>
      <c r="M114" s="1" t="s">
        <v>10</v>
      </c>
      <c r="N114" s="1" t="s">
        <v>11</v>
      </c>
      <c r="O114">
        <v>50730000</v>
      </c>
      <c r="P114">
        <v>20730000</v>
      </c>
      <c r="Q114">
        <v>40.86</v>
      </c>
    </row>
    <row r="115" spans="1:17" x14ac:dyDescent="0.35">
      <c r="A115" s="1" t="s">
        <v>363</v>
      </c>
      <c r="B115" s="1" t="s">
        <v>137</v>
      </c>
      <c r="C115" s="1" t="s">
        <v>69</v>
      </c>
      <c r="D115" s="1" t="s">
        <v>128</v>
      </c>
      <c r="E115">
        <v>13</v>
      </c>
      <c r="F115" s="2">
        <v>45535</v>
      </c>
      <c r="G115" s="1" t="s">
        <v>1324</v>
      </c>
      <c r="H115" s="1" t="s">
        <v>1311</v>
      </c>
      <c r="I115" s="1" t="s">
        <v>11</v>
      </c>
      <c r="J115">
        <v>2000000</v>
      </c>
      <c r="K115">
        <v>2533000</v>
      </c>
      <c r="L115" s="1" t="s">
        <v>70</v>
      </c>
      <c r="M115" s="1" t="s">
        <v>10</v>
      </c>
      <c r="N115" s="1" t="s">
        <v>11</v>
      </c>
      <c r="O115">
        <v>32929000</v>
      </c>
      <c r="P115">
        <v>6929000</v>
      </c>
      <c r="Q115">
        <v>21.04</v>
      </c>
    </row>
    <row r="116" spans="1:17" x14ac:dyDescent="0.35">
      <c r="A116" s="1" t="s">
        <v>365</v>
      </c>
      <c r="B116" s="1" t="s">
        <v>106</v>
      </c>
      <c r="C116" s="1" t="s">
        <v>45</v>
      </c>
      <c r="D116" s="1" t="s">
        <v>157</v>
      </c>
      <c r="E116">
        <v>4</v>
      </c>
      <c r="F116" s="2">
        <v>45504</v>
      </c>
      <c r="G116" s="1" t="s">
        <v>1348</v>
      </c>
      <c r="H116" s="1" t="s">
        <v>1317</v>
      </c>
      <c r="I116" s="1" t="s">
        <v>1323</v>
      </c>
      <c r="J116">
        <v>300000</v>
      </c>
      <c r="K116">
        <v>355000</v>
      </c>
      <c r="L116" s="1" t="s">
        <v>46</v>
      </c>
      <c r="M116" s="1" t="s">
        <v>10</v>
      </c>
      <c r="N116" s="1" t="s">
        <v>47</v>
      </c>
      <c r="O116">
        <v>1420000</v>
      </c>
      <c r="P116">
        <v>220000</v>
      </c>
      <c r="Q116">
        <v>15.49</v>
      </c>
    </row>
    <row r="117" spans="1:17" x14ac:dyDescent="0.35">
      <c r="A117" s="1" t="s">
        <v>367</v>
      </c>
      <c r="B117" s="1" t="s">
        <v>248</v>
      </c>
      <c r="C117" s="1" t="s">
        <v>57</v>
      </c>
      <c r="D117" s="1" t="s">
        <v>121</v>
      </c>
      <c r="E117">
        <v>7</v>
      </c>
      <c r="F117" s="2">
        <v>45338</v>
      </c>
      <c r="G117" s="1" t="s">
        <v>1335</v>
      </c>
      <c r="H117" s="1" t="s">
        <v>1336</v>
      </c>
      <c r="I117" s="1" t="s">
        <v>41</v>
      </c>
      <c r="J117">
        <v>250000</v>
      </c>
      <c r="K117">
        <v>354000</v>
      </c>
      <c r="L117" s="1" t="s">
        <v>58</v>
      </c>
      <c r="M117" s="1" t="s">
        <v>10</v>
      </c>
      <c r="N117" s="1" t="s">
        <v>59</v>
      </c>
      <c r="O117">
        <v>2478000</v>
      </c>
      <c r="P117">
        <v>728000</v>
      </c>
      <c r="Q117">
        <v>29.38</v>
      </c>
    </row>
    <row r="118" spans="1:17" x14ac:dyDescent="0.35">
      <c r="A118" s="1" t="s">
        <v>369</v>
      </c>
      <c r="B118" s="1" t="s">
        <v>168</v>
      </c>
      <c r="C118" s="1" t="s">
        <v>57</v>
      </c>
      <c r="D118" s="1" t="s">
        <v>171</v>
      </c>
      <c r="E118">
        <v>9</v>
      </c>
      <c r="F118" s="2">
        <v>45566</v>
      </c>
      <c r="G118" s="1" t="s">
        <v>1338</v>
      </c>
      <c r="H118" s="1" t="s">
        <v>1336</v>
      </c>
      <c r="I118" s="1" t="s">
        <v>41</v>
      </c>
      <c r="J118">
        <v>500000</v>
      </c>
      <c r="K118">
        <v>844000</v>
      </c>
      <c r="L118" s="1" t="s">
        <v>58</v>
      </c>
      <c r="M118" s="1" t="s">
        <v>10</v>
      </c>
      <c r="N118" s="1" t="s">
        <v>59</v>
      </c>
      <c r="O118">
        <v>7596000</v>
      </c>
      <c r="P118">
        <v>3096000</v>
      </c>
      <c r="Q118">
        <v>40.76</v>
      </c>
    </row>
    <row r="119" spans="1:17" x14ac:dyDescent="0.35">
      <c r="A119" s="1" t="s">
        <v>371</v>
      </c>
      <c r="B119" s="1" t="s">
        <v>197</v>
      </c>
      <c r="C119" s="1" t="s">
        <v>51</v>
      </c>
      <c r="D119" s="1" t="s">
        <v>124</v>
      </c>
      <c r="E119">
        <v>9</v>
      </c>
      <c r="F119" s="2">
        <v>45646</v>
      </c>
      <c r="G119" s="1" t="s">
        <v>1350</v>
      </c>
      <c r="H119" s="1" t="s">
        <v>1336</v>
      </c>
      <c r="I119" s="1" t="s">
        <v>11</v>
      </c>
      <c r="J119">
        <v>1200000</v>
      </c>
      <c r="K119">
        <v>1375000</v>
      </c>
      <c r="L119" s="1" t="s">
        <v>52</v>
      </c>
      <c r="M119" s="1" t="s">
        <v>23</v>
      </c>
      <c r="N119" s="1" t="s">
        <v>53</v>
      </c>
      <c r="O119">
        <v>12375000</v>
      </c>
      <c r="P119">
        <v>1575000</v>
      </c>
      <c r="Q119">
        <v>12.73</v>
      </c>
    </row>
    <row r="120" spans="1:17" x14ac:dyDescent="0.35">
      <c r="A120" s="1" t="s">
        <v>371</v>
      </c>
      <c r="B120" s="1" t="s">
        <v>116</v>
      </c>
      <c r="C120" s="1" t="s">
        <v>51</v>
      </c>
      <c r="D120" s="1" t="s">
        <v>124</v>
      </c>
      <c r="E120">
        <v>9</v>
      </c>
      <c r="F120" s="2">
        <v>45646</v>
      </c>
      <c r="G120" s="1" t="s">
        <v>1352</v>
      </c>
      <c r="H120" s="1" t="s">
        <v>1330</v>
      </c>
      <c r="I120" s="1" t="s">
        <v>1323</v>
      </c>
      <c r="J120">
        <v>5000000</v>
      </c>
      <c r="K120">
        <v>7546000</v>
      </c>
      <c r="L120" s="1" t="s">
        <v>52</v>
      </c>
      <c r="M120" s="1" t="s">
        <v>23</v>
      </c>
      <c r="N120" s="1" t="s">
        <v>53</v>
      </c>
      <c r="O120">
        <v>67914000</v>
      </c>
      <c r="P120">
        <v>22914000</v>
      </c>
      <c r="Q120">
        <v>33.74</v>
      </c>
    </row>
    <row r="121" spans="1:17" x14ac:dyDescent="0.35">
      <c r="A121" s="1" t="s">
        <v>371</v>
      </c>
      <c r="B121" s="1" t="s">
        <v>133</v>
      </c>
      <c r="C121" s="1" t="s">
        <v>51</v>
      </c>
      <c r="D121" s="1" t="s">
        <v>124</v>
      </c>
      <c r="E121">
        <v>9</v>
      </c>
      <c r="F121" s="2">
        <v>45646</v>
      </c>
      <c r="G121" s="1" t="s">
        <v>1354</v>
      </c>
      <c r="H121" s="1" t="s">
        <v>1330</v>
      </c>
      <c r="I121" s="1" t="s">
        <v>11</v>
      </c>
      <c r="J121">
        <v>2500000</v>
      </c>
      <c r="K121">
        <v>3080000</v>
      </c>
      <c r="L121" s="1" t="s">
        <v>52</v>
      </c>
      <c r="M121" s="1" t="s">
        <v>23</v>
      </c>
      <c r="N121" s="1" t="s">
        <v>53</v>
      </c>
      <c r="O121">
        <v>27720000</v>
      </c>
      <c r="P121">
        <v>5220000</v>
      </c>
      <c r="Q121">
        <v>18.829999999999998</v>
      </c>
    </row>
    <row r="122" spans="1:17" x14ac:dyDescent="0.35">
      <c r="A122" s="1" t="s">
        <v>373</v>
      </c>
      <c r="B122" s="1" t="s">
        <v>106</v>
      </c>
      <c r="C122" s="1" t="s">
        <v>78</v>
      </c>
      <c r="D122" s="1" t="s">
        <v>171</v>
      </c>
      <c r="E122">
        <v>11</v>
      </c>
      <c r="F122" s="2">
        <v>45334</v>
      </c>
      <c r="G122" s="1" t="s">
        <v>1348</v>
      </c>
      <c r="H122" s="1" t="s">
        <v>1317</v>
      </c>
      <c r="I122" s="1" t="s">
        <v>1323</v>
      </c>
      <c r="J122">
        <v>300000</v>
      </c>
      <c r="K122">
        <v>355000</v>
      </c>
      <c r="L122" s="1" t="s">
        <v>79</v>
      </c>
      <c r="M122" s="1" t="s">
        <v>10</v>
      </c>
      <c r="N122" s="1" t="s">
        <v>17</v>
      </c>
      <c r="O122">
        <v>3905000</v>
      </c>
      <c r="P122">
        <v>605000</v>
      </c>
      <c r="Q122">
        <v>15.49</v>
      </c>
    </row>
    <row r="123" spans="1:17" x14ac:dyDescent="0.35">
      <c r="A123" s="1" t="s">
        <v>375</v>
      </c>
      <c r="B123" s="1" t="s">
        <v>188</v>
      </c>
      <c r="C123" s="1" t="s">
        <v>21</v>
      </c>
      <c r="D123" s="1" t="s">
        <v>121</v>
      </c>
      <c r="E123">
        <v>6</v>
      </c>
      <c r="F123" s="2">
        <v>45637</v>
      </c>
      <c r="G123" s="1" t="s">
        <v>1327</v>
      </c>
      <c r="H123" s="1" t="s">
        <v>1311</v>
      </c>
      <c r="I123" s="1" t="s">
        <v>41</v>
      </c>
      <c r="J123">
        <v>2800000</v>
      </c>
      <c r="K123">
        <v>4747000</v>
      </c>
      <c r="L123" s="1" t="s">
        <v>22</v>
      </c>
      <c r="M123" s="1" t="s">
        <v>23</v>
      </c>
      <c r="N123" s="1" t="s">
        <v>24</v>
      </c>
      <c r="O123">
        <v>28482000</v>
      </c>
      <c r="P123">
        <v>11682000</v>
      </c>
      <c r="Q123">
        <v>41.02</v>
      </c>
    </row>
    <row r="124" spans="1:17" x14ac:dyDescent="0.35">
      <c r="A124" s="1" t="s">
        <v>377</v>
      </c>
      <c r="B124" s="1" t="s">
        <v>164</v>
      </c>
      <c r="C124" s="1" t="s">
        <v>45</v>
      </c>
      <c r="D124" s="1" t="s">
        <v>124</v>
      </c>
      <c r="E124">
        <v>2</v>
      </c>
      <c r="F124" s="2">
        <v>45520</v>
      </c>
      <c r="G124" s="1" t="s">
        <v>1332</v>
      </c>
      <c r="H124" s="1" t="s">
        <v>1330</v>
      </c>
      <c r="I124" s="1" t="s">
        <v>11</v>
      </c>
      <c r="J124">
        <v>750000</v>
      </c>
      <c r="K124">
        <v>971000</v>
      </c>
      <c r="L124" s="1" t="s">
        <v>46</v>
      </c>
      <c r="M124" s="1" t="s">
        <v>10</v>
      </c>
      <c r="N124" s="1" t="s">
        <v>47</v>
      </c>
      <c r="O124">
        <v>1942000</v>
      </c>
      <c r="P124">
        <v>442000</v>
      </c>
      <c r="Q124">
        <v>22.76</v>
      </c>
    </row>
    <row r="125" spans="1:17" x14ac:dyDescent="0.35">
      <c r="A125" s="1" t="s">
        <v>379</v>
      </c>
      <c r="B125" s="1" t="s">
        <v>248</v>
      </c>
      <c r="C125" s="1" t="s">
        <v>78</v>
      </c>
      <c r="D125" s="1" t="s">
        <v>124</v>
      </c>
      <c r="E125">
        <v>12</v>
      </c>
      <c r="F125" s="2">
        <v>45631</v>
      </c>
      <c r="G125" s="1" t="s">
        <v>1335</v>
      </c>
      <c r="H125" s="1" t="s">
        <v>1336</v>
      </c>
      <c r="I125" s="1" t="s">
        <v>41</v>
      </c>
      <c r="J125">
        <v>250000</v>
      </c>
      <c r="K125">
        <v>354000</v>
      </c>
      <c r="L125" s="1" t="s">
        <v>79</v>
      </c>
      <c r="M125" s="1" t="s">
        <v>10</v>
      </c>
      <c r="N125" s="1" t="s">
        <v>17</v>
      </c>
      <c r="O125">
        <v>4248000</v>
      </c>
      <c r="P125">
        <v>1248000</v>
      </c>
      <c r="Q125">
        <v>29.38</v>
      </c>
    </row>
    <row r="126" spans="1:17" x14ac:dyDescent="0.35">
      <c r="A126" s="1" t="s">
        <v>381</v>
      </c>
      <c r="B126" s="1" t="s">
        <v>197</v>
      </c>
      <c r="C126" s="1" t="s">
        <v>51</v>
      </c>
      <c r="D126" s="1" t="s">
        <v>121</v>
      </c>
      <c r="E126">
        <v>3</v>
      </c>
      <c r="F126" s="2">
        <v>45429</v>
      </c>
      <c r="G126" s="1" t="s">
        <v>1350</v>
      </c>
      <c r="H126" s="1" t="s">
        <v>1336</v>
      </c>
      <c r="I126" s="1" t="s">
        <v>11</v>
      </c>
      <c r="J126">
        <v>1200000</v>
      </c>
      <c r="K126">
        <v>1375000</v>
      </c>
      <c r="L126" s="1" t="s">
        <v>52</v>
      </c>
      <c r="M126" s="1" t="s">
        <v>23</v>
      </c>
      <c r="N126" s="1" t="s">
        <v>53</v>
      </c>
      <c r="O126">
        <v>4125000</v>
      </c>
      <c r="P126">
        <v>525000</v>
      </c>
      <c r="Q126">
        <v>12.73</v>
      </c>
    </row>
    <row r="127" spans="1:17" x14ac:dyDescent="0.35">
      <c r="A127" s="1" t="s">
        <v>383</v>
      </c>
      <c r="B127" s="1" t="s">
        <v>173</v>
      </c>
      <c r="C127" s="1" t="s">
        <v>69</v>
      </c>
      <c r="D127" s="1" t="s">
        <v>157</v>
      </c>
      <c r="E127">
        <v>6</v>
      </c>
      <c r="F127" s="2">
        <v>45317</v>
      </c>
      <c r="G127" s="1" t="s">
        <v>1342</v>
      </c>
      <c r="H127" s="1" t="s">
        <v>1317</v>
      </c>
      <c r="I127" s="1" t="s">
        <v>1323</v>
      </c>
      <c r="J127">
        <v>80000</v>
      </c>
      <c r="K127">
        <v>92000</v>
      </c>
      <c r="L127" s="1" t="s">
        <v>70</v>
      </c>
      <c r="M127" s="1" t="s">
        <v>10</v>
      </c>
      <c r="N127" s="1" t="s">
        <v>11</v>
      </c>
      <c r="O127">
        <v>552000</v>
      </c>
      <c r="P127">
        <v>72000</v>
      </c>
      <c r="Q127">
        <v>13.04</v>
      </c>
    </row>
    <row r="128" spans="1:17" x14ac:dyDescent="0.35">
      <c r="A128" s="1" t="s">
        <v>385</v>
      </c>
      <c r="B128" s="1" t="s">
        <v>113</v>
      </c>
      <c r="C128" s="1" t="s">
        <v>29</v>
      </c>
      <c r="D128" s="1" t="s">
        <v>128</v>
      </c>
      <c r="E128">
        <v>1</v>
      </c>
      <c r="F128" s="2">
        <v>45297</v>
      </c>
      <c r="G128" s="1" t="s">
        <v>1346</v>
      </c>
      <c r="H128" s="1" t="s">
        <v>1311</v>
      </c>
      <c r="I128" s="1" t="s">
        <v>1323</v>
      </c>
      <c r="J128">
        <v>4500000</v>
      </c>
      <c r="K128">
        <v>5522000</v>
      </c>
      <c r="L128" s="1" t="s">
        <v>30</v>
      </c>
      <c r="M128" s="1" t="s">
        <v>23</v>
      </c>
      <c r="N128" s="1" t="s">
        <v>31</v>
      </c>
      <c r="O128">
        <v>5522000</v>
      </c>
      <c r="P128">
        <v>1022000</v>
      </c>
      <c r="Q128">
        <v>18.510000000000002</v>
      </c>
    </row>
    <row r="129" spans="1:17" x14ac:dyDescent="0.35">
      <c r="A129" s="1" t="s">
        <v>387</v>
      </c>
      <c r="B129" s="1" t="s">
        <v>173</v>
      </c>
      <c r="C129" s="1" t="s">
        <v>29</v>
      </c>
      <c r="D129" s="1" t="s">
        <v>143</v>
      </c>
      <c r="E129">
        <v>10</v>
      </c>
      <c r="F129" s="2">
        <v>45329</v>
      </c>
      <c r="G129" s="1" t="s">
        <v>1342</v>
      </c>
      <c r="H129" s="1" t="s">
        <v>1317</v>
      </c>
      <c r="I129" s="1" t="s">
        <v>1323</v>
      </c>
      <c r="J129">
        <v>80000</v>
      </c>
      <c r="K129">
        <v>92000</v>
      </c>
      <c r="L129" s="1" t="s">
        <v>30</v>
      </c>
      <c r="M129" s="1" t="s">
        <v>23</v>
      </c>
      <c r="N129" s="1" t="s">
        <v>31</v>
      </c>
      <c r="O129">
        <v>920000</v>
      </c>
      <c r="P129">
        <v>120000</v>
      </c>
      <c r="Q129">
        <v>13.04</v>
      </c>
    </row>
    <row r="130" spans="1:17" x14ac:dyDescent="0.35">
      <c r="A130" s="1" t="s">
        <v>389</v>
      </c>
      <c r="B130" s="1" t="s">
        <v>113</v>
      </c>
      <c r="C130" s="1" t="s">
        <v>82</v>
      </c>
      <c r="D130" s="1" t="s">
        <v>171</v>
      </c>
      <c r="E130">
        <v>10</v>
      </c>
      <c r="F130" s="2">
        <v>45539</v>
      </c>
      <c r="G130" s="1" t="s">
        <v>1346</v>
      </c>
      <c r="H130" s="1" t="s">
        <v>1311</v>
      </c>
      <c r="I130" s="1" t="s">
        <v>1323</v>
      </c>
      <c r="J130">
        <v>4500000</v>
      </c>
      <c r="K130">
        <v>5522000</v>
      </c>
      <c r="L130" s="1" t="s">
        <v>83</v>
      </c>
      <c r="M130" s="1" t="s">
        <v>23</v>
      </c>
      <c r="N130" s="1" t="s">
        <v>84</v>
      </c>
      <c r="O130">
        <v>55220000</v>
      </c>
      <c r="P130">
        <v>10220000</v>
      </c>
      <c r="Q130">
        <v>18.510000000000002</v>
      </c>
    </row>
    <row r="131" spans="1:17" x14ac:dyDescent="0.35">
      <c r="A131" s="1" t="s">
        <v>391</v>
      </c>
      <c r="B131" s="1" t="s">
        <v>248</v>
      </c>
      <c r="C131" s="1" t="s">
        <v>21</v>
      </c>
      <c r="D131" s="1" t="s">
        <v>157</v>
      </c>
      <c r="E131">
        <v>13</v>
      </c>
      <c r="F131" s="2">
        <v>45340</v>
      </c>
      <c r="G131" s="1" t="s">
        <v>1335</v>
      </c>
      <c r="H131" s="1" t="s">
        <v>1336</v>
      </c>
      <c r="I131" s="1" t="s">
        <v>41</v>
      </c>
      <c r="J131">
        <v>250000</v>
      </c>
      <c r="K131">
        <v>354000</v>
      </c>
      <c r="L131" s="1" t="s">
        <v>22</v>
      </c>
      <c r="M131" s="1" t="s">
        <v>23</v>
      </c>
      <c r="N131" s="1" t="s">
        <v>24</v>
      </c>
      <c r="O131">
        <v>4602000</v>
      </c>
      <c r="P131">
        <v>1352000</v>
      </c>
      <c r="Q131">
        <v>29.38</v>
      </c>
    </row>
    <row r="132" spans="1:17" x14ac:dyDescent="0.35">
      <c r="A132" s="1" t="s">
        <v>393</v>
      </c>
      <c r="B132" s="1" t="s">
        <v>272</v>
      </c>
      <c r="C132" s="1" t="s">
        <v>29</v>
      </c>
      <c r="D132" s="1" t="s">
        <v>171</v>
      </c>
      <c r="E132">
        <v>9</v>
      </c>
      <c r="F132" s="2">
        <v>45460</v>
      </c>
      <c r="G132" s="1" t="s">
        <v>1320</v>
      </c>
      <c r="H132" s="1" t="s">
        <v>1317</v>
      </c>
      <c r="I132" s="1" t="s">
        <v>1323</v>
      </c>
      <c r="J132">
        <v>650000</v>
      </c>
      <c r="K132">
        <v>741000</v>
      </c>
      <c r="L132" s="1" t="s">
        <v>30</v>
      </c>
      <c r="M132" s="1" t="s">
        <v>23</v>
      </c>
      <c r="N132" s="1" t="s">
        <v>31</v>
      </c>
      <c r="O132">
        <v>6669000</v>
      </c>
      <c r="P132">
        <v>819000</v>
      </c>
      <c r="Q132">
        <v>12.28</v>
      </c>
    </row>
    <row r="133" spans="1:17" x14ac:dyDescent="0.35">
      <c r="A133" s="1" t="s">
        <v>395</v>
      </c>
      <c r="B133" s="1" t="s">
        <v>141</v>
      </c>
      <c r="C133" s="1" t="s">
        <v>51</v>
      </c>
      <c r="D133" s="1" t="s">
        <v>143</v>
      </c>
      <c r="E133">
        <v>8</v>
      </c>
      <c r="F133" s="2">
        <v>45480</v>
      </c>
      <c r="G133" s="1" t="s">
        <v>1355</v>
      </c>
      <c r="H133" s="1" t="s">
        <v>1330</v>
      </c>
      <c r="I133" s="1" t="s">
        <v>41</v>
      </c>
      <c r="J133">
        <v>400000</v>
      </c>
      <c r="K133">
        <v>623000</v>
      </c>
      <c r="L133" s="1" t="s">
        <v>52</v>
      </c>
      <c r="M133" s="1" t="s">
        <v>23</v>
      </c>
      <c r="N133" s="1" t="s">
        <v>53</v>
      </c>
      <c r="O133">
        <v>4984000</v>
      </c>
      <c r="P133">
        <v>1784000</v>
      </c>
      <c r="Q133">
        <v>35.79</v>
      </c>
    </row>
    <row r="134" spans="1:17" x14ac:dyDescent="0.35">
      <c r="A134" s="1" t="s">
        <v>397</v>
      </c>
      <c r="B134" s="1" t="s">
        <v>149</v>
      </c>
      <c r="C134" s="1" t="s">
        <v>87</v>
      </c>
      <c r="D134" s="1" t="s">
        <v>124</v>
      </c>
      <c r="E134">
        <v>12</v>
      </c>
      <c r="F134" s="2">
        <v>45626</v>
      </c>
      <c r="G134" s="1" t="s">
        <v>1316</v>
      </c>
      <c r="H134" s="1" t="s">
        <v>1317</v>
      </c>
      <c r="I134" s="1" t="s">
        <v>41</v>
      </c>
      <c r="J134">
        <v>100000</v>
      </c>
      <c r="K134">
        <v>169000</v>
      </c>
      <c r="L134" s="1" t="s">
        <v>88</v>
      </c>
      <c r="M134" s="1" t="s">
        <v>10</v>
      </c>
      <c r="N134" s="1" t="s">
        <v>89</v>
      </c>
      <c r="O134">
        <v>2028000</v>
      </c>
      <c r="P134">
        <v>828000</v>
      </c>
      <c r="Q134">
        <v>40.83</v>
      </c>
    </row>
    <row r="135" spans="1:17" x14ac:dyDescent="0.35">
      <c r="A135" s="1" t="s">
        <v>399</v>
      </c>
      <c r="B135" s="1" t="s">
        <v>188</v>
      </c>
      <c r="C135" s="1" t="s">
        <v>21</v>
      </c>
      <c r="D135" s="1" t="s">
        <v>157</v>
      </c>
      <c r="E135">
        <v>15</v>
      </c>
      <c r="F135" s="2">
        <v>45478</v>
      </c>
      <c r="G135" s="1" t="s">
        <v>1327</v>
      </c>
      <c r="H135" s="1" t="s">
        <v>1311</v>
      </c>
      <c r="I135" s="1" t="s">
        <v>41</v>
      </c>
      <c r="J135">
        <v>2800000</v>
      </c>
      <c r="K135">
        <v>4747000</v>
      </c>
      <c r="L135" s="1" t="s">
        <v>22</v>
      </c>
      <c r="M135" s="1" t="s">
        <v>23</v>
      </c>
      <c r="N135" s="1" t="s">
        <v>24</v>
      </c>
      <c r="O135">
        <v>71205000</v>
      </c>
      <c r="P135">
        <v>29205000</v>
      </c>
      <c r="Q135">
        <v>41.02</v>
      </c>
    </row>
    <row r="136" spans="1:17" x14ac:dyDescent="0.35">
      <c r="A136" s="1" t="s">
        <v>401</v>
      </c>
      <c r="B136" s="1" t="s">
        <v>137</v>
      </c>
      <c r="C136" s="1" t="s">
        <v>57</v>
      </c>
      <c r="D136" s="1" t="s">
        <v>128</v>
      </c>
      <c r="E136">
        <v>11</v>
      </c>
      <c r="F136" s="2">
        <v>45302</v>
      </c>
      <c r="G136" s="1" t="s">
        <v>1324</v>
      </c>
      <c r="H136" s="1" t="s">
        <v>1311</v>
      </c>
      <c r="I136" s="1" t="s">
        <v>11</v>
      </c>
      <c r="J136">
        <v>2000000</v>
      </c>
      <c r="K136">
        <v>2533000</v>
      </c>
      <c r="L136" s="1" t="s">
        <v>58</v>
      </c>
      <c r="M136" s="1" t="s">
        <v>10</v>
      </c>
      <c r="N136" s="1" t="s">
        <v>59</v>
      </c>
      <c r="O136">
        <v>27863000</v>
      </c>
      <c r="P136">
        <v>5863000</v>
      </c>
      <c r="Q136">
        <v>21.04</v>
      </c>
    </row>
    <row r="137" spans="1:17" x14ac:dyDescent="0.35">
      <c r="A137" s="1" t="s">
        <v>403</v>
      </c>
      <c r="B137" s="1" t="s">
        <v>141</v>
      </c>
      <c r="C137" s="1" t="s">
        <v>35</v>
      </c>
      <c r="D137" s="1" t="s">
        <v>124</v>
      </c>
      <c r="E137">
        <v>7</v>
      </c>
      <c r="F137" s="2">
        <v>45401</v>
      </c>
      <c r="G137" s="1" t="s">
        <v>1355</v>
      </c>
      <c r="H137" s="1" t="s">
        <v>1330</v>
      </c>
      <c r="I137" s="1" t="s">
        <v>41</v>
      </c>
      <c r="J137">
        <v>400000</v>
      </c>
      <c r="K137">
        <v>623000</v>
      </c>
      <c r="L137" s="1" t="s">
        <v>36</v>
      </c>
      <c r="M137" s="1" t="s">
        <v>10</v>
      </c>
      <c r="N137" s="1" t="s">
        <v>11</v>
      </c>
      <c r="O137">
        <v>4361000</v>
      </c>
      <c r="P137">
        <v>1561000</v>
      </c>
      <c r="Q137">
        <v>35.79</v>
      </c>
    </row>
    <row r="138" spans="1:17" x14ac:dyDescent="0.35">
      <c r="A138" s="1" t="s">
        <v>405</v>
      </c>
      <c r="B138" s="1" t="s">
        <v>111</v>
      </c>
      <c r="C138" s="1" t="s">
        <v>51</v>
      </c>
      <c r="D138" s="1" t="s">
        <v>157</v>
      </c>
      <c r="E138">
        <v>13</v>
      </c>
      <c r="F138" s="2">
        <v>45594</v>
      </c>
      <c r="G138" s="1" t="s">
        <v>1344</v>
      </c>
      <c r="H138" s="1" t="s">
        <v>1311</v>
      </c>
      <c r="I138" s="1" t="s">
        <v>1323</v>
      </c>
      <c r="J138">
        <v>18000000</v>
      </c>
      <c r="K138">
        <v>27603000</v>
      </c>
      <c r="L138" s="1" t="s">
        <v>52</v>
      </c>
      <c r="M138" s="1" t="s">
        <v>23</v>
      </c>
      <c r="N138" s="1" t="s">
        <v>53</v>
      </c>
      <c r="O138">
        <v>358839000</v>
      </c>
      <c r="P138">
        <v>124839000</v>
      </c>
      <c r="Q138">
        <v>34.79</v>
      </c>
    </row>
    <row r="139" spans="1:17" x14ac:dyDescent="0.35">
      <c r="A139" s="1" t="s">
        <v>407</v>
      </c>
      <c r="B139" s="1" t="s">
        <v>164</v>
      </c>
      <c r="C139" s="1" t="s">
        <v>57</v>
      </c>
      <c r="D139" s="1" t="s">
        <v>157</v>
      </c>
      <c r="E139">
        <v>3</v>
      </c>
      <c r="F139" s="2">
        <v>45617</v>
      </c>
      <c r="G139" s="1" t="s">
        <v>1332</v>
      </c>
      <c r="H139" s="1" t="s">
        <v>1330</v>
      </c>
      <c r="I139" s="1" t="s">
        <v>11</v>
      </c>
      <c r="J139">
        <v>750000</v>
      </c>
      <c r="K139">
        <v>971000</v>
      </c>
      <c r="L139" s="1" t="s">
        <v>58</v>
      </c>
      <c r="M139" s="1" t="s">
        <v>10</v>
      </c>
      <c r="N139" s="1" t="s">
        <v>59</v>
      </c>
      <c r="O139">
        <v>2913000</v>
      </c>
      <c r="P139">
        <v>663000</v>
      </c>
      <c r="Q139">
        <v>22.76</v>
      </c>
    </row>
    <row r="140" spans="1:17" x14ac:dyDescent="0.35">
      <c r="A140" s="1" t="s">
        <v>409</v>
      </c>
      <c r="B140" s="1" t="s">
        <v>197</v>
      </c>
      <c r="C140" s="1" t="s">
        <v>8</v>
      </c>
      <c r="D140" s="1" t="s">
        <v>157</v>
      </c>
      <c r="E140">
        <v>5</v>
      </c>
      <c r="F140" s="2">
        <v>45317</v>
      </c>
      <c r="G140" s="1" t="s">
        <v>1350</v>
      </c>
      <c r="H140" s="1" t="s">
        <v>1336</v>
      </c>
      <c r="I140" s="1" t="s">
        <v>11</v>
      </c>
      <c r="J140">
        <v>1200000</v>
      </c>
      <c r="K140">
        <v>1375000</v>
      </c>
      <c r="L140" s="1" t="s">
        <v>9</v>
      </c>
      <c r="M140" s="1" t="s">
        <v>10</v>
      </c>
      <c r="N140" s="1" t="s">
        <v>11</v>
      </c>
      <c r="O140">
        <v>6875000</v>
      </c>
      <c r="P140">
        <v>875000</v>
      </c>
      <c r="Q140">
        <v>12.73</v>
      </c>
    </row>
    <row r="141" spans="1:17" x14ac:dyDescent="0.35">
      <c r="A141" s="1" t="s">
        <v>411</v>
      </c>
      <c r="B141" s="1" t="s">
        <v>172</v>
      </c>
      <c r="C141" s="1" t="s">
        <v>87</v>
      </c>
      <c r="D141" s="1" t="s">
        <v>128</v>
      </c>
      <c r="E141">
        <v>11</v>
      </c>
      <c r="F141" s="2">
        <v>45412</v>
      </c>
      <c r="G141" s="1" t="s">
        <v>1340</v>
      </c>
      <c r="H141" s="1" t="s">
        <v>1330</v>
      </c>
      <c r="I141" s="1" t="s">
        <v>41</v>
      </c>
      <c r="J141">
        <v>950000</v>
      </c>
      <c r="K141">
        <v>1649000</v>
      </c>
      <c r="L141" s="1" t="s">
        <v>88</v>
      </c>
      <c r="M141" s="1" t="s">
        <v>10</v>
      </c>
      <c r="N141" s="1" t="s">
        <v>89</v>
      </c>
      <c r="O141">
        <v>18139000</v>
      </c>
      <c r="P141">
        <v>7689000</v>
      </c>
      <c r="Q141">
        <v>42.39</v>
      </c>
    </row>
    <row r="142" spans="1:17" x14ac:dyDescent="0.35">
      <c r="A142" s="1" t="s">
        <v>413</v>
      </c>
      <c r="B142" s="1" t="s">
        <v>272</v>
      </c>
      <c r="C142" s="1" t="s">
        <v>51</v>
      </c>
      <c r="D142" s="1" t="s">
        <v>171</v>
      </c>
      <c r="E142">
        <v>14</v>
      </c>
      <c r="F142" s="2">
        <v>45463</v>
      </c>
      <c r="G142" s="1" t="s">
        <v>1320</v>
      </c>
      <c r="H142" s="1" t="s">
        <v>1317</v>
      </c>
      <c r="I142" s="1" t="s">
        <v>1323</v>
      </c>
      <c r="J142">
        <v>650000</v>
      </c>
      <c r="K142">
        <v>741000</v>
      </c>
      <c r="L142" s="1" t="s">
        <v>52</v>
      </c>
      <c r="M142" s="1" t="s">
        <v>23</v>
      </c>
      <c r="N142" s="1" t="s">
        <v>53</v>
      </c>
      <c r="O142">
        <v>10374000</v>
      </c>
      <c r="P142">
        <v>1274000</v>
      </c>
      <c r="Q142">
        <v>12.28</v>
      </c>
    </row>
    <row r="143" spans="1:17" x14ac:dyDescent="0.35">
      <c r="A143" s="1" t="s">
        <v>415</v>
      </c>
      <c r="B143" s="1" t="s">
        <v>172</v>
      </c>
      <c r="C143" s="1" t="s">
        <v>63</v>
      </c>
      <c r="D143" s="1" t="s">
        <v>143</v>
      </c>
      <c r="E143">
        <v>4</v>
      </c>
      <c r="F143" s="2">
        <v>45618</v>
      </c>
      <c r="G143" s="1" t="s">
        <v>1340</v>
      </c>
      <c r="H143" s="1" t="s">
        <v>1330</v>
      </c>
      <c r="I143" s="1" t="s">
        <v>41</v>
      </c>
      <c r="J143">
        <v>950000</v>
      </c>
      <c r="K143">
        <v>1649000</v>
      </c>
      <c r="L143" s="1" t="s">
        <v>64</v>
      </c>
      <c r="M143" s="1" t="s">
        <v>23</v>
      </c>
      <c r="N143" s="1" t="s">
        <v>65</v>
      </c>
      <c r="O143">
        <v>6596000</v>
      </c>
      <c r="P143">
        <v>2796000</v>
      </c>
      <c r="Q143">
        <v>42.39</v>
      </c>
    </row>
    <row r="144" spans="1:17" x14ac:dyDescent="0.35">
      <c r="A144" s="1" t="s">
        <v>417</v>
      </c>
      <c r="B144" s="1" t="s">
        <v>173</v>
      </c>
      <c r="C144" s="1" t="s">
        <v>8</v>
      </c>
      <c r="D144" s="1" t="s">
        <v>171</v>
      </c>
      <c r="E144">
        <v>15</v>
      </c>
      <c r="F144" s="2">
        <v>45409</v>
      </c>
      <c r="G144" s="1" t="s">
        <v>1342</v>
      </c>
      <c r="H144" s="1" t="s">
        <v>1317</v>
      </c>
      <c r="I144" s="1" t="s">
        <v>1323</v>
      </c>
      <c r="J144">
        <v>80000</v>
      </c>
      <c r="K144">
        <v>92000</v>
      </c>
      <c r="L144" s="1" t="s">
        <v>9</v>
      </c>
      <c r="M144" s="1" t="s">
        <v>10</v>
      </c>
      <c r="N144" s="1" t="s">
        <v>11</v>
      </c>
      <c r="O144">
        <v>1380000</v>
      </c>
      <c r="P144">
        <v>180000</v>
      </c>
      <c r="Q144">
        <v>13.04</v>
      </c>
    </row>
    <row r="145" spans="1:17" x14ac:dyDescent="0.35">
      <c r="A145" s="1" t="s">
        <v>420</v>
      </c>
      <c r="B145" s="1" t="s">
        <v>164</v>
      </c>
      <c r="C145" s="1" t="s">
        <v>51</v>
      </c>
      <c r="D145" s="1" t="s">
        <v>157</v>
      </c>
      <c r="E145">
        <v>13</v>
      </c>
      <c r="F145" s="2">
        <v>45567</v>
      </c>
      <c r="G145" s="1" t="s">
        <v>1332</v>
      </c>
      <c r="H145" s="1" t="s">
        <v>1330</v>
      </c>
      <c r="I145" s="1" t="s">
        <v>11</v>
      </c>
      <c r="J145">
        <v>750000</v>
      </c>
      <c r="K145">
        <v>971000</v>
      </c>
      <c r="L145" s="1" t="s">
        <v>52</v>
      </c>
      <c r="M145" s="1" t="s">
        <v>23</v>
      </c>
      <c r="N145" s="1" t="s">
        <v>53</v>
      </c>
      <c r="O145">
        <v>12623000</v>
      </c>
      <c r="P145">
        <v>2873000</v>
      </c>
      <c r="Q145">
        <v>22.76</v>
      </c>
    </row>
    <row r="146" spans="1:17" x14ac:dyDescent="0.35">
      <c r="A146" s="1" t="s">
        <v>422</v>
      </c>
      <c r="B146" s="1" t="s">
        <v>197</v>
      </c>
      <c r="C146" s="1" t="s">
        <v>35</v>
      </c>
      <c r="D146" s="1" t="s">
        <v>128</v>
      </c>
      <c r="E146">
        <v>4</v>
      </c>
      <c r="F146" s="2">
        <v>45323</v>
      </c>
      <c r="G146" s="1" t="s">
        <v>1350</v>
      </c>
      <c r="H146" s="1" t="s">
        <v>1336</v>
      </c>
      <c r="I146" s="1" t="s">
        <v>11</v>
      </c>
      <c r="J146">
        <v>1200000</v>
      </c>
      <c r="K146">
        <v>1375000</v>
      </c>
      <c r="L146" s="1" t="s">
        <v>36</v>
      </c>
      <c r="M146" s="1" t="s">
        <v>10</v>
      </c>
      <c r="N146" s="1" t="s">
        <v>11</v>
      </c>
      <c r="O146">
        <v>5500000</v>
      </c>
      <c r="P146">
        <v>700000</v>
      </c>
      <c r="Q146">
        <v>12.73</v>
      </c>
    </row>
    <row r="147" spans="1:17" x14ac:dyDescent="0.35">
      <c r="A147" s="1" t="s">
        <v>424</v>
      </c>
      <c r="B147" s="1" t="s">
        <v>248</v>
      </c>
      <c r="C147" s="1" t="s">
        <v>63</v>
      </c>
      <c r="D147" s="1" t="s">
        <v>157</v>
      </c>
      <c r="E147">
        <v>13</v>
      </c>
      <c r="F147" s="2">
        <v>45341</v>
      </c>
      <c r="G147" s="1" t="s">
        <v>1335</v>
      </c>
      <c r="H147" s="1" t="s">
        <v>1336</v>
      </c>
      <c r="I147" s="1" t="s">
        <v>41</v>
      </c>
      <c r="J147">
        <v>250000</v>
      </c>
      <c r="K147">
        <v>354000</v>
      </c>
      <c r="L147" s="1" t="s">
        <v>64</v>
      </c>
      <c r="M147" s="1" t="s">
        <v>23</v>
      </c>
      <c r="N147" s="1" t="s">
        <v>65</v>
      </c>
      <c r="O147">
        <v>4602000</v>
      </c>
      <c r="P147">
        <v>1352000</v>
      </c>
      <c r="Q147">
        <v>29.38</v>
      </c>
    </row>
    <row r="148" spans="1:17" x14ac:dyDescent="0.35">
      <c r="A148" s="1" t="s">
        <v>426</v>
      </c>
      <c r="B148" s="1" t="s">
        <v>133</v>
      </c>
      <c r="C148" s="1" t="s">
        <v>69</v>
      </c>
      <c r="D148" s="1" t="s">
        <v>121</v>
      </c>
      <c r="E148">
        <v>4</v>
      </c>
      <c r="F148" s="2">
        <v>45652</v>
      </c>
      <c r="G148" s="1" t="s">
        <v>1354</v>
      </c>
      <c r="H148" s="1" t="s">
        <v>1330</v>
      </c>
      <c r="I148" s="1" t="s">
        <v>11</v>
      </c>
      <c r="J148">
        <v>2500000</v>
      </c>
      <c r="K148">
        <v>3080000</v>
      </c>
      <c r="L148" s="1" t="s">
        <v>70</v>
      </c>
      <c r="M148" s="1" t="s">
        <v>10</v>
      </c>
      <c r="N148" s="1" t="s">
        <v>11</v>
      </c>
      <c r="O148">
        <v>12320000</v>
      </c>
      <c r="P148">
        <v>2320000</v>
      </c>
      <c r="Q148">
        <v>18.829999999999998</v>
      </c>
    </row>
    <row r="149" spans="1:17" x14ac:dyDescent="0.35">
      <c r="A149" s="1" t="s">
        <v>428</v>
      </c>
      <c r="B149" s="1" t="s">
        <v>149</v>
      </c>
      <c r="C149" s="1" t="s">
        <v>51</v>
      </c>
      <c r="D149" s="1" t="s">
        <v>128</v>
      </c>
      <c r="E149">
        <v>3</v>
      </c>
      <c r="F149" s="2">
        <v>45394</v>
      </c>
      <c r="G149" s="1" t="s">
        <v>1316</v>
      </c>
      <c r="H149" s="1" t="s">
        <v>1317</v>
      </c>
      <c r="I149" s="1" t="s">
        <v>41</v>
      </c>
      <c r="J149">
        <v>100000</v>
      </c>
      <c r="K149">
        <v>169000</v>
      </c>
      <c r="L149" s="1" t="s">
        <v>52</v>
      </c>
      <c r="M149" s="1" t="s">
        <v>23</v>
      </c>
      <c r="N149" s="1" t="s">
        <v>53</v>
      </c>
      <c r="O149">
        <v>507000</v>
      </c>
      <c r="P149">
        <v>207000</v>
      </c>
      <c r="Q149">
        <v>40.83</v>
      </c>
    </row>
    <row r="150" spans="1:17" x14ac:dyDescent="0.35">
      <c r="A150" s="1" t="s">
        <v>430</v>
      </c>
      <c r="B150" s="1" t="s">
        <v>137</v>
      </c>
      <c r="C150" s="1" t="s">
        <v>63</v>
      </c>
      <c r="D150" s="1" t="s">
        <v>124</v>
      </c>
      <c r="E150">
        <v>10</v>
      </c>
      <c r="F150" s="2">
        <v>45361</v>
      </c>
      <c r="G150" s="1" t="s">
        <v>1324</v>
      </c>
      <c r="H150" s="1" t="s">
        <v>1311</v>
      </c>
      <c r="I150" s="1" t="s">
        <v>11</v>
      </c>
      <c r="J150">
        <v>2000000</v>
      </c>
      <c r="K150">
        <v>2533000</v>
      </c>
      <c r="L150" s="1" t="s">
        <v>64</v>
      </c>
      <c r="M150" s="1" t="s">
        <v>23</v>
      </c>
      <c r="N150" s="1" t="s">
        <v>65</v>
      </c>
      <c r="O150">
        <v>25330000</v>
      </c>
      <c r="P150">
        <v>5330000</v>
      </c>
      <c r="Q150">
        <v>21.04</v>
      </c>
    </row>
    <row r="151" spans="1:17" x14ac:dyDescent="0.35">
      <c r="A151" s="1" t="s">
        <v>432</v>
      </c>
      <c r="B151" s="1" t="s">
        <v>164</v>
      </c>
      <c r="C151" s="1" t="s">
        <v>51</v>
      </c>
      <c r="D151" s="1" t="s">
        <v>157</v>
      </c>
      <c r="E151">
        <v>1</v>
      </c>
      <c r="F151" s="2">
        <v>45434</v>
      </c>
      <c r="G151" s="1" t="s">
        <v>1332</v>
      </c>
      <c r="H151" s="1" t="s">
        <v>1330</v>
      </c>
      <c r="I151" s="1" t="s">
        <v>11</v>
      </c>
      <c r="J151">
        <v>750000</v>
      </c>
      <c r="K151">
        <v>971000</v>
      </c>
      <c r="L151" s="1" t="s">
        <v>52</v>
      </c>
      <c r="M151" s="1" t="s">
        <v>23</v>
      </c>
      <c r="N151" s="1" t="s">
        <v>53</v>
      </c>
      <c r="O151">
        <v>971000</v>
      </c>
      <c r="P151">
        <v>221000</v>
      </c>
      <c r="Q151">
        <v>22.76</v>
      </c>
    </row>
    <row r="152" spans="1:17" x14ac:dyDescent="0.35">
      <c r="A152" s="1" t="s">
        <v>434</v>
      </c>
      <c r="B152" s="1" t="s">
        <v>137</v>
      </c>
      <c r="C152" s="1" t="s">
        <v>35</v>
      </c>
      <c r="D152" s="1" t="s">
        <v>128</v>
      </c>
      <c r="E152">
        <v>11</v>
      </c>
      <c r="F152" s="2">
        <v>45312</v>
      </c>
      <c r="G152" s="1" t="s">
        <v>1324</v>
      </c>
      <c r="H152" s="1" t="s">
        <v>1311</v>
      </c>
      <c r="I152" s="1" t="s">
        <v>11</v>
      </c>
      <c r="J152">
        <v>2000000</v>
      </c>
      <c r="K152">
        <v>2533000</v>
      </c>
      <c r="L152" s="1" t="s">
        <v>36</v>
      </c>
      <c r="M152" s="1" t="s">
        <v>10</v>
      </c>
      <c r="N152" s="1" t="s">
        <v>11</v>
      </c>
      <c r="O152">
        <v>27863000</v>
      </c>
      <c r="P152">
        <v>5863000</v>
      </c>
      <c r="Q152">
        <v>21.04</v>
      </c>
    </row>
    <row r="153" spans="1:17" x14ac:dyDescent="0.35">
      <c r="A153" s="1" t="s">
        <v>436</v>
      </c>
      <c r="B153" s="1" t="s">
        <v>188</v>
      </c>
      <c r="C153" s="1" t="s">
        <v>63</v>
      </c>
      <c r="D153" s="1" t="s">
        <v>157</v>
      </c>
      <c r="E153">
        <v>13</v>
      </c>
      <c r="F153" s="2">
        <v>45391</v>
      </c>
      <c r="G153" s="1" t="s">
        <v>1327</v>
      </c>
      <c r="H153" s="1" t="s">
        <v>1311</v>
      </c>
      <c r="I153" s="1" t="s">
        <v>41</v>
      </c>
      <c r="J153">
        <v>2800000</v>
      </c>
      <c r="K153">
        <v>4747000</v>
      </c>
      <c r="L153" s="1" t="s">
        <v>64</v>
      </c>
      <c r="M153" s="1" t="s">
        <v>23</v>
      </c>
      <c r="N153" s="1" t="s">
        <v>65</v>
      </c>
      <c r="O153">
        <v>61711000</v>
      </c>
      <c r="P153">
        <v>25311000</v>
      </c>
      <c r="Q153">
        <v>41.02</v>
      </c>
    </row>
    <row r="154" spans="1:17" x14ac:dyDescent="0.35">
      <c r="A154" s="1" t="s">
        <v>438</v>
      </c>
      <c r="B154" s="1" t="s">
        <v>149</v>
      </c>
      <c r="C154" s="1" t="s">
        <v>39</v>
      </c>
      <c r="D154" s="1" t="s">
        <v>143</v>
      </c>
      <c r="E154">
        <v>1</v>
      </c>
      <c r="F154" s="2">
        <v>45635</v>
      </c>
      <c r="G154" s="1" t="s">
        <v>1316</v>
      </c>
      <c r="H154" s="1" t="s">
        <v>1317</v>
      </c>
      <c r="I154" s="1" t="s">
        <v>41</v>
      </c>
      <c r="J154">
        <v>100000</v>
      </c>
      <c r="K154">
        <v>169000</v>
      </c>
      <c r="L154" s="1" t="s">
        <v>40</v>
      </c>
      <c r="M154" s="1" t="s">
        <v>23</v>
      </c>
      <c r="N154" s="1" t="s">
        <v>41</v>
      </c>
      <c r="O154">
        <v>169000</v>
      </c>
      <c r="P154">
        <v>69000</v>
      </c>
      <c r="Q154">
        <v>40.83</v>
      </c>
    </row>
    <row r="155" spans="1:17" x14ac:dyDescent="0.35">
      <c r="A155" s="1" t="s">
        <v>440</v>
      </c>
      <c r="B155" s="1" t="s">
        <v>240</v>
      </c>
      <c r="C155" s="1" t="s">
        <v>73</v>
      </c>
      <c r="D155" s="1" t="s">
        <v>121</v>
      </c>
      <c r="E155">
        <v>3</v>
      </c>
      <c r="F155" s="2">
        <v>45413</v>
      </c>
      <c r="G155" s="1" t="s">
        <v>1326</v>
      </c>
      <c r="H155" s="1" t="s">
        <v>1317</v>
      </c>
      <c r="I155" s="1" t="s">
        <v>41</v>
      </c>
      <c r="J155">
        <v>350000</v>
      </c>
      <c r="K155">
        <v>626000</v>
      </c>
      <c r="L155" s="1" t="s">
        <v>74</v>
      </c>
      <c r="M155" s="1" t="s">
        <v>23</v>
      </c>
      <c r="N155" s="1" t="s">
        <v>75</v>
      </c>
      <c r="O155">
        <v>1878000</v>
      </c>
      <c r="P155">
        <v>828000</v>
      </c>
      <c r="Q155">
        <v>44.09</v>
      </c>
    </row>
    <row r="156" spans="1:17" x14ac:dyDescent="0.35">
      <c r="A156" s="1" t="s">
        <v>442</v>
      </c>
      <c r="B156" s="1" t="s">
        <v>106</v>
      </c>
      <c r="C156" s="1" t="s">
        <v>45</v>
      </c>
      <c r="D156" s="1" t="s">
        <v>157</v>
      </c>
      <c r="E156">
        <v>15</v>
      </c>
      <c r="F156" s="2">
        <v>45327</v>
      </c>
      <c r="G156" s="1" t="s">
        <v>1348</v>
      </c>
      <c r="H156" s="1" t="s">
        <v>1317</v>
      </c>
      <c r="I156" s="1" t="s">
        <v>1323</v>
      </c>
      <c r="J156">
        <v>300000</v>
      </c>
      <c r="K156">
        <v>355000</v>
      </c>
      <c r="L156" s="1" t="s">
        <v>46</v>
      </c>
      <c r="M156" s="1" t="s">
        <v>10</v>
      </c>
      <c r="N156" s="1" t="s">
        <v>47</v>
      </c>
      <c r="O156">
        <v>5325000</v>
      </c>
      <c r="P156">
        <v>825000</v>
      </c>
      <c r="Q156">
        <v>15.49</v>
      </c>
    </row>
    <row r="157" spans="1:17" x14ac:dyDescent="0.35">
      <c r="A157" s="1" t="s">
        <v>444</v>
      </c>
      <c r="B157" s="1" t="s">
        <v>172</v>
      </c>
      <c r="C157" s="1" t="s">
        <v>39</v>
      </c>
      <c r="D157" s="1" t="s">
        <v>143</v>
      </c>
      <c r="E157">
        <v>1</v>
      </c>
      <c r="F157" s="2">
        <v>45546</v>
      </c>
      <c r="G157" s="1" t="s">
        <v>1340</v>
      </c>
      <c r="H157" s="1" t="s">
        <v>1330</v>
      </c>
      <c r="I157" s="1" t="s">
        <v>41</v>
      </c>
      <c r="J157">
        <v>950000</v>
      </c>
      <c r="K157">
        <v>1649000</v>
      </c>
      <c r="L157" s="1" t="s">
        <v>40</v>
      </c>
      <c r="M157" s="1" t="s">
        <v>23</v>
      </c>
      <c r="N157" s="1" t="s">
        <v>41</v>
      </c>
      <c r="O157">
        <v>1649000</v>
      </c>
      <c r="P157">
        <v>699000</v>
      </c>
      <c r="Q157">
        <v>42.39</v>
      </c>
    </row>
    <row r="158" spans="1:17" x14ac:dyDescent="0.35">
      <c r="A158" s="1" t="s">
        <v>446</v>
      </c>
      <c r="B158" s="1" t="s">
        <v>141</v>
      </c>
      <c r="C158" s="1" t="s">
        <v>63</v>
      </c>
      <c r="D158" s="1" t="s">
        <v>124</v>
      </c>
      <c r="E158">
        <v>6</v>
      </c>
      <c r="F158" s="2">
        <v>45321</v>
      </c>
      <c r="G158" s="1" t="s">
        <v>1355</v>
      </c>
      <c r="H158" s="1" t="s">
        <v>1330</v>
      </c>
      <c r="I158" s="1" t="s">
        <v>41</v>
      </c>
      <c r="J158">
        <v>400000</v>
      </c>
      <c r="K158">
        <v>623000</v>
      </c>
      <c r="L158" s="1" t="s">
        <v>64</v>
      </c>
      <c r="M158" s="1" t="s">
        <v>23</v>
      </c>
      <c r="N158" s="1" t="s">
        <v>65</v>
      </c>
      <c r="O158">
        <v>3738000</v>
      </c>
      <c r="P158">
        <v>1338000</v>
      </c>
      <c r="Q158">
        <v>35.79</v>
      </c>
    </row>
    <row r="159" spans="1:17" x14ac:dyDescent="0.35">
      <c r="A159" s="1" t="s">
        <v>448</v>
      </c>
      <c r="B159" s="1" t="s">
        <v>172</v>
      </c>
      <c r="C159" s="1" t="s">
        <v>8</v>
      </c>
      <c r="D159" s="1" t="s">
        <v>128</v>
      </c>
      <c r="E159">
        <v>3</v>
      </c>
      <c r="F159" s="2">
        <v>45354</v>
      </c>
      <c r="G159" s="1" t="s">
        <v>1340</v>
      </c>
      <c r="H159" s="1" t="s">
        <v>1330</v>
      </c>
      <c r="I159" s="1" t="s">
        <v>41</v>
      </c>
      <c r="J159">
        <v>950000</v>
      </c>
      <c r="K159">
        <v>1649000</v>
      </c>
      <c r="L159" s="1" t="s">
        <v>9</v>
      </c>
      <c r="M159" s="1" t="s">
        <v>10</v>
      </c>
      <c r="N159" s="1" t="s">
        <v>11</v>
      </c>
      <c r="O159">
        <v>4947000</v>
      </c>
      <c r="P159">
        <v>2097000</v>
      </c>
      <c r="Q159">
        <v>42.39</v>
      </c>
    </row>
    <row r="160" spans="1:17" x14ac:dyDescent="0.35">
      <c r="A160" s="1" t="s">
        <v>450</v>
      </c>
      <c r="B160" s="1" t="s">
        <v>113</v>
      </c>
      <c r="C160" s="1" t="s">
        <v>69</v>
      </c>
      <c r="D160" s="1" t="s">
        <v>157</v>
      </c>
      <c r="E160">
        <v>1</v>
      </c>
      <c r="F160" s="2">
        <v>45546</v>
      </c>
      <c r="G160" s="1" t="s">
        <v>1346</v>
      </c>
      <c r="H160" s="1" t="s">
        <v>1311</v>
      </c>
      <c r="I160" s="1" t="s">
        <v>1323</v>
      </c>
      <c r="J160">
        <v>4500000</v>
      </c>
      <c r="K160">
        <v>5522000</v>
      </c>
      <c r="L160" s="1" t="s">
        <v>70</v>
      </c>
      <c r="M160" s="1" t="s">
        <v>10</v>
      </c>
      <c r="N160" s="1" t="s">
        <v>11</v>
      </c>
      <c r="O160">
        <v>5522000</v>
      </c>
      <c r="P160">
        <v>1022000</v>
      </c>
      <c r="Q160">
        <v>18.510000000000002</v>
      </c>
    </row>
    <row r="161" spans="1:17" x14ac:dyDescent="0.35">
      <c r="A161" s="1" t="s">
        <v>452</v>
      </c>
      <c r="B161" s="1" t="s">
        <v>111</v>
      </c>
      <c r="C161" s="1" t="s">
        <v>29</v>
      </c>
      <c r="D161" s="1" t="s">
        <v>157</v>
      </c>
      <c r="E161">
        <v>2</v>
      </c>
      <c r="F161" s="2">
        <v>45652</v>
      </c>
      <c r="G161" s="1" t="s">
        <v>1344</v>
      </c>
      <c r="H161" s="1" t="s">
        <v>1311</v>
      </c>
      <c r="I161" s="1" t="s">
        <v>1323</v>
      </c>
      <c r="J161">
        <v>18000000</v>
      </c>
      <c r="K161">
        <v>27603000</v>
      </c>
      <c r="L161" s="1" t="s">
        <v>30</v>
      </c>
      <c r="M161" s="1" t="s">
        <v>23</v>
      </c>
      <c r="N161" s="1" t="s">
        <v>31</v>
      </c>
      <c r="O161">
        <v>55206000</v>
      </c>
      <c r="P161">
        <v>19206000</v>
      </c>
      <c r="Q161">
        <v>34.79</v>
      </c>
    </row>
    <row r="162" spans="1:17" x14ac:dyDescent="0.35">
      <c r="A162" s="1" t="s">
        <v>454</v>
      </c>
      <c r="B162" s="1" t="s">
        <v>168</v>
      </c>
      <c r="C162" s="1" t="s">
        <v>39</v>
      </c>
      <c r="D162" s="1" t="s">
        <v>121</v>
      </c>
      <c r="E162">
        <v>14</v>
      </c>
      <c r="F162" s="2">
        <v>45631</v>
      </c>
      <c r="G162" s="1" t="s">
        <v>1338</v>
      </c>
      <c r="H162" s="1" t="s">
        <v>1336</v>
      </c>
      <c r="I162" s="1" t="s">
        <v>41</v>
      </c>
      <c r="J162">
        <v>500000</v>
      </c>
      <c r="K162">
        <v>844000</v>
      </c>
      <c r="L162" s="1" t="s">
        <v>40</v>
      </c>
      <c r="M162" s="1" t="s">
        <v>23</v>
      </c>
      <c r="N162" s="1" t="s">
        <v>41</v>
      </c>
      <c r="O162">
        <v>11816000</v>
      </c>
      <c r="P162">
        <v>4816000</v>
      </c>
      <c r="Q162">
        <v>40.76</v>
      </c>
    </row>
    <row r="163" spans="1:17" x14ac:dyDescent="0.35">
      <c r="A163" s="1" t="s">
        <v>456</v>
      </c>
      <c r="B163" s="1" t="s">
        <v>272</v>
      </c>
      <c r="C163" s="1" t="s">
        <v>82</v>
      </c>
      <c r="D163" s="1" t="s">
        <v>143</v>
      </c>
      <c r="E163">
        <v>8</v>
      </c>
      <c r="F163" s="2">
        <v>45419</v>
      </c>
      <c r="G163" s="1" t="s">
        <v>1320</v>
      </c>
      <c r="H163" s="1" t="s">
        <v>1317</v>
      </c>
      <c r="I163" s="1" t="s">
        <v>1323</v>
      </c>
      <c r="J163">
        <v>650000</v>
      </c>
      <c r="K163">
        <v>741000</v>
      </c>
      <c r="L163" s="1" t="s">
        <v>83</v>
      </c>
      <c r="M163" s="1" t="s">
        <v>23</v>
      </c>
      <c r="N163" s="1" t="s">
        <v>84</v>
      </c>
      <c r="O163">
        <v>5928000</v>
      </c>
      <c r="P163">
        <v>728000</v>
      </c>
      <c r="Q163">
        <v>12.28</v>
      </c>
    </row>
    <row r="164" spans="1:17" x14ac:dyDescent="0.35">
      <c r="A164" s="1" t="s">
        <v>458</v>
      </c>
      <c r="B164" s="1" t="s">
        <v>149</v>
      </c>
      <c r="C164" s="1" t="s">
        <v>45</v>
      </c>
      <c r="D164" s="1" t="s">
        <v>143</v>
      </c>
      <c r="E164">
        <v>12</v>
      </c>
      <c r="F164" s="2">
        <v>45530</v>
      </c>
      <c r="G164" s="1" t="s">
        <v>1316</v>
      </c>
      <c r="H164" s="1" t="s">
        <v>1317</v>
      </c>
      <c r="I164" s="1" t="s">
        <v>41</v>
      </c>
      <c r="J164">
        <v>100000</v>
      </c>
      <c r="K164">
        <v>169000</v>
      </c>
      <c r="L164" s="1" t="s">
        <v>46</v>
      </c>
      <c r="M164" s="1" t="s">
        <v>10</v>
      </c>
      <c r="N164" s="1" t="s">
        <v>47</v>
      </c>
      <c r="O164">
        <v>2028000</v>
      </c>
      <c r="P164">
        <v>828000</v>
      </c>
      <c r="Q164">
        <v>40.83</v>
      </c>
    </row>
    <row r="165" spans="1:17" x14ac:dyDescent="0.35">
      <c r="A165" s="1" t="s">
        <v>460</v>
      </c>
      <c r="B165" s="1" t="s">
        <v>111</v>
      </c>
      <c r="C165" s="1" t="s">
        <v>15</v>
      </c>
      <c r="D165" s="1" t="s">
        <v>128</v>
      </c>
      <c r="E165">
        <v>4</v>
      </c>
      <c r="F165" s="2">
        <v>45424</v>
      </c>
      <c r="G165" s="1" t="s">
        <v>1344</v>
      </c>
      <c r="H165" s="1" t="s">
        <v>1311</v>
      </c>
      <c r="I165" s="1" t="s">
        <v>1323</v>
      </c>
      <c r="J165">
        <v>18000000</v>
      </c>
      <c r="K165">
        <v>27603000</v>
      </c>
      <c r="L165" s="1" t="s">
        <v>16</v>
      </c>
      <c r="M165" s="1" t="s">
        <v>10</v>
      </c>
      <c r="N165" s="1" t="s">
        <v>17</v>
      </c>
      <c r="O165">
        <v>110412000</v>
      </c>
      <c r="P165">
        <v>38412000</v>
      </c>
      <c r="Q165">
        <v>34.79</v>
      </c>
    </row>
    <row r="166" spans="1:17" x14ac:dyDescent="0.35">
      <c r="A166" s="1" t="s">
        <v>462</v>
      </c>
      <c r="B166" s="1" t="s">
        <v>141</v>
      </c>
      <c r="C166" s="1" t="s">
        <v>45</v>
      </c>
      <c r="D166" s="1" t="s">
        <v>128</v>
      </c>
      <c r="E166">
        <v>3</v>
      </c>
      <c r="F166" s="2">
        <v>45598</v>
      </c>
      <c r="G166" s="1" t="s">
        <v>1355</v>
      </c>
      <c r="H166" s="1" t="s">
        <v>1330</v>
      </c>
      <c r="I166" s="1" t="s">
        <v>41</v>
      </c>
      <c r="J166">
        <v>400000</v>
      </c>
      <c r="K166">
        <v>623000</v>
      </c>
      <c r="L166" s="1" t="s">
        <v>46</v>
      </c>
      <c r="M166" s="1" t="s">
        <v>10</v>
      </c>
      <c r="N166" s="1" t="s">
        <v>47</v>
      </c>
      <c r="O166">
        <v>1869000</v>
      </c>
      <c r="P166">
        <v>669000</v>
      </c>
      <c r="Q166">
        <v>35.79</v>
      </c>
    </row>
    <row r="167" spans="1:17" x14ac:dyDescent="0.35">
      <c r="A167" s="1" t="s">
        <v>463</v>
      </c>
      <c r="B167" s="1" t="s">
        <v>172</v>
      </c>
      <c r="C167" s="1" t="s">
        <v>29</v>
      </c>
      <c r="D167" s="1" t="s">
        <v>143</v>
      </c>
      <c r="E167">
        <v>11</v>
      </c>
      <c r="F167" s="2">
        <v>45563</v>
      </c>
      <c r="G167" s="1" t="s">
        <v>1340</v>
      </c>
      <c r="H167" s="1" t="s">
        <v>1330</v>
      </c>
      <c r="I167" s="1" t="s">
        <v>41</v>
      </c>
      <c r="J167">
        <v>950000</v>
      </c>
      <c r="K167">
        <v>1649000</v>
      </c>
      <c r="L167" s="1" t="s">
        <v>30</v>
      </c>
      <c r="M167" s="1" t="s">
        <v>23</v>
      </c>
      <c r="N167" s="1" t="s">
        <v>31</v>
      </c>
      <c r="O167">
        <v>18139000</v>
      </c>
      <c r="P167">
        <v>7689000</v>
      </c>
      <c r="Q167">
        <v>42.39</v>
      </c>
    </row>
    <row r="168" spans="1:17" x14ac:dyDescent="0.35">
      <c r="A168" s="1" t="s">
        <v>464</v>
      </c>
      <c r="B168" s="1" t="s">
        <v>149</v>
      </c>
      <c r="C168" s="1" t="s">
        <v>8</v>
      </c>
      <c r="D168" s="1" t="s">
        <v>143</v>
      </c>
      <c r="E168">
        <v>9</v>
      </c>
      <c r="F168" s="2">
        <v>45393</v>
      </c>
      <c r="G168" s="1" t="s">
        <v>1316</v>
      </c>
      <c r="H168" s="1" t="s">
        <v>1317</v>
      </c>
      <c r="I168" s="1" t="s">
        <v>41</v>
      </c>
      <c r="J168">
        <v>100000</v>
      </c>
      <c r="K168">
        <v>169000</v>
      </c>
      <c r="L168" s="1" t="s">
        <v>9</v>
      </c>
      <c r="M168" s="1" t="s">
        <v>10</v>
      </c>
      <c r="N168" s="1" t="s">
        <v>11</v>
      </c>
      <c r="O168">
        <v>1521000</v>
      </c>
      <c r="P168">
        <v>621000</v>
      </c>
      <c r="Q168">
        <v>40.83</v>
      </c>
    </row>
    <row r="169" spans="1:17" x14ac:dyDescent="0.35">
      <c r="A169" s="1" t="s">
        <v>465</v>
      </c>
      <c r="B169" s="1" t="s">
        <v>272</v>
      </c>
      <c r="C169" s="1" t="s">
        <v>39</v>
      </c>
      <c r="D169" s="1" t="s">
        <v>128</v>
      </c>
      <c r="E169">
        <v>13</v>
      </c>
      <c r="F169" s="2">
        <v>45345</v>
      </c>
      <c r="G169" s="1" t="s">
        <v>1320</v>
      </c>
      <c r="H169" s="1" t="s">
        <v>1317</v>
      </c>
      <c r="I169" s="1" t="s">
        <v>1323</v>
      </c>
      <c r="J169">
        <v>650000</v>
      </c>
      <c r="K169">
        <v>741000</v>
      </c>
      <c r="L169" s="1" t="s">
        <v>40</v>
      </c>
      <c r="M169" s="1" t="s">
        <v>23</v>
      </c>
      <c r="N169" s="1" t="s">
        <v>41</v>
      </c>
      <c r="O169">
        <v>9633000</v>
      </c>
      <c r="P169">
        <v>1183000</v>
      </c>
      <c r="Q169">
        <v>12.28</v>
      </c>
    </row>
    <row r="170" spans="1:17" x14ac:dyDescent="0.35">
      <c r="A170" s="1" t="s">
        <v>467</v>
      </c>
      <c r="B170" s="1" t="s">
        <v>176</v>
      </c>
      <c r="C170" s="1" t="s">
        <v>63</v>
      </c>
      <c r="D170" s="1" t="s">
        <v>171</v>
      </c>
      <c r="E170">
        <v>14</v>
      </c>
      <c r="F170" s="2">
        <v>45473</v>
      </c>
      <c r="G170" s="1" t="s">
        <v>1329</v>
      </c>
      <c r="H170" s="1" t="s">
        <v>1330</v>
      </c>
      <c r="I170" s="1" t="s">
        <v>1323</v>
      </c>
      <c r="J170">
        <v>1500000</v>
      </c>
      <c r="K170">
        <v>1772000</v>
      </c>
      <c r="L170" s="1" t="s">
        <v>64</v>
      </c>
      <c r="M170" s="1" t="s">
        <v>23</v>
      </c>
      <c r="N170" s="1" t="s">
        <v>65</v>
      </c>
      <c r="O170">
        <v>24808000</v>
      </c>
      <c r="P170">
        <v>3808000</v>
      </c>
      <c r="Q170">
        <v>15.35</v>
      </c>
    </row>
    <row r="171" spans="1:17" x14ac:dyDescent="0.35">
      <c r="A171" s="1" t="s">
        <v>469</v>
      </c>
      <c r="B171" s="1" t="s">
        <v>168</v>
      </c>
      <c r="C171" s="1" t="s">
        <v>51</v>
      </c>
      <c r="D171" s="1" t="s">
        <v>128</v>
      </c>
      <c r="E171">
        <v>12</v>
      </c>
      <c r="F171" s="2">
        <v>45533</v>
      </c>
      <c r="G171" s="1" t="s">
        <v>1338</v>
      </c>
      <c r="H171" s="1" t="s">
        <v>1336</v>
      </c>
      <c r="I171" s="1" t="s">
        <v>41</v>
      </c>
      <c r="J171">
        <v>500000</v>
      </c>
      <c r="K171">
        <v>844000</v>
      </c>
      <c r="L171" s="1" t="s">
        <v>52</v>
      </c>
      <c r="M171" s="1" t="s">
        <v>23</v>
      </c>
      <c r="N171" s="1" t="s">
        <v>53</v>
      </c>
      <c r="O171">
        <v>10128000</v>
      </c>
      <c r="P171">
        <v>4128000</v>
      </c>
      <c r="Q171">
        <v>40.76</v>
      </c>
    </row>
    <row r="172" spans="1:17" x14ac:dyDescent="0.35">
      <c r="A172" s="1" t="s">
        <v>471</v>
      </c>
      <c r="B172" s="1" t="s">
        <v>106</v>
      </c>
      <c r="C172" s="1" t="s">
        <v>78</v>
      </c>
      <c r="D172" s="1" t="s">
        <v>143</v>
      </c>
      <c r="E172">
        <v>1</v>
      </c>
      <c r="F172" s="2">
        <v>45501</v>
      </c>
      <c r="G172" s="1" t="s">
        <v>1348</v>
      </c>
      <c r="H172" s="1" t="s">
        <v>1317</v>
      </c>
      <c r="I172" s="1" t="s">
        <v>1323</v>
      </c>
      <c r="J172">
        <v>300000</v>
      </c>
      <c r="K172">
        <v>355000</v>
      </c>
      <c r="L172" s="1" t="s">
        <v>79</v>
      </c>
      <c r="M172" s="1" t="s">
        <v>10</v>
      </c>
      <c r="N172" s="1" t="s">
        <v>17</v>
      </c>
      <c r="O172">
        <v>355000</v>
      </c>
      <c r="P172">
        <v>55000</v>
      </c>
      <c r="Q172">
        <v>15.49</v>
      </c>
    </row>
    <row r="173" spans="1:17" x14ac:dyDescent="0.35">
      <c r="A173" s="1" t="s">
        <v>473</v>
      </c>
      <c r="B173" s="1" t="s">
        <v>172</v>
      </c>
      <c r="C173" s="1" t="s">
        <v>63</v>
      </c>
      <c r="D173" s="1" t="s">
        <v>124</v>
      </c>
      <c r="E173">
        <v>11</v>
      </c>
      <c r="F173" s="2">
        <v>45657</v>
      </c>
      <c r="G173" s="1" t="s">
        <v>1340</v>
      </c>
      <c r="H173" s="1" t="s">
        <v>1330</v>
      </c>
      <c r="I173" s="1" t="s">
        <v>41</v>
      </c>
      <c r="J173">
        <v>950000</v>
      </c>
      <c r="K173">
        <v>1649000</v>
      </c>
      <c r="L173" s="1" t="s">
        <v>64</v>
      </c>
      <c r="M173" s="1" t="s">
        <v>23</v>
      </c>
      <c r="N173" s="1" t="s">
        <v>65</v>
      </c>
      <c r="O173">
        <v>18139000</v>
      </c>
      <c r="P173">
        <v>7689000</v>
      </c>
      <c r="Q173">
        <v>42.39</v>
      </c>
    </row>
    <row r="174" spans="1:17" x14ac:dyDescent="0.35">
      <c r="A174" s="1" t="s">
        <v>475</v>
      </c>
      <c r="B174" s="1" t="s">
        <v>116</v>
      </c>
      <c r="C174" s="1" t="s">
        <v>35</v>
      </c>
      <c r="D174" s="1" t="s">
        <v>121</v>
      </c>
      <c r="E174">
        <v>11</v>
      </c>
      <c r="F174" s="2">
        <v>45529</v>
      </c>
      <c r="G174" s="1" t="s">
        <v>1352</v>
      </c>
      <c r="H174" s="1" t="s">
        <v>1330</v>
      </c>
      <c r="I174" s="1" t="s">
        <v>1323</v>
      </c>
      <c r="J174">
        <v>5000000</v>
      </c>
      <c r="K174">
        <v>7546000</v>
      </c>
      <c r="L174" s="1" t="s">
        <v>36</v>
      </c>
      <c r="M174" s="1" t="s">
        <v>10</v>
      </c>
      <c r="N174" s="1" t="s">
        <v>11</v>
      </c>
      <c r="O174">
        <v>83006000</v>
      </c>
      <c r="P174">
        <v>28006000</v>
      </c>
      <c r="Q174">
        <v>33.74</v>
      </c>
    </row>
    <row r="175" spans="1:17" x14ac:dyDescent="0.35">
      <c r="A175" s="1" t="s">
        <v>477</v>
      </c>
      <c r="B175" s="1" t="s">
        <v>172</v>
      </c>
      <c r="C175" s="1" t="s">
        <v>78</v>
      </c>
      <c r="D175" s="1" t="s">
        <v>157</v>
      </c>
      <c r="E175">
        <v>8</v>
      </c>
      <c r="F175" s="2">
        <v>45611</v>
      </c>
      <c r="G175" s="1" t="s">
        <v>1340</v>
      </c>
      <c r="H175" s="1" t="s">
        <v>1330</v>
      </c>
      <c r="I175" s="1" t="s">
        <v>41</v>
      </c>
      <c r="J175">
        <v>950000</v>
      </c>
      <c r="K175">
        <v>1649000</v>
      </c>
      <c r="L175" s="1" t="s">
        <v>79</v>
      </c>
      <c r="M175" s="1" t="s">
        <v>10</v>
      </c>
      <c r="N175" s="1" t="s">
        <v>17</v>
      </c>
      <c r="O175">
        <v>13192000</v>
      </c>
      <c r="P175">
        <v>5592000</v>
      </c>
      <c r="Q175">
        <v>42.39</v>
      </c>
    </row>
    <row r="176" spans="1:17" x14ac:dyDescent="0.35">
      <c r="A176" s="1" t="s">
        <v>479</v>
      </c>
      <c r="B176" s="1" t="s">
        <v>240</v>
      </c>
      <c r="C176" s="1" t="s">
        <v>15</v>
      </c>
      <c r="D176" s="1" t="s">
        <v>171</v>
      </c>
      <c r="E176">
        <v>5</v>
      </c>
      <c r="F176" s="2">
        <v>45381</v>
      </c>
      <c r="G176" s="1" t="s">
        <v>1326</v>
      </c>
      <c r="H176" s="1" t="s">
        <v>1317</v>
      </c>
      <c r="I176" s="1" t="s">
        <v>41</v>
      </c>
      <c r="J176">
        <v>350000</v>
      </c>
      <c r="K176">
        <v>626000</v>
      </c>
      <c r="L176" s="1" t="s">
        <v>16</v>
      </c>
      <c r="M176" s="1" t="s">
        <v>10</v>
      </c>
      <c r="N176" s="1" t="s">
        <v>17</v>
      </c>
      <c r="O176">
        <v>3130000</v>
      </c>
      <c r="P176">
        <v>1380000</v>
      </c>
      <c r="Q176">
        <v>44.09</v>
      </c>
    </row>
    <row r="177" spans="1:17" x14ac:dyDescent="0.35">
      <c r="A177" s="1" t="s">
        <v>481</v>
      </c>
      <c r="B177" s="1" t="s">
        <v>197</v>
      </c>
      <c r="C177" s="1" t="s">
        <v>87</v>
      </c>
      <c r="D177" s="1" t="s">
        <v>171</v>
      </c>
      <c r="E177">
        <v>3</v>
      </c>
      <c r="F177" s="2">
        <v>45432</v>
      </c>
      <c r="G177" s="1" t="s">
        <v>1350</v>
      </c>
      <c r="H177" s="1" t="s">
        <v>1336</v>
      </c>
      <c r="I177" s="1" t="s">
        <v>11</v>
      </c>
      <c r="J177">
        <v>1200000</v>
      </c>
      <c r="K177">
        <v>1375000</v>
      </c>
      <c r="L177" s="1" t="s">
        <v>88</v>
      </c>
      <c r="M177" s="1" t="s">
        <v>10</v>
      </c>
      <c r="N177" s="1" t="s">
        <v>89</v>
      </c>
      <c r="O177">
        <v>4125000</v>
      </c>
      <c r="P177">
        <v>525000</v>
      </c>
      <c r="Q177">
        <v>12.73</v>
      </c>
    </row>
    <row r="178" spans="1:17" x14ac:dyDescent="0.35">
      <c r="A178" s="1" t="s">
        <v>483</v>
      </c>
      <c r="B178" s="1" t="s">
        <v>197</v>
      </c>
      <c r="C178" s="1" t="s">
        <v>29</v>
      </c>
      <c r="D178" s="1" t="s">
        <v>121</v>
      </c>
      <c r="E178">
        <v>8</v>
      </c>
      <c r="F178" s="2">
        <v>45640</v>
      </c>
      <c r="G178" s="1" t="s">
        <v>1350</v>
      </c>
      <c r="H178" s="1" t="s">
        <v>1336</v>
      </c>
      <c r="I178" s="1" t="s">
        <v>11</v>
      </c>
      <c r="J178">
        <v>1200000</v>
      </c>
      <c r="K178">
        <v>1375000</v>
      </c>
      <c r="L178" s="1" t="s">
        <v>30</v>
      </c>
      <c r="M178" s="1" t="s">
        <v>23</v>
      </c>
      <c r="N178" s="1" t="s">
        <v>31</v>
      </c>
      <c r="O178">
        <v>11000000</v>
      </c>
      <c r="P178">
        <v>1400000</v>
      </c>
      <c r="Q178">
        <v>12.73</v>
      </c>
    </row>
    <row r="179" spans="1:17" x14ac:dyDescent="0.35">
      <c r="A179" s="1" t="s">
        <v>485</v>
      </c>
      <c r="B179" s="1" t="s">
        <v>141</v>
      </c>
      <c r="C179" s="1" t="s">
        <v>8</v>
      </c>
      <c r="D179" s="1" t="s">
        <v>143</v>
      </c>
      <c r="E179">
        <v>10</v>
      </c>
      <c r="F179" s="2">
        <v>45332</v>
      </c>
      <c r="G179" s="1" t="s">
        <v>1355</v>
      </c>
      <c r="H179" s="1" t="s">
        <v>1330</v>
      </c>
      <c r="I179" s="1" t="s">
        <v>41</v>
      </c>
      <c r="J179">
        <v>400000</v>
      </c>
      <c r="K179">
        <v>623000</v>
      </c>
      <c r="L179" s="1" t="s">
        <v>9</v>
      </c>
      <c r="M179" s="1" t="s">
        <v>10</v>
      </c>
      <c r="N179" s="1" t="s">
        <v>11</v>
      </c>
      <c r="O179">
        <v>6230000</v>
      </c>
      <c r="P179">
        <v>2230000</v>
      </c>
      <c r="Q179">
        <v>35.79</v>
      </c>
    </row>
    <row r="180" spans="1:17" x14ac:dyDescent="0.35">
      <c r="A180" s="1" t="s">
        <v>487</v>
      </c>
      <c r="B180" s="1" t="s">
        <v>111</v>
      </c>
      <c r="C180" s="1" t="s">
        <v>82</v>
      </c>
      <c r="D180" s="1" t="s">
        <v>143</v>
      </c>
      <c r="E180">
        <v>10</v>
      </c>
      <c r="F180" s="2">
        <v>45325</v>
      </c>
      <c r="G180" s="1" t="s">
        <v>1344</v>
      </c>
      <c r="H180" s="1" t="s">
        <v>1311</v>
      </c>
      <c r="I180" s="1" t="s">
        <v>1323</v>
      </c>
      <c r="J180">
        <v>18000000</v>
      </c>
      <c r="K180">
        <v>27603000</v>
      </c>
      <c r="L180" s="1" t="s">
        <v>83</v>
      </c>
      <c r="M180" s="1" t="s">
        <v>23</v>
      </c>
      <c r="N180" s="1" t="s">
        <v>84</v>
      </c>
      <c r="O180">
        <v>276030000</v>
      </c>
      <c r="P180">
        <v>96030000</v>
      </c>
      <c r="Q180">
        <v>34.79</v>
      </c>
    </row>
    <row r="181" spans="1:17" x14ac:dyDescent="0.35">
      <c r="A181" s="1" t="s">
        <v>489</v>
      </c>
      <c r="B181" s="1" t="s">
        <v>164</v>
      </c>
      <c r="C181" s="1" t="s">
        <v>15</v>
      </c>
      <c r="D181" s="1" t="s">
        <v>171</v>
      </c>
      <c r="E181">
        <v>6</v>
      </c>
      <c r="F181" s="2">
        <v>45408</v>
      </c>
      <c r="G181" s="1" t="s">
        <v>1332</v>
      </c>
      <c r="H181" s="1" t="s">
        <v>1330</v>
      </c>
      <c r="I181" s="1" t="s">
        <v>11</v>
      </c>
      <c r="J181">
        <v>750000</v>
      </c>
      <c r="K181">
        <v>971000</v>
      </c>
      <c r="L181" s="1" t="s">
        <v>16</v>
      </c>
      <c r="M181" s="1" t="s">
        <v>10</v>
      </c>
      <c r="N181" s="1" t="s">
        <v>17</v>
      </c>
      <c r="O181">
        <v>5826000</v>
      </c>
      <c r="P181">
        <v>1326000</v>
      </c>
      <c r="Q181">
        <v>22.76</v>
      </c>
    </row>
    <row r="182" spans="1:17" x14ac:dyDescent="0.35">
      <c r="A182" s="1" t="s">
        <v>491</v>
      </c>
      <c r="B182" s="1" t="s">
        <v>164</v>
      </c>
      <c r="C182" s="1" t="s">
        <v>82</v>
      </c>
      <c r="D182" s="1" t="s">
        <v>171</v>
      </c>
      <c r="E182">
        <v>10</v>
      </c>
      <c r="F182" s="2">
        <v>45526</v>
      </c>
      <c r="G182" s="1" t="s">
        <v>1332</v>
      </c>
      <c r="H182" s="1" t="s">
        <v>1330</v>
      </c>
      <c r="I182" s="1" t="s">
        <v>11</v>
      </c>
      <c r="J182">
        <v>750000</v>
      </c>
      <c r="K182">
        <v>971000</v>
      </c>
      <c r="L182" s="1" t="s">
        <v>83</v>
      </c>
      <c r="M182" s="1" t="s">
        <v>23</v>
      </c>
      <c r="N182" s="1" t="s">
        <v>84</v>
      </c>
      <c r="O182">
        <v>9710000</v>
      </c>
      <c r="P182">
        <v>2210000</v>
      </c>
      <c r="Q182">
        <v>22.76</v>
      </c>
    </row>
    <row r="183" spans="1:17" x14ac:dyDescent="0.35">
      <c r="A183" s="1" t="s">
        <v>493</v>
      </c>
      <c r="B183" s="1" t="s">
        <v>111</v>
      </c>
      <c r="C183" s="1" t="s">
        <v>35</v>
      </c>
      <c r="D183" s="1" t="s">
        <v>121</v>
      </c>
      <c r="E183">
        <v>13</v>
      </c>
      <c r="F183" s="2">
        <v>45648</v>
      </c>
      <c r="G183" s="1" t="s">
        <v>1344</v>
      </c>
      <c r="H183" s="1" t="s">
        <v>1311</v>
      </c>
      <c r="I183" s="1" t="s">
        <v>1323</v>
      </c>
      <c r="J183">
        <v>18000000</v>
      </c>
      <c r="K183">
        <v>27603000</v>
      </c>
      <c r="L183" s="1" t="s">
        <v>36</v>
      </c>
      <c r="M183" s="1" t="s">
        <v>10</v>
      </c>
      <c r="N183" s="1" t="s">
        <v>11</v>
      </c>
      <c r="O183">
        <v>358839000</v>
      </c>
      <c r="P183">
        <v>124839000</v>
      </c>
      <c r="Q183">
        <v>34.79</v>
      </c>
    </row>
    <row r="184" spans="1:17" x14ac:dyDescent="0.35">
      <c r="A184" s="1" t="s">
        <v>495</v>
      </c>
      <c r="B184" s="1" t="s">
        <v>116</v>
      </c>
      <c r="C184" s="1" t="s">
        <v>15</v>
      </c>
      <c r="D184" s="1" t="s">
        <v>157</v>
      </c>
      <c r="E184">
        <v>1</v>
      </c>
      <c r="F184" s="2">
        <v>45416</v>
      </c>
      <c r="G184" s="1" t="s">
        <v>1352</v>
      </c>
      <c r="H184" s="1" t="s">
        <v>1330</v>
      </c>
      <c r="I184" s="1" t="s">
        <v>1323</v>
      </c>
      <c r="J184">
        <v>5000000</v>
      </c>
      <c r="K184">
        <v>7546000</v>
      </c>
      <c r="L184" s="1" t="s">
        <v>16</v>
      </c>
      <c r="M184" s="1" t="s">
        <v>10</v>
      </c>
      <c r="N184" s="1" t="s">
        <v>17</v>
      </c>
      <c r="O184">
        <v>7546000</v>
      </c>
      <c r="P184">
        <v>2546000</v>
      </c>
      <c r="Q184">
        <v>33.74</v>
      </c>
    </row>
    <row r="185" spans="1:17" x14ac:dyDescent="0.35">
      <c r="A185" s="1" t="s">
        <v>497</v>
      </c>
      <c r="B185" s="1" t="s">
        <v>149</v>
      </c>
      <c r="C185" s="1" t="s">
        <v>8</v>
      </c>
      <c r="D185" s="1" t="s">
        <v>143</v>
      </c>
      <c r="E185">
        <v>15</v>
      </c>
      <c r="F185" s="2">
        <v>45545</v>
      </c>
      <c r="G185" s="1" t="s">
        <v>1316</v>
      </c>
      <c r="H185" s="1" t="s">
        <v>1317</v>
      </c>
      <c r="I185" s="1" t="s">
        <v>41</v>
      </c>
      <c r="J185">
        <v>100000</v>
      </c>
      <c r="K185">
        <v>169000</v>
      </c>
      <c r="L185" s="1" t="s">
        <v>9</v>
      </c>
      <c r="M185" s="1" t="s">
        <v>10</v>
      </c>
      <c r="N185" s="1" t="s">
        <v>11</v>
      </c>
      <c r="O185">
        <v>2535000</v>
      </c>
      <c r="P185">
        <v>1035000</v>
      </c>
      <c r="Q185">
        <v>40.83</v>
      </c>
    </row>
    <row r="186" spans="1:17" x14ac:dyDescent="0.35">
      <c r="A186" s="1" t="s">
        <v>499</v>
      </c>
      <c r="B186" s="1" t="s">
        <v>188</v>
      </c>
      <c r="C186" s="1" t="s">
        <v>87</v>
      </c>
      <c r="D186" s="1" t="s">
        <v>143</v>
      </c>
      <c r="E186">
        <v>1</v>
      </c>
      <c r="F186" s="2">
        <v>45530</v>
      </c>
      <c r="G186" s="1" t="s">
        <v>1327</v>
      </c>
      <c r="H186" s="1" t="s">
        <v>1311</v>
      </c>
      <c r="I186" s="1" t="s">
        <v>41</v>
      </c>
      <c r="J186">
        <v>2800000</v>
      </c>
      <c r="K186">
        <v>4747000</v>
      </c>
      <c r="L186" s="1" t="s">
        <v>88</v>
      </c>
      <c r="M186" s="1" t="s">
        <v>10</v>
      </c>
      <c r="N186" s="1" t="s">
        <v>89</v>
      </c>
      <c r="O186">
        <v>4747000</v>
      </c>
      <c r="P186">
        <v>1947000</v>
      </c>
      <c r="Q186">
        <v>41.02</v>
      </c>
    </row>
    <row r="187" spans="1:17" x14ac:dyDescent="0.35">
      <c r="A187" s="1" t="s">
        <v>501</v>
      </c>
      <c r="B187" s="1" t="s">
        <v>164</v>
      </c>
      <c r="C187" s="1" t="s">
        <v>82</v>
      </c>
      <c r="D187" s="1" t="s">
        <v>121</v>
      </c>
      <c r="E187">
        <v>5</v>
      </c>
      <c r="F187" s="2">
        <v>45455</v>
      </c>
      <c r="G187" s="1" t="s">
        <v>1332</v>
      </c>
      <c r="H187" s="1" t="s">
        <v>1330</v>
      </c>
      <c r="I187" s="1" t="s">
        <v>11</v>
      </c>
      <c r="J187">
        <v>750000</v>
      </c>
      <c r="K187">
        <v>971000</v>
      </c>
      <c r="L187" s="1" t="s">
        <v>83</v>
      </c>
      <c r="M187" s="1" t="s">
        <v>23</v>
      </c>
      <c r="N187" s="1" t="s">
        <v>84</v>
      </c>
      <c r="O187">
        <v>4855000</v>
      </c>
      <c r="P187">
        <v>1105000</v>
      </c>
      <c r="Q187">
        <v>22.76</v>
      </c>
    </row>
    <row r="188" spans="1:17" x14ac:dyDescent="0.35">
      <c r="A188" s="1" t="s">
        <v>503</v>
      </c>
      <c r="B188" s="1" t="s">
        <v>191</v>
      </c>
      <c r="C188" s="1" t="s">
        <v>63</v>
      </c>
      <c r="D188" s="1" t="s">
        <v>121</v>
      </c>
      <c r="E188">
        <v>15</v>
      </c>
      <c r="F188" s="2">
        <v>45643</v>
      </c>
      <c r="G188" s="1" t="s">
        <v>1310</v>
      </c>
      <c r="H188" s="1" t="s">
        <v>1311</v>
      </c>
      <c r="I188" s="1" t="s">
        <v>11</v>
      </c>
      <c r="J188">
        <v>12000000</v>
      </c>
      <c r="K188">
        <v>13963000</v>
      </c>
      <c r="L188" s="1" t="s">
        <v>64</v>
      </c>
      <c r="M188" s="1" t="s">
        <v>23</v>
      </c>
      <c r="N188" s="1" t="s">
        <v>65</v>
      </c>
      <c r="O188">
        <v>209445000</v>
      </c>
      <c r="P188">
        <v>29445000</v>
      </c>
      <c r="Q188">
        <v>14.06</v>
      </c>
    </row>
    <row r="189" spans="1:17" x14ac:dyDescent="0.35">
      <c r="A189" s="1" t="s">
        <v>505</v>
      </c>
      <c r="B189" s="1" t="s">
        <v>111</v>
      </c>
      <c r="C189" s="1" t="s">
        <v>78</v>
      </c>
      <c r="D189" s="1" t="s">
        <v>171</v>
      </c>
      <c r="E189">
        <v>5</v>
      </c>
      <c r="F189" s="2">
        <v>45412</v>
      </c>
      <c r="G189" s="1" t="s">
        <v>1344</v>
      </c>
      <c r="H189" s="1" t="s">
        <v>1311</v>
      </c>
      <c r="I189" s="1" t="s">
        <v>1323</v>
      </c>
      <c r="J189">
        <v>18000000</v>
      </c>
      <c r="K189">
        <v>27603000</v>
      </c>
      <c r="L189" s="1" t="s">
        <v>79</v>
      </c>
      <c r="M189" s="1" t="s">
        <v>10</v>
      </c>
      <c r="N189" s="1" t="s">
        <v>17</v>
      </c>
      <c r="O189">
        <v>138015000</v>
      </c>
      <c r="P189">
        <v>48015000</v>
      </c>
      <c r="Q189">
        <v>34.79</v>
      </c>
    </row>
    <row r="190" spans="1:17" x14ac:dyDescent="0.35">
      <c r="A190" s="1" t="s">
        <v>506</v>
      </c>
      <c r="B190" s="1" t="s">
        <v>116</v>
      </c>
      <c r="C190" s="1" t="s">
        <v>69</v>
      </c>
      <c r="D190" s="1" t="s">
        <v>143</v>
      </c>
      <c r="E190">
        <v>10</v>
      </c>
      <c r="F190" s="2">
        <v>45597</v>
      </c>
      <c r="G190" s="1" t="s">
        <v>1352</v>
      </c>
      <c r="H190" s="1" t="s">
        <v>1330</v>
      </c>
      <c r="I190" s="1" t="s">
        <v>1323</v>
      </c>
      <c r="J190">
        <v>5000000</v>
      </c>
      <c r="K190">
        <v>7546000</v>
      </c>
      <c r="L190" s="1" t="s">
        <v>70</v>
      </c>
      <c r="M190" s="1" t="s">
        <v>10</v>
      </c>
      <c r="N190" s="1" t="s">
        <v>11</v>
      </c>
      <c r="O190">
        <v>75460000</v>
      </c>
      <c r="P190">
        <v>25460000</v>
      </c>
      <c r="Q190">
        <v>33.74</v>
      </c>
    </row>
    <row r="191" spans="1:17" x14ac:dyDescent="0.35">
      <c r="A191" s="1" t="s">
        <v>508</v>
      </c>
      <c r="B191" s="1" t="s">
        <v>141</v>
      </c>
      <c r="C191" s="1" t="s">
        <v>51</v>
      </c>
      <c r="D191" s="1" t="s">
        <v>121</v>
      </c>
      <c r="E191">
        <v>1</v>
      </c>
      <c r="F191" s="2">
        <v>45655</v>
      </c>
      <c r="G191" s="1" t="s">
        <v>1355</v>
      </c>
      <c r="H191" s="1" t="s">
        <v>1330</v>
      </c>
      <c r="I191" s="1" t="s">
        <v>41</v>
      </c>
      <c r="J191">
        <v>400000</v>
      </c>
      <c r="K191">
        <v>623000</v>
      </c>
      <c r="L191" s="1" t="s">
        <v>52</v>
      </c>
      <c r="M191" s="1" t="s">
        <v>23</v>
      </c>
      <c r="N191" s="1" t="s">
        <v>53</v>
      </c>
      <c r="O191">
        <v>623000</v>
      </c>
      <c r="P191">
        <v>223000</v>
      </c>
      <c r="Q191">
        <v>35.79</v>
      </c>
    </row>
    <row r="192" spans="1:17" x14ac:dyDescent="0.35">
      <c r="A192" s="1" t="s">
        <v>510</v>
      </c>
      <c r="B192" s="1" t="s">
        <v>141</v>
      </c>
      <c r="C192" s="1" t="s">
        <v>51</v>
      </c>
      <c r="D192" s="1" t="s">
        <v>124</v>
      </c>
      <c r="E192">
        <v>1</v>
      </c>
      <c r="F192" s="2">
        <v>45404</v>
      </c>
      <c r="G192" s="1" t="s">
        <v>1355</v>
      </c>
      <c r="H192" s="1" t="s">
        <v>1330</v>
      </c>
      <c r="I192" s="1" t="s">
        <v>41</v>
      </c>
      <c r="J192">
        <v>400000</v>
      </c>
      <c r="K192">
        <v>623000</v>
      </c>
      <c r="L192" s="1" t="s">
        <v>52</v>
      </c>
      <c r="M192" s="1" t="s">
        <v>23</v>
      </c>
      <c r="N192" s="1" t="s">
        <v>53</v>
      </c>
      <c r="O192">
        <v>623000</v>
      </c>
      <c r="P192">
        <v>223000</v>
      </c>
      <c r="Q192">
        <v>35.79</v>
      </c>
    </row>
    <row r="193" spans="1:17" x14ac:dyDescent="0.35">
      <c r="A193" s="1" t="s">
        <v>512</v>
      </c>
      <c r="B193" s="1" t="s">
        <v>168</v>
      </c>
      <c r="C193" s="1" t="s">
        <v>87</v>
      </c>
      <c r="D193" s="1" t="s">
        <v>124</v>
      </c>
      <c r="E193">
        <v>7</v>
      </c>
      <c r="F193" s="2">
        <v>45599</v>
      </c>
      <c r="G193" s="1" t="s">
        <v>1338</v>
      </c>
      <c r="H193" s="1" t="s">
        <v>1336</v>
      </c>
      <c r="I193" s="1" t="s">
        <v>41</v>
      </c>
      <c r="J193">
        <v>500000</v>
      </c>
      <c r="K193">
        <v>844000</v>
      </c>
      <c r="L193" s="1" t="s">
        <v>88</v>
      </c>
      <c r="M193" s="1" t="s">
        <v>10</v>
      </c>
      <c r="N193" s="1" t="s">
        <v>89</v>
      </c>
      <c r="O193">
        <v>5908000</v>
      </c>
      <c r="P193">
        <v>2408000</v>
      </c>
      <c r="Q193">
        <v>40.76</v>
      </c>
    </row>
    <row r="194" spans="1:17" x14ac:dyDescent="0.35">
      <c r="A194" s="1" t="s">
        <v>514</v>
      </c>
      <c r="B194" s="1" t="s">
        <v>188</v>
      </c>
      <c r="C194" s="1" t="s">
        <v>15</v>
      </c>
      <c r="D194" s="1" t="s">
        <v>171</v>
      </c>
      <c r="E194">
        <v>9</v>
      </c>
      <c r="F194" s="2">
        <v>45522</v>
      </c>
      <c r="G194" s="1" t="s">
        <v>1327</v>
      </c>
      <c r="H194" s="1" t="s">
        <v>1311</v>
      </c>
      <c r="I194" s="1" t="s">
        <v>41</v>
      </c>
      <c r="J194">
        <v>2800000</v>
      </c>
      <c r="K194">
        <v>4747000</v>
      </c>
      <c r="L194" s="1" t="s">
        <v>16</v>
      </c>
      <c r="M194" s="1" t="s">
        <v>10</v>
      </c>
      <c r="N194" s="1" t="s">
        <v>17</v>
      </c>
      <c r="O194">
        <v>42723000</v>
      </c>
      <c r="P194">
        <v>17523000</v>
      </c>
      <c r="Q194">
        <v>41.02</v>
      </c>
    </row>
    <row r="195" spans="1:17" x14ac:dyDescent="0.35">
      <c r="A195" s="1" t="s">
        <v>516</v>
      </c>
      <c r="B195" s="1" t="s">
        <v>137</v>
      </c>
      <c r="C195" s="1" t="s">
        <v>82</v>
      </c>
      <c r="D195" s="1" t="s">
        <v>171</v>
      </c>
      <c r="E195">
        <v>9</v>
      </c>
      <c r="F195" s="2">
        <v>45495</v>
      </c>
      <c r="G195" s="1" t="s">
        <v>1324</v>
      </c>
      <c r="H195" s="1" t="s">
        <v>1311</v>
      </c>
      <c r="I195" s="1" t="s">
        <v>11</v>
      </c>
      <c r="J195">
        <v>2000000</v>
      </c>
      <c r="K195">
        <v>2533000</v>
      </c>
      <c r="L195" s="1" t="s">
        <v>83</v>
      </c>
      <c r="M195" s="1" t="s">
        <v>23</v>
      </c>
      <c r="N195" s="1" t="s">
        <v>84</v>
      </c>
      <c r="O195">
        <v>22797000</v>
      </c>
      <c r="P195">
        <v>4797000</v>
      </c>
      <c r="Q195">
        <v>21.04</v>
      </c>
    </row>
    <row r="196" spans="1:17" x14ac:dyDescent="0.35">
      <c r="A196" s="1" t="s">
        <v>518</v>
      </c>
      <c r="B196" s="1" t="s">
        <v>111</v>
      </c>
      <c r="C196" s="1" t="s">
        <v>8</v>
      </c>
      <c r="D196" s="1" t="s">
        <v>121</v>
      </c>
      <c r="E196">
        <v>11</v>
      </c>
      <c r="F196" s="2">
        <v>45428</v>
      </c>
      <c r="G196" s="1" t="s">
        <v>1344</v>
      </c>
      <c r="H196" s="1" t="s">
        <v>1311</v>
      </c>
      <c r="I196" s="1" t="s">
        <v>1323</v>
      </c>
      <c r="J196">
        <v>18000000</v>
      </c>
      <c r="K196">
        <v>27603000</v>
      </c>
      <c r="L196" s="1" t="s">
        <v>9</v>
      </c>
      <c r="M196" s="1" t="s">
        <v>10</v>
      </c>
      <c r="N196" s="1" t="s">
        <v>11</v>
      </c>
      <c r="O196">
        <v>303633000</v>
      </c>
      <c r="P196">
        <v>105633000</v>
      </c>
      <c r="Q196">
        <v>34.79</v>
      </c>
    </row>
    <row r="197" spans="1:17" x14ac:dyDescent="0.35">
      <c r="A197" s="1" t="s">
        <v>520</v>
      </c>
      <c r="B197" s="1" t="s">
        <v>168</v>
      </c>
      <c r="C197" s="1" t="s">
        <v>87</v>
      </c>
      <c r="D197" s="1" t="s">
        <v>124</v>
      </c>
      <c r="E197">
        <v>1</v>
      </c>
      <c r="F197" s="2">
        <v>45479</v>
      </c>
      <c r="G197" s="1" t="s">
        <v>1338</v>
      </c>
      <c r="H197" s="1" t="s">
        <v>1336</v>
      </c>
      <c r="I197" s="1" t="s">
        <v>41</v>
      </c>
      <c r="J197">
        <v>500000</v>
      </c>
      <c r="K197">
        <v>844000</v>
      </c>
      <c r="L197" s="1" t="s">
        <v>88</v>
      </c>
      <c r="M197" s="1" t="s">
        <v>10</v>
      </c>
      <c r="N197" s="1" t="s">
        <v>89</v>
      </c>
      <c r="O197">
        <v>844000</v>
      </c>
      <c r="P197">
        <v>344000</v>
      </c>
      <c r="Q197">
        <v>40.76</v>
      </c>
    </row>
    <row r="198" spans="1:17" x14ac:dyDescent="0.35">
      <c r="A198" s="1" t="s">
        <v>522</v>
      </c>
      <c r="B198" s="1" t="s">
        <v>191</v>
      </c>
      <c r="C198" s="1" t="s">
        <v>51</v>
      </c>
      <c r="D198" s="1" t="s">
        <v>128</v>
      </c>
      <c r="E198">
        <v>7</v>
      </c>
      <c r="F198" s="2">
        <v>45455</v>
      </c>
      <c r="G198" s="1" t="s">
        <v>1310</v>
      </c>
      <c r="H198" s="1" t="s">
        <v>1311</v>
      </c>
      <c r="I198" s="1" t="s">
        <v>11</v>
      </c>
      <c r="J198">
        <v>12000000</v>
      </c>
      <c r="K198">
        <v>13963000</v>
      </c>
      <c r="L198" s="1" t="s">
        <v>52</v>
      </c>
      <c r="M198" s="1" t="s">
        <v>23</v>
      </c>
      <c r="N198" s="1" t="s">
        <v>53</v>
      </c>
      <c r="O198">
        <v>97741000</v>
      </c>
      <c r="P198">
        <v>13741000</v>
      </c>
      <c r="Q198">
        <v>14.06</v>
      </c>
    </row>
    <row r="199" spans="1:17" x14ac:dyDescent="0.35">
      <c r="A199" s="1" t="s">
        <v>524</v>
      </c>
      <c r="B199" s="1" t="s">
        <v>168</v>
      </c>
      <c r="C199" s="1" t="s">
        <v>78</v>
      </c>
      <c r="D199" s="1" t="s">
        <v>157</v>
      </c>
      <c r="E199">
        <v>12</v>
      </c>
      <c r="F199" s="2">
        <v>45373</v>
      </c>
      <c r="G199" s="1" t="s">
        <v>1338</v>
      </c>
      <c r="H199" s="1" t="s">
        <v>1336</v>
      </c>
      <c r="I199" s="1" t="s">
        <v>41</v>
      </c>
      <c r="J199">
        <v>500000</v>
      </c>
      <c r="K199">
        <v>844000</v>
      </c>
      <c r="L199" s="1" t="s">
        <v>79</v>
      </c>
      <c r="M199" s="1" t="s">
        <v>10</v>
      </c>
      <c r="N199" s="1" t="s">
        <v>17</v>
      </c>
      <c r="O199">
        <v>10128000</v>
      </c>
      <c r="P199">
        <v>4128000</v>
      </c>
      <c r="Q199">
        <v>40.76</v>
      </c>
    </row>
    <row r="200" spans="1:17" x14ac:dyDescent="0.35">
      <c r="A200" s="1" t="s">
        <v>526</v>
      </c>
      <c r="B200" s="1" t="s">
        <v>173</v>
      </c>
      <c r="C200" s="1" t="s">
        <v>87</v>
      </c>
      <c r="D200" s="1" t="s">
        <v>143</v>
      </c>
      <c r="E200">
        <v>13</v>
      </c>
      <c r="F200" s="2">
        <v>45400</v>
      </c>
      <c r="G200" s="1" t="s">
        <v>1342</v>
      </c>
      <c r="H200" s="1" t="s">
        <v>1317</v>
      </c>
      <c r="I200" s="1" t="s">
        <v>1323</v>
      </c>
      <c r="J200">
        <v>80000</v>
      </c>
      <c r="K200">
        <v>92000</v>
      </c>
      <c r="L200" s="1" t="s">
        <v>88</v>
      </c>
      <c r="M200" s="1" t="s">
        <v>10</v>
      </c>
      <c r="N200" s="1" t="s">
        <v>89</v>
      </c>
      <c r="O200">
        <v>1196000</v>
      </c>
      <c r="P200">
        <v>156000</v>
      </c>
      <c r="Q200">
        <v>13.04</v>
      </c>
    </row>
    <row r="201" spans="1:17" x14ac:dyDescent="0.35">
      <c r="A201" s="1" t="s">
        <v>528</v>
      </c>
      <c r="B201" s="1" t="s">
        <v>149</v>
      </c>
      <c r="C201" s="1" t="s">
        <v>63</v>
      </c>
      <c r="D201" s="1" t="s">
        <v>124</v>
      </c>
      <c r="E201">
        <v>2</v>
      </c>
      <c r="F201" s="2">
        <v>45616</v>
      </c>
      <c r="G201" s="1" t="s">
        <v>1316</v>
      </c>
      <c r="H201" s="1" t="s">
        <v>1317</v>
      </c>
      <c r="I201" s="1" t="s">
        <v>41</v>
      </c>
      <c r="J201">
        <v>100000</v>
      </c>
      <c r="K201">
        <v>169000</v>
      </c>
      <c r="L201" s="1" t="s">
        <v>64</v>
      </c>
      <c r="M201" s="1" t="s">
        <v>23</v>
      </c>
      <c r="N201" s="1" t="s">
        <v>65</v>
      </c>
      <c r="O201">
        <v>338000</v>
      </c>
      <c r="P201">
        <v>138000</v>
      </c>
      <c r="Q201">
        <v>40.83</v>
      </c>
    </row>
    <row r="202" spans="1:17" x14ac:dyDescent="0.35">
      <c r="A202" s="1" t="s">
        <v>530</v>
      </c>
      <c r="B202" s="1" t="s">
        <v>272</v>
      </c>
      <c r="C202" s="1" t="s">
        <v>39</v>
      </c>
      <c r="D202" s="1" t="s">
        <v>128</v>
      </c>
      <c r="E202">
        <v>15</v>
      </c>
      <c r="F202" s="2">
        <v>45470</v>
      </c>
      <c r="G202" s="1" t="s">
        <v>1320</v>
      </c>
      <c r="H202" s="1" t="s">
        <v>1317</v>
      </c>
      <c r="I202" s="1" t="s">
        <v>1323</v>
      </c>
      <c r="J202">
        <v>650000</v>
      </c>
      <c r="K202">
        <v>741000</v>
      </c>
      <c r="L202" s="1" t="s">
        <v>40</v>
      </c>
      <c r="M202" s="1" t="s">
        <v>23</v>
      </c>
      <c r="N202" s="1" t="s">
        <v>41</v>
      </c>
      <c r="O202">
        <v>11115000</v>
      </c>
      <c r="P202">
        <v>1365000</v>
      </c>
      <c r="Q202">
        <v>12.28</v>
      </c>
    </row>
    <row r="203" spans="1:17" x14ac:dyDescent="0.35">
      <c r="A203" s="1" t="s">
        <v>532</v>
      </c>
      <c r="B203" s="1" t="s">
        <v>168</v>
      </c>
      <c r="C203" s="1" t="s">
        <v>82</v>
      </c>
      <c r="D203" s="1" t="s">
        <v>171</v>
      </c>
      <c r="E203">
        <v>14</v>
      </c>
      <c r="F203" s="2">
        <v>45400</v>
      </c>
      <c r="G203" s="1" t="s">
        <v>1338</v>
      </c>
      <c r="H203" s="1" t="s">
        <v>1336</v>
      </c>
      <c r="I203" s="1" t="s">
        <v>41</v>
      </c>
      <c r="J203">
        <v>500000</v>
      </c>
      <c r="K203">
        <v>844000</v>
      </c>
      <c r="L203" s="1" t="s">
        <v>83</v>
      </c>
      <c r="M203" s="1" t="s">
        <v>23</v>
      </c>
      <c r="N203" s="1" t="s">
        <v>84</v>
      </c>
      <c r="O203">
        <v>11816000</v>
      </c>
      <c r="P203">
        <v>4816000</v>
      </c>
      <c r="Q203">
        <v>40.76</v>
      </c>
    </row>
    <row r="204" spans="1:17" x14ac:dyDescent="0.35">
      <c r="A204" s="1" t="s">
        <v>534</v>
      </c>
      <c r="B204" s="1" t="s">
        <v>164</v>
      </c>
      <c r="C204" s="1" t="s">
        <v>87</v>
      </c>
      <c r="D204" s="1" t="s">
        <v>121</v>
      </c>
      <c r="E204">
        <v>8</v>
      </c>
      <c r="F204" s="2">
        <v>45396</v>
      </c>
      <c r="G204" s="1" t="s">
        <v>1332</v>
      </c>
      <c r="H204" s="1" t="s">
        <v>1330</v>
      </c>
      <c r="I204" s="1" t="s">
        <v>11</v>
      </c>
      <c r="J204">
        <v>750000</v>
      </c>
      <c r="K204">
        <v>971000</v>
      </c>
      <c r="L204" s="1" t="s">
        <v>88</v>
      </c>
      <c r="M204" s="1" t="s">
        <v>10</v>
      </c>
      <c r="N204" s="1" t="s">
        <v>89</v>
      </c>
      <c r="O204">
        <v>7768000</v>
      </c>
      <c r="P204">
        <v>1768000</v>
      </c>
      <c r="Q204">
        <v>22.76</v>
      </c>
    </row>
    <row r="205" spans="1:17" x14ac:dyDescent="0.35">
      <c r="A205" s="1" t="s">
        <v>536</v>
      </c>
      <c r="B205" s="1" t="s">
        <v>111</v>
      </c>
      <c r="C205" s="1" t="s">
        <v>8</v>
      </c>
      <c r="D205" s="1" t="s">
        <v>143</v>
      </c>
      <c r="E205">
        <v>15</v>
      </c>
      <c r="F205" s="2">
        <v>45409</v>
      </c>
      <c r="G205" s="1" t="s">
        <v>1344</v>
      </c>
      <c r="H205" s="1" t="s">
        <v>1311</v>
      </c>
      <c r="I205" s="1" t="s">
        <v>1323</v>
      </c>
      <c r="J205">
        <v>18000000</v>
      </c>
      <c r="K205">
        <v>27603000</v>
      </c>
      <c r="L205" s="1" t="s">
        <v>9</v>
      </c>
      <c r="M205" s="1" t="s">
        <v>10</v>
      </c>
      <c r="N205" s="1" t="s">
        <v>11</v>
      </c>
      <c r="O205">
        <v>414045000</v>
      </c>
      <c r="P205">
        <v>144045000</v>
      </c>
      <c r="Q205">
        <v>34.79</v>
      </c>
    </row>
    <row r="206" spans="1:17" x14ac:dyDescent="0.35">
      <c r="A206" s="1" t="s">
        <v>538</v>
      </c>
      <c r="B206" s="1" t="s">
        <v>191</v>
      </c>
      <c r="C206" s="1" t="s">
        <v>8</v>
      </c>
      <c r="D206" s="1" t="s">
        <v>157</v>
      </c>
      <c r="E206">
        <v>15</v>
      </c>
      <c r="F206" s="2">
        <v>45360</v>
      </c>
      <c r="G206" s="1" t="s">
        <v>1310</v>
      </c>
      <c r="H206" s="1" t="s">
        <v>1311</v>
      </c>
      <c r="I206" s="1" t="s">
        <v>11</v>
      </c>
      <c r="J206">
        <v>12000000</v>
      </c>
      <c r="K206">
        <v>13963000</v>
      </c>
      <c r="L206" s="1" t="s">
        <v>9</v>
      </c>
      <c r="M206" s="1" t="s">
        <v>10</v>
      </c>
      <c r="N206" s="1" t="s">
        <v>11</v>
      </c>
      <c r="O206">
        <v>209445000</v>
      </c>
      <c r="P206">
        <v>29445000</v>
      </c>
      <c r="Q206">
        <v>14.06</v>
      </c>
    </row>
    <row r="207" spans="1:17" x14ac:dyDescent="0.35">
      <c r="A207" s="1" t="s">
        <v>540</v>
      </c>
      <c r="B207" s="1" t="s">
        <v>272</v>
      </c>
      <c r="C207" s="1" t="s">
        <v>73</v>
      </c>
      <c r="D207" s="1" t="s">
        <v>157</v>
      </c>
      <c r="E207">
        <v>9</v>
      </c>
      <c r="F207" s="2">
        <v>45607</v>
      </c>
      <c r="G207" s="1" t="s">
        <v>1320</v>
      </c>
      <c r="H207" s="1" t="s">
        <v>1317</v>
      </c>
      <c r="I207" s="1" t="s">
        <v>1323</v>
      </c>
      <c r="J207">
        <v>650000</v>
      </c>
      <c r="K207">
        <v>741000</v>
      </c>
      <c r="L207" s="1" t="s">
        <v>74</v>
      </c>
      <c r="M207" s="1" t="s">
        <v>23</v>
      </c>
      <c r="N207" s="1" t="s">
        <v>75</v>
      </c>
      <c r="O207">
        <v>6669000</v>
      </c>
      <c r="P207">
        <v>819000</v>
      </c>
      <c r="Q207">
        <v>12.28</v>
      </c>
    </row>
    <row r="208" spans="1:17" x14ac:dyDescent="0.35">
      <c r="A208" s="1" t="s">
        <v>542</v>
      </c>
      <c r="B208" s="1" t="s">
        <v>133</v>
      </c>
      <c r="C208" s="1" t="s">
        <v>69</v>
      </c>
      <c r="D208" s="1" t="s">
        <v>157</v>
      </c>
      <c r="E208">
        <v>9</v>
      </c>
      <c r="F208" s="2">
        <v>45532</v>
      </c>
      <c r="G208" s="1" t="s">
        <v>1354</v>
      </c>
      <c r="H208" s="1" t="s">
        <v>1330</v>
      </c>
      <c r="I208" s="1" t="s">
        <v>11</v>
      </c>
      <c r="J208">
        <v>2500000</v>
      </c>
      <c r="K208">
        <v>3080000</v>
      </c>
      <c r="L208" s="1" t="s">
        <v>70</v>
      </c>
      <c r="M208" s="1" t="s">
        <v>10</v>
      </c>
      <c r="N208" s="1" t="s">
        <v>11</v>
      </c>
      <c r="O208">
        <v>27720000</v>
      </c>
      <c r="P208">
        <v>5220000</v>
      </c>
      <c r="Q208">
        <v>18.829999999999998</v>
      </c>
    </row>
    <row r="209" spans="1:17" x14ac:dyDescent="0.35">
      <c r="A209" s="1" t="s">
        <v>544</v>
      </c>
      <c r="B209" s="1" t="s">
        <v>191</v>
      </c>
      <c r="C209" s="1" t="s">
        <v>78</v>
      </c>
      <c r="D209" s="1" t="s">
        <v>121</v>
      </c>
      <c r="E209">
        <v>7</v>
      </c>
      <c r="F209" s="2">
        <v>45420</v>
      </c>
      <c r="G209" s="1" t="s">
        <v>1310</v>
      </c>
      <c r="H209" s="1" t="s">
        <v>1311</v>
      </c>
      <c r="I209" s="1" t="s">
        <v>11</v>
      </c>
      <c r="J209">
        <v>12000000</v>
      </c>
      <c r="K209">
        <v>13963000</v>
      </c>
      <c r="L209" s="1" t="s">
        <v>79</v>
      </c>
      <c r="M209" s="1" t="s">
        <v>10</v>
      </c>
      <c r="N209" s="1" t="s">
        <v>17</v>
      </c>
      <c r="O209">
        <v>97741000</v>
      </c>
      <c r="P209">
        <v>13741000</v>
      </c>
      <c r="Q209">
        <v>14.06</v>
      </c>
    </row>
    <row r="210" spans="1:17" x14ac:dyDescent="0.35">
      <c r="A210" s="1" t="s">
        <v>546</v>
      </c>
      <c r="B210" s="1" t="s">
        <v>116</v>
      </c>
      <c r="C210" s="1" t="s">
        <v>82</v>
      </c>
      <c r="D210" s="1" t="s">
        <v>157</v>
      </c>
      <c r="E210">
        <v>2</v>
      </c>
      <c r="F210" s="2">
        <v>45448</v>
      </c>
      <c r="G210" s="1" t="s">
        <v>1352</v>
      </c>
      <c r="H210" s="1" t="s">
        <v>1330</v>
      </c>
      <c r="I210" s="1" t="s">
        <v>1323</v>
      </c>
      <c r="J210">
        <v>5000000</v>
      </c>
      <c r="K210">
        <v>7546000</v>
      </c>
      <c r="L210" s="1" t="s">
        <v>83</v>
      </c>
      <c r="M210" s="1" t="s">
        <v>23</v>
      </c>
      <c r="N210" s="1" t="s">
        <v>84</v>
      </c>
      <c r="O210">
        <v>15092000</v>
      </c>
      <c r="P210">
        <v>5092000</v>
      </c>
      <c r="Q210">
        <v>33.74</v>
      </c>
    </row>
    <row r="211" spans="1:17" x14ac:dyDescent="0.35">
      <c r="A211" s="1" t="s">
        <v>548</v>
      </c>
      <c r="B211" s="1" t="s">
        <v>172</v>
      </c>
      <c r="C211" s="1" t="s">
        <v>51</v>
      </c>
      <c r="D211" s="1" t="s">
        <v>157</v>
      </c>
      <c r="E211">
        <v>12</v>
      </c>
      <c r="F211" s="2">
        <v>45493</v>
      </c>
      <c r="G211" s="1" t="s">
        <v>1340</v>
      </c>
      <c r="H211" s="1" t="s">
        <v>1330</v>
      </c>
      <c r="I211" s="1" t="s">
        <v>41</v>
      </c>
      <c r="J211">
        <v>950000</v>
      </c>
      <c r="K211">
        <v>1649000</v>
      </c>
      <c r="L211" s="1" t="s">
        <v>52</v>
      </c>
      <c r="M211" s="1" t="s">
        <v>23</v>
      </c>
      <c r="N211" s="1" t="s">
        <v>53</v>
      </c>
      <c r="O211">
        <v>19788000</v>
      </c>
      <c r="P211">
        <v>8388000</v>
      </c>
      <c r="Q211">
        <v>42.39</v>
      </c>
    </row>
    <row r="212" spans="1:17" x14ac:dyDescent="0.35">
      <c r="A212" s="1" t="s">
        <v>550</v>
      </c>
      <c r="B212" s="1" t="s">
        <v>116</v>
      </c>
      <c r="C212" s="1" t="s">
        <v>35</v>
      </c>
      <c r="D212" s="1" t="s">
        <v>124</v>
      </c>
      <c r="E212">
        <v>11</v>
      </c>
      <c r="F212" s="2">
        <v>45380</v>
      </c>
      <c r="G212" s="1" t="s">
        <v>1352</v>
      </c>
      <c r="H212" s="1" t="s">
        <v>1330</v>
      </c>
      <c r="I212" s="1" t="s">
        <v>1323</v>
      </c>
      <c r="J212">
        <v>5000000</v>
      </c>
      <c r="K212">
        <v>7546000</v>
      </c>
      <c r="L212" s="1" t="s">
        <v>36</v>
      </c>
      <c r="M212" s="1" t="s">
        <v>10</v>
      </c>
      <c r="N212" s="1" t="s">
        <v>11</v>
      </c>
      <c r="O212">
        <v>83006000</v>
      </c>
      <c r="P212">
        <v>28006000</v>
      </c>
      <c r="Q212">
        <v>33.74</v>
      </c>
    </row>
    <row r="213" spans="1:17" x14ac:dyDescent="0.35">
      <c r="A213" s="1" t="s">
        <v>552</v>
      </c>
      <c r="B213" s="1" t="s">
        <v>197</v>
      </c>
      <c r="C213" s="1" t="s">
        <v>87</v>
      </c>
      <c r="D213" s="1" t="s">
        <v>171</v>
      </c>
      <c r="E213">
        <v>12</v>
      </c>
      <c r="F213" s="2">
        <v>45451</v>
      </c>
      <c r="G213" s="1" t="s">
        <v>1350</v>
      </c>
      <c r="H213" s="1" t="s">
        <v>1336</v>
      </c>
      <c r="I213" s="1" t="s">
        <v>11</v>
      </c>
      <c r="J213">
        <v>1200000</v>
      </c>
      <c r="K213">
        <v>1375000</v>
      </c>
      <c r="L213" s="1" t="s">
        <v>88</v>
      </c>
      <c r="M213" s="1" t="s">
        <v>10</v>
      </c>
      <c r="N213" s="1" t="s">
        <v>89</v>
      </c>
      <c r="O213">
        <v>16500000</v>
      </c>
      <c r="P213">
        <v>2100000</v>
      </c>
      <c r="Q213">
        <v>12.73</v>
      </c>
    </row>
    <row r="214" spans="1:17" x14ac:dyDescent="0.35">
      <c r="A214" s="1" t="s">
        <v>554</v>
      </c>
      <c r="B214" s="1" t="s">
        <v>191</v>
      </c>
      <c r="C214" s="1" t="s">
        <v>15</v>
      </c>
      <c r="D214" s="1" t="s">
        <v>124</v>
      </c>
      <c r="E214">
        <v>12</v>
      </c>
      <c r="F214" s="2">
        <v>45501</v>
      </c>
      <c r="G214" s="1" t="s">
        <v>1310</v>
      </c>
      <c r="H214" s="1" t="s">
        <v>1311</v>
      </c>
      <c r="I214" s="1" t="s">
        <v>11</v>
      </c>
      <c r="J214">
        <v>12000000</v>
      </c>
      <c r="K214">
        <v>13963000</v>
      </c>
      <c r="L214" s="1" t="s">
        <v>16</v>
      </c>
      <c r="M214" s="1" t="s">
        <v>10</v>
      </c>
      <c r="N214" s="1" t="s">
        <v>17</v>
      </c>
      <c r="O214">
        <v>167556000</v>
      </c>
      <c r="P214">
        <v>23556000</v>
      </c>
      <c r="Q214">
        <v>14.06</v>
      </c>
    </row>
    <row r="215" spans="1:17" x14ac:dyDescent="0.35">
      <c r="A215" s="1" t="s">
        <v>556</v>
      </c>
      <c r="B215" s="1" t="s">
        <v>173</v>
      </c>
      <c r="C215" s="1" t="s">
        <v>69</v>
      </c>
      <c r="D215" s="1" t="s">
        <v>157</v>
      </c>
      <c r="E215">
        <v>8</v>
      </c>
      <c r="F215" s="2">
        <v>45542</v>
      </c>
      <c r="G215" s="1" t="s">
        <v>1342</v>
      </c>
      <c r="H215" s="1" t="s">
        <v>1317</v>
      </c>
      <c r="I215" s="1" t="s">
        <v>1323</v>
      </c>
      <c r="J215">
        <v>80000</v>
      </c>
      <c r="K215">
        <v>92000</v>
      </c>
      <c r="L215" s="1" t="s">
        <v>70</v>
      </c>
      <c r="M215" s="1" t="s">
        <v>10</v>
      </c>
      <c r="N215" s="1" t="s">
        <v>11</v>
      </c>
      <c r="O215">
        <v>736000</v>
      </c>
      <c r="P215">
        <v>96000</v>
      </c>
      <c r="Q215">
        <v>13.04</v>
      </c>
    </row>
    <row r="216" spans="1:17" x14ac:dyDescent="0.35">
      <c r="A216" s="1" t="s">
        <v>558</v>
      </c>
      <c r="B216" s="1" t="s">
        <v>188</v>
      </c>
      <c r="C216" s="1" t="s">
        <v>8</v>
      </c>
      <c r="D216" s="1" t="s">
        <v>124</v>
      </c>
      <c r="E216">
        <v>13</v>
      </c>
      <c r="F216" s="2">
        <v>45544</v>
      </c>
      <c r="G216" s="1" t="s">
        <v>1327</v>
      </c>
      <c r="H216" s="1" t="s">
        <v>1311</v>
      </c>
      <c r="I216" s="1" t="s">
        <v>41</v>
      </c>
      <c r="J216">
        <v>2800000</v>
      </c>
      <c r="K216">
        <v>4747000</v>
      </c>
      <c r="L216" s="1" t="s">
        <v>9</v>
      </c>
      <c r="M216" s="1" t="s">
        <v>10</v>
      </c>
      <c r="N216" s="1" t="s">
        <v>11</v>
      </c>
      <c r="O216">
        <v>61711000</v>
      </c>
      <c r="P216">
        <v>25311000</v>
      </c>
      <c r="Q216">
        <v>41.02</v>
      </c>
    </row>
    <row r="217" spans="1:17" x14ac:dyDescent="0.35">
      <c r="A217" s="1" t="s">
        <v>560</v>
      </c>
      <c r="B217" s="1" t="s">
        <v>141</v>
      </c>
      <c r="C217" s="1" t="s">
        <v>15</v>
      </c>
      <c r="D217" s="1" t="s">
        <v>171</v>
      </c>
      <c r="E217">
        <v>10</v>
      </c>
      <c r="F217" s="2">
        <v>45353</v>
      </c>
      <c r="G217" s="1" t="s">
        <v>1355</v>
      </c>
      <c r="H217" s="1" t="s">
        <v>1330</v>
      </c>
      <c r="I217" s="1" t="s">
        <v>41</v>
      </c>
      <c r="J217">
        <v>400000</v>
      </c>
      <c r="K217">
        <v>623000</v>
      </c>
      <c r="L217" s="1" t="s">
        <v>16</v>
      </c>
      <c r="M217" s="1" t="s">
        <v>10</v>
      </c>
      <c r="N217" s="1" t="s">
        <v>17</v>
      </c>
      <c r="O217">
        <v>6230000</v>
      </c>
      <c r="P217">
        <v>2230000</v>
      </c>
      <c r="Q217">
        <v>35.79</v>
      </c>
    </row>
    <row r="218" spans="1:17" x14ac:dyDescent="0.35">
      <c r="A218" s="1" t="s">
        <v>562</v>
      </c>
      <c r="B218" s="1" t="s">
        <v>191</v>
      </c>
      <c r="C218" s="1" t="s">
        <v>51</v>
      </c>
      <c r="D218" s="1" t="s">
        <v>171</v>
      </c>
      <c r="E218">
        <v>13</v>
      </c>
      <c r="F218" s="2">
        <v>45634</v>
      </c>
      <c r="G218" s="1" t="s">
        <v>1310</v>
      </c>
      <c r="H218" s="1" t="s">
        <v>1311</v>
      </c>
      <c r="I218" s="1" t="s">
        <v>11</v>
      </c>
      <c r="J218">
        <v>12000000</v>
      </c>
      <c r="K218">
        <v>13963000</v>
      </c>
      <c r="L218" s="1" t="s">
        <v>52</v>
      </c>
      <c r="M218" s="1" t="s">
        <v>23</v>
      </c>
      <c r="N218" s="1" t="s">
        <v>53</v>
      </c>
      <c r="O218">
        <v>181519000</v>
      </c>
      <c r="P218">
        <v>25519000</v>
      </c>
      <c r="Q218">
        <v>14.06</v>
      </c>
    </row>
    <row r="219" spans="1:17" x14ac:dyDescent="0.35">
      <c r="A219" s="1" t="s">
        <v>564</v>
      </c>
      <c r="B219" s="1" t="s">
        <v>173</v>
      </c>
      <c r="C219" s="1" t="s">
        <v>39</v>
      </c>
      <c r="D219" s="1" t="s">
        <v>124</v>
      </c>
      <c r="E219">
        <v>8</v>
      </c>
      <c r="F219" s="2">
        <v>45558</v>
      </c>
      <c r="G219" s="1" t="s">
        <v>1342</v>
      </c>
      <c r="H219" s="1" t="s">
        <v>1317</v>
      </c>
      <c r="I219" s="1" t="s">
        <v>1323</v>
      </c>
      <c r="J219">
        <v>80000</v>
      </c>
      <c r="K219">
        <v>92000</v>
      </c>
      <c r="L219" s="1" t="s">
        <v>40</v>
      </c>
      <c r="M219" s="1" t="s">
        <v>23</v>
      </c>
      <c r="N219" s="1" t="s">
        <v>41</v>
      </c>
      <c r="O219">
        <v>736000</v>
      </c>
      <c r="P219">
        <v>96000</v>
      </c>
      <c r="Q219">
        <v>13.04</v>
      </c>
    </row>
    <row r="220" spans="1:17" x14ac:dyDescent="0.35">
      <c r="A220" s="1" t="s">
        <v>566</v>
      </c>
      <c r="B220" s="1" t="s">
        <v>172</v>
      </c>
      <c r="C220" s="1" t="s">
        <v>35</v>
      </c>
      <c r="D220" s="1" t="s">
        <v>124</v>
      </c>
      <c r="E220">
        <v>12</v>
      </c>
      <c r="F220" s="2">
        <v>45557</v>
      </c>
      <c r="G220" s="1" t="s">
        <v>1340</v>
      </c>
      <c r="H220" s="1" t="s">
        <v>1330</v>
      </c>
      <c r="I220" s="1" t="s">
        <v>41</v>
      </c>
      <c r="J220">
        <v>950000</v>
      </c>
      <c r="K220">
        <v>1649000</v>
      </c>
      <c r="L220" s="1" t="s">
        <v>36</v>
      </c>
      <c r="M220" s="1" t="s">
        <v>10</v>
      </c>
      <c r="N220" s="1" t="s">
        <v>11</v>
      </c>
      <c r="O220">
        <v>19788000</v>
      </c>
      <c r="P220">
        <v>8388000</v>
      </c>
      <c r="Q220">
        <v>42.39</v>
      </c>
    </row>
    <row r="221" spans="1:17" x14ac:dyDescent="0.35">
      <c r="A221" s="1" t="s">
        <v>568</v>
      </c>
      <c r="B221" s="1" t="s">
        <v>113</v>
      </c>
      <c r="C221" s="1" t="s">
        <v>78</v>
      </c>
      <c r="D221" s="1" t="s">
        <v>143</v>
      </c>
      <c r="E221">
        <v>2</v>
      </c>
      <c r="F221" s="2">
        <v>45373</v>
      </c>
      <c r="G221" s="1" t="s">
        <v>1346</v>
      </c>
      <c r="H221" s="1" t="s">
        <v>1311</v>
      </c>
      <c r="I221" s="1" t="s">
        <v>1323</v>
      </c>
      <c r="J221">
        <v>4500000</v>
      </c>
      <c r="K221">
        <v>5522000</v>
      </c>
      <c r="L221" s="1" t="s">
        <v>79</v>
      </c>
      <c r="M221" s="1" t="s">
        <v>10</v>
      </c>
      <c r="N221" s="1" t="s">
        <v>17</v>
      </c>
      <c r="O221">
        <v>11044000</v>
      </c>
      <c r="P221">
        <v>2044000</v>
      </c>
      <c r="Q221">
        <v>18.510000000000002</v>
      </c>
    </row>
    <row r="222" spans="1:17" x14ac:dyDescent="0.35">
      <c r="A222" s="1" t="s">
        <v>570</v>
      </c>
      <c r="B222" s="1" t="s">
        <v>168</v>
      </c>
      <c r="C222" s="1" t="s">
        <v>73</v>
      </c>
      <c r="D222" s="1" t="s">
        <v>124</v>
      </c>
      <c r="E222">
        <v>8</v>
      </c>
      <c r="F222" s="2">
        <v>45547</v>
      </c>
      <c r="G222" s="1" t="s">
        <v>1338</v>
      </c>
      <c r="H222" s="1" t="s">
        <v>1336</v>
      </c>
      <c r="I222" s="1" t="s">
        <v>41</v>
      </c>
      <c r="J222">
        <v>500000</v>
      </c>
      <c r="K222">
        <v>844000</v>
      </c>
      <c r="L222" s="1" t="s">
        <v>74</v>
      </c>
      <c r="M222" s="1" t="s">
        <v>23</v>
      </c>
      <c r="N222" s="1" t="s">
        <v>75</v>
      </c>
      <c r="O222">
        <v>6752000</v>
      </c>
      <c r="P222">
        <v>2752000</v>
      </c>
      <c r="Q222">
        <v>40.76</v>
      </c>
    </row>
    <row r="223" spans="1:17" x14ac:dyDescent="0.35">
      <c r="A223" s="1" t="s">
        <v>572</v>
      </c>
      <c r="B223" s="1" t="s">
        <v>109</v>
      </c>
      <c r="C223" s="1" t="s">
        <v>15</v>
      </c>
      <c r="D223" s="1" t="s">
        <v>121</v>
      </c>
      <c r="E223">
        <v>5</v>
      </c>
      <c r="F223" s="2">
        <v>45639</v>
      </c>
      <c r="G223" s="1" t="s">
        <v>1357</v>
      </c>
      <c r="H223" s="1" t="s">
        <v>1358</v>
      </c>
      <c r="I223" s="1" t="s">
        <v>41</v>
      </c>
      <c r="J223">
        <v>2000000</v>
      </c>
      <c r="K223">
        <v>3382000</v>
      </c>
      <c r="L223" s="1" t="s">
        <v>16</v>
      </c>
      <c r="M223" s="1" t="s">
        <v>10</v>
      </c>
      <c r="N223" s="1" t="s">
        <v>17</v>
      </c>
      <c r="O223">
        <v>16910000</v>
      </c>
      <c r="P223">
        <v>6910000</v>
      </c>
      <c r="Q223">
        <v>40.86</v>
      </c>
    </row>
    <row r="224" spans="1:17" x14ac:dyDescent="0.35">
      <c r="A224" s="1" t="s">
        <v>574</v>
      </c>
      <c r="B224" s="1" t="s">
        <v>173</v>
      </c>
      <c r="C224" s="1" t="s">
        <v>8</v>
      </c>
      <c r="D224" s="1" t="s">
        <v>128</v>
      </c>
      <c r="E224">
        <v>5</v>
      </c>
      <c r="F224" s="2">
        <v>45600</v>
      </c>
      <c r="G224" s="1" t="s">
        <v>1342</v>
      </c>
      <c r="H224" s="1" t="s">
        <v>1317</v>
      </c>
      <c r="I224" s="1" t="s">
        <v>1323</v>
      </c>
      <c r="J224">
        <v>80000</v>
      </c>
      <c r="K224">
        <v>92000</v>
      </c>
      <c r="L224" s="1" t="s">
        <v>9</v>
      </c>
      <c r="M224" s="1" t="s">
        <v>10</v>
      </c>
      <c r="N224" s="1" t="s">
        <v>11</v>
      </c>
      <c r="O224">
        <v>460000</v>
      </c>
      <c r="P224">
        <v>60000</v>
      </c>
      <c r="Q224">
        <v>13.04</v>
      </c>
    </row>
    <row r="225" spans="1:17" x14ac:dyDescent="0.35">
      <c r="A225" s="1" t="s">
        <v>576</v>
      </c>
      <c r="B225" s="1" t="s">
        <v>191</v>
      </c>
      <c r="C225" s="1" t="s">
        <v>15</v>
      </c>
      <c r="D225" s="1" t="s">
        <v>143</v>
      </c>
      <c r="E225">
        <v>5</v>
      </c>
      <c r="F225" s="2">
        <v>45559</v>
      </c>
      <c r="G225" s="1" t="s">
        <v>1310</v>
      </c>
      <c r="H225" s="1" t="s">
        <v>1311</v>
      </c>
      <c r="I225" s="1" t="s">
        <v>11</v>
      </c>
      <c r="J225">
        <v>12000000</v>
      </c>
      <c r="K225">
        <v>13963000</v>
      </c>
      <c r="L225" s="1" t="s">
        <v>16</v>
      </c>
      <c r="M225" s="1" t="s">
        <v>10</v>
      </c>
      <c r="N225" s="1" t="s">
        <v>17</v>
      </c>
      <c r="O225">
        <v>69815000</v>
      </c>
      <c r="P225">
        <v>9815000</v>
      </c>
      <c r="Q225">
        <v>14.06</v>
      </c>
    </row>
    <row r="226" spans="1:17" x14ac:dyDescent="0.35">
      <c r="A226" s="1" t="s">
        <v>578</v>
      </c>
      <c r="B226" s="1" t="s">
        <v>116</v>
      </c>
      <c r="C226" s="1" t="s">
        <v>15</v>
      </c>
      <c r="D226" s="1" t="s">
        <v>171</v>
      </c>
      <c r="E226">
        <v>10</v>
      </c>
      <c r="F226" s="2">
        <v>45496</v>
      </c>
      <c r="G226" s="1" t="s">
        <v>1352</v>
      </c>
      <c r="H226" s="1" t="s">
        <v>1330</v>
      </c>
      <c r="I226" s="1" t="s">
        <v>1323</v>
      </c>
      <c r="J226">
        <v>5000000</v>
      </c>
      <c r="K226">
        <v>7546000</v>
      </c>
      <c r="L226" s="1" t="s">
        <v>16</v>
      </c>
      <c r="M226" s="1" t="s">
        <v>10</v>
      </c>
      <c r="N226" s="1" t="s">
        <v>17</v>
      </c>
      <c r="O226">
        <v>75460000</v>
      </c>
      <c r="P226">
        <v>25460000</v>
      </c>
      <c r="Q226">
        <v>33.74</v>
      </c>
    </row>
    <row r="227" spans="1:17" x14ac:dyDescent="0.35">
      <c r="A227" s="1" t="s">
        <v>580</v>
      </c>
      <c r="B227" s="1" t="s">
        <v>197</v>
      </c>
      <c r="C227" s="1" t="s">
        <v>45</v>
      </c>
      <c r="D227" s="1" t="s">
        <v>143</v>
      </c>
      <c r="E227">
        <v>9</v>
      </c>
      <c r="F227" s="2">
        <v>45611</v>
      </c>
      <c r="G227" s="1" t="s">
        <v>1350</v>
      </c>
      <c r="H227" s="1" t="s">
        <v>1336</v>
      </c>
      <c r="I227" s="1" t="s">
        <v>11</v>
      </c>
      <c r="J227">
        <v>1200000</v>
      </c>
      <c r="K227">
        <v>1375000</v>
      </c>
      <c r="L227" s="1" t="s">
        <v>46</v>
      </c>
      <c r="M227" s="1" t="s">
        <v>10</v>
      </c>
      <c r="N227" s="1" t="s">
        <v>47</v>
      </c>
      <c r="O227">
        <v>12375000</v>
      </c>
      <c r="P227">
        <v>1575000</v>
      </c>
      <c r="Q227">
        <v>12.73</v>
      </c>
    </row>
    <row r="228" spans="1:17" x14ac:dyDescent="0.35">
      <c r="A228" s="1" t="s">
        <v>582</v>
      </c>
      <c r="B228" s="1" t="s">
        <v>113</v>
      </c>
      <c r="C228" s="1" t="s">
        <v>82</v>
      </c>
      <c r="D228" s="1" t="s">
        <v>171</v>
      </c>
      <c r="E228">
        <v>10</v>
      </c>
      <c r="F228" s="2">
        <v>45579</v>
      </c>
      <c r="G228" s="1" t="s">
        <v>1346</v>
      </c>
      <c r="H228" s="1" t="s">
        <v>1311</v>
      </c>
      <c r="I228" s="1" t="s">
        <v>1323</v>
      </c>
      <c r="J228">
        <v>4500000</v>
      </c>
      <c r="K228">
        <v>5522000</v>
      </c>
      <c r="L228" s="1" t="s">
        <v>83</v>
      </c>
      <c r="M228" s="1" t="s">
        <v>23</v>
      </c>
      <c r="N228" s="1" t="s">
        <v>84</v>
      </c>
      <c r="O228">
        <v>55220000</v>
      </c>
      <c r="P228">
        <v>10220000</v>
      </c>
      <c r="Q228">
        <v>18.510000000000002</v>
      </c>
    </row>
    <row r="229" spans="1:17" x14ac:dyDescent="0.35">
      <c r="A229" s="1" t="s">
        <v>584</v>
      </c>
      <c r="B229" s="1" t="s">
        <v>109</v>
      </c>
      <c r="C229" s="1" t="s">
        <v>82</v>
      </c>
      <c r="D229" s="1" t="s">
        <v>171</v>
      </c>
      <c r="E229">
        <v>5</v>
      </c>
      <c r="F229" s="2">
        <v>45568</v>
      </c>
      <c r="G229" s="1" t="s">
        <v>1357</v>
      </c>
      <c r="H229" s="1" t="s">
        <v>1358</v>
      </c>
      <c r="I229" s="1" t="s">
        <v>41</v>
      </c>
      <c r="J229">
        <v>2000000</v>
      </c>
      <c r="K229">
        <v>3382000</v>
      </c>
      <c r="L229" s="1" t="s">
        <v>83</v>
      </c>
      <c r="M229" s="1" t="s">
        <v>23</v>
      </c>
      <c r="N229" s="1" t="s">
        <v>84</v>
      </c>
      <c r="O229">
        <v>16910000</v>
      </c>
      <c r="P229">
        <v>6910000</v>
      </c>
      <c r="Q229">
        <v>40.86</v>
      </c>
    </row>
    <row r="230" spans="1:17" x14ac:dyDescent="0.35">
      <c r="A230" s="1" t="s">
        <v>586</v>
      </c>
      <c r="B230" s="1" t="s">
        <v>168</v>
      </c>
      <c r="C230" s="1" t="s">
        <v>35</v>
      </c>
      <c r="D230" s="1" t="s">
        <v>121</v>
      </c>
      <c r="E230">
        <v>2</v>
      </c>
      <c r="F230" s="2">
        <v>45344</v>
      </c>
      <c r="G230" s="1" t="s">
        <v>1338</v>
      </c>
      <c r="H230" s="1" t="s">
        <v>1336</v>
      </c>
      <c r="I230" s="1" t="s">
        <v>41</v>
      </c>
      <c r="J230">
        <v>500000</v>
      </c>
      <c r="K230">
        <v>844000</v>
      </c>
      <c r="L230" s="1" t="s">
        <v>36</v>
      </c>
      <c r="M230" s="1" t="s">
        <v>10</v>
      </c>
      <c r="N230" s="1" t="s">
        <v>11</v>
      </c>
      <c r="O230">
        <v>1688000</v>
      </c>
      <c r="P230">
        <v>688000</v>
      </c>
      <c r="Q230">
        <v>40.76</v>
      </c>
    </row>
    <row r="231" spans="1:17" x14ac:dyDescent="0.35">
      <c r="A231" s="1" t="s">
        <v>588</v>
      </c>
      <c r="B231" s="1" t="s">
        <v>149</v>
      </c>
      <c r="C231" s="1" t="s">
        <v>87</v>
      </c>
      <c r="D231" s="1" t="s">
        <v>128</v>
      </c>
      <c r="E231">
        <v>13</v>
      </c>
      <c r="F231" s="2">
        <v>45537</v>
      </c>
      <c r="G231" s="1" t="s">
        <v>1316</v>
      </c>
      <c r="H231" s="1" t="s">
        <v>1317</v>
      </c>
      <c r="I231" s="1" t="s">
        <v>41</v>
      </c>
      <c r="J231">
        <v>100000</v>
      </c>
      <c r="K231">
        <v>169000</v>
      </c>
      <c r="L231" s="1" t="s">
        <v>88</v>
      </c>
      <c r="M231" s="1" t="s">
        <v>10</v>
      </c>
      <c r="N231" s="1" t="s">
        <v>89</v>
      </c>
      <c r="O231">
        <v>2197000</v>
      </c>
      <c r="P231">
        <v>897000</v>
      </c>
      <c r="Q231">
        <v>40.83</v>
      </c>
    </row>
    <row r="232" spans="1:17" x14ac:dyDescent="0.35">
      <c r="A232" s="1" t="s">
        <v>590</v>
      </c>
      <c r="B232" s="1" t="s">
        <v>197</v>
      </c>
      <c r="C232" s="1" t="s">
        <v>15</v>
      </c>
      <c r="D232" s="1" t="s">
        <v>157</v>
      </c>
      <c r="E232">
        <v>2</v>
      </c>
      <c r="F232" s="2">
        <v>45637</v>
      </c>
      <c r="G232" s="1" t="s">
        <v>1350</v>
      </c>
      <c r="H232" s="1" t="s">
        <v>1336</v>
      </c>
      <c r="I232" s="1" t="s">
        <v>11</v>
      </c>
      <c r="J232">
        <v>1200000</v>
      </c>
      <c r="K232">
        <v>1375000</v>
      </c>
      <c r="L232" s="1" t="s">
        <v>16</v>
      </c>
      <c r="M232" s="1" t="s">
        <v>10</v>
      </c>
      <c r="N232" s="1" t="s">
        <v>17</v>
      </c>
      <c r="O232">
        <v>2750000</v>
      </c>
      <c r="P232">
        <v>350000</v>
      </c>
      <c r="Q232">
        <v>12.73</v>
      </c>
    </row>
    <row r="233" spans="1:17" x14ac:dyDescent="0.35">
      <c r="A233" s="1" t="s">
        <v>592</v>
      </c>
      <c r="B233" s="1" t="s">
        <v>197</v>
      </c>
      <c r="C233" s="1" t="s">
        <v>35</v>
      </c>
      <c r="D233" s="1" t="s">
        <v>128</v>
      </c>
      <c r="E233">
        <v>9</v>
      </c>
      <c r="F233" s="2">
        <v>45343</v>
      </c>
      <c r="G233" s="1" t="s">
        <v>1350</v>
      </c>
      <c r="H233" s="1" t="s">
        <v>1336</v>
      </c>
      <c r="I233" s="1" t="s">
        <v>11</v>
      </c>
      <c r="J233">
        <v>1200000</v>
      </c>
      <c r="K233">
        <v>1375000</v>
      </c>
      <c r="L233" s="1" t="s">
        <v>36</v>
      </c>
      <c r="M233" s="1" t="s">
        <v>10</v>
      </c>
      <c r="N233" s="1" t="s">
        <v>11</v>
      </c>
      <c r="O233">
        <v>12375000</v>
      </c>
      <c r="P233">
        <v>1575000</v>
      </c>
      <c r="Q233">
        <v>12.73</v>
      </c>
    </row>
    <row r="234" spans="1:17" x14ac:dyDescent="0.35">
      <c r="A234" s="1" t="s">
        <v>594</v>
      </c>
      <c r="B234" s="1" t="s">
        <v>106</v>
      </c>
      <c r="C234" s="1" t="s">
        <v>39</v>
      </c>
      <c r="D234" s="1" t="s">
        <v>143</v>
      </c>
      <c r="E234">
        <v>13</v>
      </c>
      <c r="F234" s="2">
        <v>45361</v>
      </c>
      <c r="G234" s="1" t="s">
        <v>1348</v>
      </c>
      <c r="H234" s="1" t="s">
        <v>1317</v>
      </c>
      <c r="I234" s="1" t="s">
        <v>1323</v>
      </c>
      <c r="J234">
        <v>300000</v>
      </c>
      <c r="K234">
        <v>355000</v>
      </c>
      <c r="L234" s="1" t="s">
        <v>40</v>
      </c>
      <c r="M234" s="1" t="s">
        <v>23</v>
      </c>
      <c r="N234" s="1" t="s">
        <v>41</v>
      </c>
      <c r="O234">
        <v>4615000</v>
      </c>
      <c r="P234">
        <v>715000</v>
      </c>
      <c r="Q234">
        <v>15.49</v>
      </c>
    </row>
    <row r="235" spans="1:17" x14ac:dyDescent="0.35">
      <c r="A235" s="1" t="s">
        <v>596</v>
      </c>
      <c r="B235" s="1" t="s">
        <v>141</v>
      </c>
      <c r="C235" s="1" t="s">
        <v>87</v>
      </c>
      <c r="D235" s="1" t="s">
        <v>143</v>
      </c>
      <c r="E235">
        <v>4</v>
      </c>
      <c r="F235" s="2">
        <v>45575</v>
      </c>
      <c r="G235" s="1" t="s">
        <v>1355</v>
      </c>
      <c r="H235" s="1" t="s">
        <v>1330</v>
      </c>
      <c r="I235" s="1" t="s">
        <v>41</v>
      </c>
      <c r="J235">
        <v>400000</v>
      </c>
      <c r="K235">
        <v>623000</v>
      </c>
      <c r="L235" s="1" t="s">
        <v>88</v>
      </c>
      <c r="M235" s="1" t="s">
        <v>10</v>
      </c>
      <c r="N235" s="1" t="s">
        <v>89</v>
      </c>
      <c r="O235">
        <v>2492000</v>
      </c>
      <c r="P235">
        <v>892000</v>
      </c>
      <c r="Q235">
        <v>35.79</v>
      </c>
    </row>
    <row r="236" spans="1:17" x14ac:dyDescent="0.35">
      <c r="A236" s="1" t="s">
        <v>598</v>
      </c>
      <c r="B236" s="1" t="s">
        <v>173</v>
      </c>
      <c r="C236" s="1" t="s">
        <v>57</v>
      </c>
      <c r="D236" s="1" t="s">
        <v>128</v>
      </c>
      <c r="E236">
        <v>6</v>
      </c>
      <c r="F236" s="2">
        <v>45553</v>
      </c>
      <c r="G236" s="1" t="s">
        <v>1342</v>
      </c>
      <c r="H236" s="1" t="s">
        <v>1317</v>
      </c>
      <c r="I236" s="1" t="s">
        <v>1323</v>
      </c>
      <c r="J236">
        <v>80000</v>
      </c>
      <c r="K236">
        <v>92000</v>
      </c>
      <c r="L236" s="1" t="s">
        <v>58</v>
      </c>
      <c r="M236" s="1" t="s">
        <v>10</v>
      </c>
      <c r="N236" s="1" t="s">
        <v>59</v>
      </c>
      <c r="O236">
        <v>552000</v>
      </c>
      <c r="P236">
        <v>72000</v>
      </c>
      <c r="Q236">
        <v>13.04</v>
      </c>
    </row>
    <row r="237" spans="1:17" x14ac:dyDescent="0.35">
      <c r="A237" s="1" t="s">
        <v>600</v>
      </c>
      <c r="B237" s="1" t="s">
        <v>168</v>
      </c>
      <c r="C237" s="1" t="s">
        <v>69</v>
      </c>
      <c r="D237" s="1" t="s">
        <v>157</v>
      </c>
      <c r="E237">
        <v>2</v>
      </c>
      <c r="F237" s="2">
        <v>45383</v>
      </c>
      <c r="G237" s="1" t="s">
        <v>1338</v>
      </c>
      <c r="H237" s="1" t="s">
        <v>1336</v>
      </c>
      <c r="I237" s="1" t="s">
        <v>41</v>
      </c>
      <c r="J237">
        <v>500000</v>
      </c>
      <c r="K237">
        <v>844000</v>
      </c>
      <c r="L237" s="1" t="s">
        <v>70</v>
      </c>
      <c r="M237" s="1" t="s">
        <v>10</v>
      </c>
      <c r="N237" s="1" t="s">
        <v>11</v>
      </c>
      <c r="O237">
        <v>1688000</v>
      </c>
      <c r="P237">
        <v>688000</v>
      </c>
      <c r="Q237">
        <v>40.76</v>
      </c>
    </row>
    <row r="238" spans="1:17" x14ac:dyDescent="0.35">
      <c r="A238" s="1" t="s">
        <v>602</v>
      </c>
      <c r="B238" s="1" t="s">
        <v>133</v>
      </c>
      <c r="C238" s="1" t="s">
        <v>82</v>
      </c>
      <c r="D238" s="1" t="s">
        <v>171</v>
      </c>
      <c r="E238">
        <v>1</v>
      </c>
      <c r="F238" s="2">
        <v>45621</v>
      </c>
      <c r="G238" s="1" t="s">
        <v>1354</v>
      </c>
      <c r="H238" s="1" t="s">
        <v>1330</v>
      </c>
      <c r="I238" s="1" t="s">
        <v>11</v>
      </c>
      <c r="J238">
        <v>2500000</v>
      </c>
      <c r="K238">
        <v>3080000</v>
      </c>
      <c r="L238" s="1" t="s">
        <v>83</v>
      </c>
      <c r="M238" s="1" t="s">
        <v>23</v>
      </c>
      <c r="N238" s="1" t="s">
        <v>84</v>
      </c>
      <c r="O238">
        <v>3080000</v>
      </c>
      <c r="P238">
        <v>580000</v>
      </c>
      <c r="Q238">
        <v>18.829999999999998</v>
      </c>
    </row>
    <row r="239" spans="1:17" x14ac:dyDescent="0.35">
      <c r="A239" s="1" t="s">
        <v>604</v>
      </c>
      <c r="B239" s="1" t="s">
        <v>188</v>
      </c>
      <c r="C239" s="1" t="s">
        <v>8</v>
      </c>
      <c r="D239" s="1" t="s">
        <v>128</v>
      </c>
      <c r="E239">
        <v>2</v>
      </c>
      <c r="F239" s="2">
        <v>45488</v>
      </c>
      <c r="G239" s="1" t="s">
        <v>1327</v>
      </c>
      <c r="H239" s="1" t="s">
        <v>1311</v>
      </c>
      <c r="I239" s="1" t="s">
        <v>41</v>
      </c>
      <c r="J239">
        <v>2800000</v>
      </c>
      <c r="K239">
        <v>4747000</v>
      </c>
      <c r="L239" s="1" t="s">
        <v>9</v>
      </c>
      <c r="M239" s="1" t="s">
        <v>10</v>
      </c>
      <c r="N239" s="1" t="s">
        <v>11</v>
      </c>
      <c r="O239">
        <v>9494000</v>
      </c>
      <c r="P239">
        <v>3894000</v>
      </c>
      <c r="Q239">
        <v>41.02</v>
      </c>
    </row>
    <row r="240" spans="1:17" x14ac:dyDescent="0.35">
      <c r="A240" s="1" t="s">
        <v>606</v>
      </c>
      <c r="B240" s="1" t="s">
        <v>191</v>
      </c>
      <c r="C240" s="1" t="s">
        <v>82</v>
      </c>
      <c r="D240" s="1" t="s">
        <v>128</v>
      </c>
      <c r="E240">
        <v>4</v>
      </c>
      <c r="F240" s="2">
        <v>45297</v>
      </c>
      <c r="G240" s="1" t="s">
        <v>1310</v>
      </c>
      <c r="H240" s="1" t="s">
        <v>1311</v>
      </c>
      <c r="I240" s="1" t="s">
        <v>11</v>
      </c>
      <c r="J240">
        <v>12000000</v>
      </c>
      <c r="K240">
        <v>13963000</v>
      </c>
      <c r="L240" s="1" t="s">
        <v>83</v>
      </c>
      <c r="M240" s="1" t="s">
        <v>23</v>
      </c>
      <c r="N240" s="1" t="s">
        <v>84</v>
      </c>
      <c r="O240">
        <v>55852000</v>
      </c>
      <c r="P240">
        <v>7852000</v>
      </c>
      <c r="Q240">
        <v>14.06</v>
      </c>
    </row>
    <row r="241" spans="1:17" x14ac:dyDescent="0.35">
      <c r="A241" s="1" t="s">
        <v>608</v>
      </c>
      <c r="B241" s="1" t="s">
        <v>172</v>
      </c>
      <c r="C241" s="1" t="s">
        <v>15</v>
      </c>
      <c r="D241" s="1" t="s">
        <v>143</v>
      </c>
      <c r="E241">
        <v>7</v>
      </c>
      <c r="F241" s="2">
        <v>45481</v>
      </c>
      <c r="G241" s="1" t="s">
        <v>1340</v>
      </c>
      <c r="H241" s="1" t="s">
        <v>1330</v>
      </c>
      <c r="I241" s="1" t="s">
        <v>41</v>
      </c>
      <c r="J241">
        <v>950000</v>
      </c>
      <c r="K241">
        <v>1649000</v>
      </c>
      <c r="L241" s="1" t="s">
        <v>16</v>
      </c>
      <c r="M241" s="1" t="s">
        <v>10</v>
      </c>
      <c r="N241" s="1" t="s">
        <v>17</v>
      </c>
      <c r="O241">
        <v>11543000</v>
      </c>
      <c r="P241">
        <v>4893000</v>
      </c>
      <c r="Q241">
        <v>42.39</v>
      </c>
    </row>
    <row r="242" spans="1:17" x14ac:dyDescent="0.35">
      <c r="A242" s="1" t="s">
        <v>610</v>
      </c>
      <c r="B242" s="1" t="s">
        <v>137</v>
      </c>
      <c r="C242" s="1" t="s">
        <v>87</v>
      </c>
      <c r="D242" s="1" t="s">
        <v>121</v>
      </c>
      <c r="E242">
        <v>8</v>
      </c>
      <c r="F242" s="2">
        <v>45400</v>
      </c>
      <c r="G242" s="1" t="s">
        <v>1324</v>
      </c>
      <c r="H242" s="1" t="s">
        <v>1311</v>
      </c>
      <c r="I242" s="1" t="s">
        <v>11</v>
      </c>
      <c r="J242">
        <v>2000000</v>
      </c>
      <c r="K242">
        <v>2533000</v>
      </c>
      <c r="L242" s="1" t="s">
        <v>88</v>
      </c>
      <c r="M242" s="1" t="s">
        <v>10</v>
      </c>
      <c r="N242" s="1" t="s">
        <v>89</v>
      </c>
      <c r="O242">
        <v>20264000</v>
      </c>
      <c r="P242">
        <v>4264000</v>
      </c>
      <c r="Q242">
        <v>21.04</v>
      </c>
    </row>
    <row r="243" spans="1:17" x14ac:dyDescent="0.35">
      <c r="A243" s="1" t="s">
        <v>612</v>
      </c>
      <c r="B243" s="1" t="s">
        <v>164</v>
      </c>
      <c r="C243" s="1" t="s">
        <v>63</v>
      </c>
      <c r="D243" s="1" t="s">
        <v>121</v>
      </c>
      <c r="E243">
        <v>3</v>
      </c>
      <c r="F243" s="2">
        <v>45380</v>
      </c>
      <c r="G243" s="1" t="s">
        <v>1332</v>
      </c>
      <c r="H243" s="1" t="s">
        <v>1330</v>
      </c>
      <c r="I243" s="1" t="s">
        <v>11</v>
      </c>
      <c r="J243">
        <v>750000</v>
      </c>
      <c r="K243">
        <v>971000</v>
      </c>
      <c r="L243" s="1" t="s">
        <v>64</v>
      </c>
      <c r="M243" s="1" t="s">
        <v>23</v>
      </c>
      <c r="N243" s="1" t="s">
        <v>65</v>
      </c>
      <c r="O243">
        <v>2913000</v>
      </c>
      <c r="P243">
        <v>663000</v>
      </c>
      <c r="Q243">
        <v>22.76</v>
      </c>
    </row>
    <row r="244" spans="1:17" x14ac:dyDescent="0.35">
      <c r="A244" s="1" t="s">
        <v>613</v>
      </c>
      <c r="B244" s="1" t="s">
        <v>106</v>
      </c>
      <c r="C244" s="1" t="s">
        <v>8</v>
      </c>
      <c r="D244" s="1" t="s">
        <v>121</v>
      </c>
      <c r="E244">
        <v>15</v>
      </c>
      <c r="F244" s="2">
        <v>45309</v>
      </c>
      <c r="G244" s="1" t="s">
        <v>1348</v>
      </c>
      <c r="H244" s="1" t="s">
        <v>1317</v>
      </c>
      <c r="I244" s="1" t="s">
        <v>1323</v>
      </c>
      <c r="J244">
        <v>300000</v>
      </c>
      <c r="K244">
        <v>355000</v>
      </c>
      <c r="L244" s="1" t="s">
        <v>9</v>
      </c>
      <c r="M244" s="1" t="s">
        <v>10</v>
      </c>
      <c r="N244" s="1" t="s">
        <v>11</v>
      </c>
      <c r="O244">
        <v>5325000</v>
      </c>
      <c r="P244">
        <v>825000</v>
      </c>
      <c r="Q244">
        <v>15.49</v>
      </c>
    </row>
    <row r="245" spans="1:17" x14ac:dyDescent="0.35">
      <c r="A245" s="1" t="s">
        <v>615</v>
      </c>
      <c r="B245" s="1" t="s">
        <v>168</v>
      </c>
      <c r="C245" s="1" t="s">
        <v>21</v>
      </c>
      <c r="D245" s="1" t="s">
        <v>171</v>
      </c>
      <c r="E245">
        <v>9</v>
      </c>
      <c r="F245" s="2">
        <v>45621</v>
      </c>
      <c r="G245" s="1" t="s">
        <v>1338</v>
      </c>
      <c r="H245" s="1" t="s">
        <v>1336</v>
      </c>
      <c r="I245" s="1" t="s">
        <v>41</v>
      </c>
      <c r="J245">
        <v>500000</v>
      </c>
      <c r="K245">
        <v>844000</v>
      </c>
      <c r="L245" s="1" t="s">
        <v>22</v>
      </c>
      <c r="M245" s="1" t="s">
        <v>23</v>
      </c>
      <c r="N245" s="1" t="s">
        <v>24</v>
      </c>
      <c r="O245">
        <v>7596000</v>
      </c>
      <c r="P245">
        <v>3096000</v>
      </c>
      <c r="Q245">
        <v>40.76</v>
      </c>
    </row>
    <row r="246" spans="1:17" x14ac:dyDescent="0.35">
      <c r="A246" s="1" t="s">
        <v>616</v>
      </c>
      <c r="B246" s="1" t="s">
        <v>149</v>
      </c>
      <c r="C246" s="1" t="s">
        <v>82</v>
      </c>
      <c r="D246" s="1" t="s">
        <v>121</v>
      </c>
      <c r="E246">
        <v>14</v>
      </c>
      <c r="F246" s="2">
        <v>45647</v>
      </c>
      <c r="G246" s="1" t="s">
        <v>1316</v>
      </c>
      <c r="H246" s="1" t="s">
        <v>1317</v>
      </c>
      <c r="I246" s="1" t="s">
        <v>41</v>
      </c>
      <c r="J246">
        <v>100000</v>
      </c>
      <c r="K246">
        <v>169000</v>
      </c>
      <c r="L246" s="1" t="s">
        <v>83</v>
      </c>
      <c r="M246" s="1" t="s">
        <v>23</v>
      </c>
      <c r="N246" s="1" t="s">
        <v>84</v>
      </c>
      <c r="O246">
        <v>2366000</v>
      </c>
      <c r="P246">
        <v>966000</v>
      </c>
      <c r="Q246">
        <v>40.83</v>
      </c>
    </row>
    <row r="247" spans="1:17" x14ac:dyDescent="0.35">
      <c r="A247" s="1" t="s">
        <v>618</v>
      </c>
      <c r="B247" s="1" t="s">
        <v>149</v>
      </c>
      <c r="C247" s="1" t="s">
        <v>8</v>
      </c>
      <c r="D247" s="1" t="s">
        <v>157</v>
      </c>
      <c r="E247">
        <v>15</v>
      </c>
      <c r="F247" s="2">
        <v>45463</v>
      </c>
      <c r="G247" s="1" t="s">
        <v>1316</v>
      </c>
      <c r="H247" s="1" t="s">
        <v>1317</v>
      </c>
      <c r="I247" s="1" t="s">
        <v>41</v>
      </c>
      <c r="J247">
        <v>100000</v>
      </c>
      <c r="K247">
        <v>169000</v>
      </c>
      <c r="L247" s="1" t="s">
        <v>9</v>
      </c>
      <c r="M247" s="1" t="s">
        <v>10</v>
      </c>
      <c r="N247" s="1" t="s">
        <v>11</v>
      </c>
      <c r="O247">
        <v>2535000</v>
      </c>
      <c r="P247">
        <v>1035000</v>
      </c>
      <c r="Q247">
        <v>40.83</v>
      </c>
    </row>
    <row r="248" spans="1:17" x14ac:dyDescent="0.35">
      <c r="A248" s="1" t="s">
        <v>620</v>
      </c>
      <c r="B248" s="1" t="s">
        <v>173</v>
      </c>
      <c r="C248" s="1" t="s">
        <v>51</v>
      </c>
      <c r="D248" s="1" t="s">
        <v>124</v>
      </c>
      <c r="E248">
        <v>1</v>
      </c>
      <c r="F248" s="2">
        <v>45333</v>
      </c>
      <c r="G248" s="1" t="s">
        <v>1342</v>
      </c>
      <c r="H248" s="1" t="s">
        <v>1317</v>
      </c>
      <c r="I248" s="1" t="s">
        <v>1323</v>
      </c>
      <c r="J248">
        <v>80000</v>
      </c>
      <c r="K248">
        <v>92000</v>
      </c>
      <c r="L248" s="1" t="s">
        <v>52</v>
      </c>
      <c r="M248" s="1" t="s">
        <v>23</v>
      </c>
      <c r="N248" s="1" t="s">
        <v>53</v>
      </c>
      <c r="O248">
        <v>92000</v>
      </c>
      <c r="P248">
        <v>12000</v>
      </c>
      <c r="Q248">
        <v>13.04</v>
      </c>
    </row>
    <row r="249" spans="1:17" x14ac:dyDescent="0.35">
      <c r="A249" s="1" t="s">
        <v>622</v>
      </c>
      <c r="B249" s="1" t="s">
        <v>176</v>
      </c>
      <c r="C249" s="1" t="s">
        <v>57</v>
      </c>
      <c r="D249" s="1" t="s">
        <v>157</v>
      </c>
      <c r="E249">
        <v>5</v>
      </c>
      <c r="F249" s="2">
        <v>45479</v>
      </c>
      <c r="G249" s="1" t="s">
        <v>1329</v>
      </c>
      <c r="H249" s="1" t="s">
        <v>1330</v>
      </c>
      <c r="I249" s="1" t="s">
        <v>1323</v>
      </c>
      <c r="J249">
        <v>1500000</v>
      </c>
      <c r="K249">
        <v>1772000</v>
      </c>
      <c r="L249" s="1" t="s">
        <v>58</v>
      </c>
      <c r="M249" s="1" t="s">
        <v>10</v>
      </c>
      <c r="N249" s="1" t="s">
        <v>59</v>
      </c>
      <c r="O249">
        <v>8860000</v>
      </c>
      <c r="P249">
        <v>1360000</v>
      </c>
      <c r="Q249">
        <v>15.35</v>
      </c>
    </row>
    <row r="250" spans="1:17" x14ac:dyDescent="0.35">
      <c r="A250" s="1" t="s">
        <v>624</v>
      </c>
      <c r="B250" s="1" t="s">
        <v>113</v>
      </c>
      <c r="C250" s="1" t="s">
        <v>51</v>
      </c>
      <c r="D250" s="1" t="s">
        <v>157</v>
      </c>
      <c r="E250">
        <v>5</v>
      </c>
      <c r="F250" s="2">
        <v>45628</v>
      </c>
      <c r="G250" s="1" t="s">
        <v>1346</v>
      </c>
      <c r="H250" s="1" t="s">
        <v>1311</v>
      </c>
      <c r="I250" s="1" t="s">
        <v>1323</v>
      </c>
      <c r="J250">
        <v>4500000</v>
      </c>
      <c r="K250">
        <v>5522000</v>
      </c>
      <c r="L250" s="1" t="s">
        <v>52</v>
      </c>
      <c r="M250" s="1" t="s">
        <v>23</v>
      </c>
      <c r="N250" s="1" t="s">
        <v>53</v>
      </c>
      <c r="O250">
        <v>27610000</v>
      </c>
      <c r="P250">
        <v>5110000</v>
      </c>
      <c r="Q250">
        <v>18.510000000000002</v>
      </c>
    </row>
    <row r="251" spans="1:17" x14ac:dyDescent="0.35">
      <c r="A251" s="1" t="s">
        <v>626</v>
      </c>
      <c r="B251" s="1" t="s">
        <v>176</v>
      </c>
      <c r="C251" s="1" t="s">
        <v>39</v>
      </c>
      <c r="D251" s="1" t="s">
        <v>171</v>
      </c>
      <c r="E251">
        <v>14</v>
      </c>
      <c r="F251" s="2">
        <v>45413</v>
      </c>
      <c r="G251" s="1" t="s">
        <v>1329</v>
      </c>
      <c r="H251" s="1" t="s">
        <v>1330</v>
      </c>
      <c r="I251" s="1" t="s">
        <v>1323</v>
      </c>
      <c r="J251">
        <v>1500000</v>
      </c>
      <c r="K251">
        <v>1772000</v>
      </c>
      <c r="L251" s="1" t="s">
        <v>40</v>
      </c>
      <c r="M251" s="1" t="s">
        <v>23</v>
      </c>
      <c r="N251" s="1" t="s">
        <v>41</v>
      </c>
      <c r="O251">
        <v>24808000</v>
      </c>
      <c r="P251">
        <v>3808000</v>
      </c>
      <c r="Q251">
        <v>15.35</v>
      </c>
    </row>
    <row r="252" spans="1:17" x14ac:dyDescent="0.35">
      <c r="A252" s="1" t="s">
        <v>628</v>
      </c>
      <c r="B252" s="1" t="s">
        <v>106</v>
      </c>
      <c r="C252" s="1" t="s">
        <v>63</v>
      </c>
      <c r="D252" s="1" t="s">
        <v>157</v>
      </c>
      <c r="E252">
        <v>10</v>
      </c>
      <c r="F252" s="2">
        <v>45528</v>
      </c>
      <c r="G252" s="1" t="s">
        <v>1348</v>
      </c>
      <c r="H252" s="1" t="s">
        <v>1317</v>
      </c>
      <c r="I252" s="1" t="s">
        <v>1323</v>
      </c>
      <c r="J252">
        <v>300000</v>
      </c>
      <c r="K252">
        <v>355000</v>
      </c>
      <c r="L252" s="1" t="s">
        <v>64</v>
      </c>
      <c r="M252" s="1" t="s">
        <v>23</v>
      </c>
      <c r="N252" s="1" t="s">
        <v>65</v>
      </c>
      <c r="O252">
        <v>3550000</v>
      </c>
      <c r="P252">
        <v>550000</v>
      </c>
      <c r="Q252">
        <v>15.49</v>
      </c>
    </row>
    <row r="253" spans="1:17" x14ac:dyDescent="0.35">
      <c r="A253" s="1" t="s">
        <v>630</v>
      </c>
      <c r="B253" s="1" t="s">
        <v>176</v>
      </c>
      <c r="C253" s="1" t="s">
        <v>15</v>
      </c>
      <c r="D253" s="1" t="s">
        <v>128</v>
      </c>
      <c r="E253">
        <v>10</v>
      </c>
      <c r="F253" s="2">
        <v>45626</v>
      </c>
      <c r="G253" s="1" t="s">
        <v>1329</v>
      </c>
      <c r="H253" s="1" t="s">
        <v>1330</v>
      </c>
      <c r="I253" s="1" t="s">
        <v>1323</v>
      </c>
      <c r="J253">
        <v>1500000</v>
      </c>
      <c r="K253">
        <v>1772000</v>
      </c>
      <c r="L253" s="1" t="s">
        <v>16</v>
      </c>
      <c r="M253" s="1" t="s">
        <v>10</v>
      </c>
      <c r="N253" s="1" t="s">
        <v>17</v>
      </c>
      <c r="O253">
        <v>17720000</v>
      </c>
      <c r="P253">
        <v>2720000</v>
      </c>
      <c r="Q253">
        <v>15.35</v>
      </c>
    </row>
    <row r="254" spans="1:17" x14ac:dyDescent="0.35">
      <c r="A254" s="1" t="s">
        <v>632</v>
      </c>
      <c r="B254" s="1" t="s">
        <v>133</v>
      </c>
      <c r="C254" s="1" t="s">
        <v>45</v>
      </c>
      <c r="D254" s="1" t="s">
        <v>143</v>
      </c>
      <c r="E254">
        <v>14</v>
      </c>
      <c r="F254" s="2">
        <v>45548</v>
      </c>
      <c r="G254" s="1" t="s">
        <v>1354</v>
      </c>
      <c r="H254" s="1" t="s">
        <v>1330</v>
      </c>
      <c r="I254" s="1" t="s">
        <v>11</v>
      </c>
      <c r="J254">
        <v>2500000</v>
      </c>
      <c r="K254">
        <v>3080000</v>
      </c>
      <c r="L254" s="1" t="s">
        <v>46</v>
      </c>
      <c r="M254" s="1" t="s">
        <v>10</v>
      </c>
      <c r="N254" s="1" t="s">
        <v>47</v>
      </c>
      <c r="O254">
        <v>43120000</v>
      </c>
      <c r="P254">
        <v>8120000</v>
      </c>
      <c r="Q254">
        <v>18.829999999999998</v>
      </c>
    </row>
    <row r="255" spans="1:17" x14ac:dyDescent="0.35">
      <c r="A255" s="1" t="s">
        <v>634</v>
      </c>
      <c r="B255" s="1" t="s">
        <v>137</v>
      </c>
      <c r="C255" s="1" t="s">
        <v>21</v>
      </c>
      <c r="D255" s="1" t="s">
        <v>128</v>
      </c>
      <c r="E255">
        <v>8</v>
      </c>
      <c r="F255" s="2">
        <v>45543</v>
      </c>
      <c r="G255" s="1" t="s">
        <v>1324</v>
      </c>
      <c r="H255" s="1" t="s">
        <v>1311</v>
      </c>
      <c r="I255" s="1" t="s">
        <v>11</v>
      </c>
      <c r="J255">
        <v>2000000</v>
      </c>
      <c r="K255">
        <v>2533000</v>
      </c>
      <c r="L255" s="1" t="s">
        <v>22</v>
      </c>
      <c r="M255" s="1" t="s">
        <v>23</v>
      </c>
      <c r="N255" s="1" t="s">
        <v>24</v>
      </c>
      <c r="O255">
        <v>20264000</v>
      </c>
      <c r="P255">
        <v>4264000</v>
      </c>
      <c r="Q255">
        <v>21.04</v>
      </c>
    </row>
    <row r="256" spans="1:17" x14ac:dyDescent="0.35">
      <c r="A256" s="1" t="s">
        <v>636</v>
      </c>
      <c r="B256" s="1" t="s">
        <v>240</v>
      </c>
      <c r="C256" s="1" t="s">
        <v>78</v>
      </c>
      <c r="D256" s="1" t="s">
        <v>124</v>
      </c>
      <c r="E256">
        <v>11</v>
      </c>
      <c r="F256" s="2">
        <v>45501</v>
      </c>
      <c r="G256" s="1" t="s">
        <v>1326</v>
      </c>
      <c r="H256" s="1" t="s">
        <v>1317</v>
      </c>
      <c r="I256" s="1" t="s">
        <v>41</v>
      </c>
      <c r="J256">
        <v>350000</v>
      </c>
      <c r="K256">
        <v>626000</v>
      </c>
      <c r="L256" s="1" t="s">
        <v>79</v>
      </c>
      <c r="M256" s="1" t="s">
        <v>10</v>
      </c>
      <c r="N256" s="1" t="s">
        <v>17</v>
      </c>
      <c r="O256">
        <v>6886000</v>
      </c>
      <c r="P256">
        <v>3036000</v>
      </c>
      <c r="Q256">
        <v>44.09</v>
      </c>
    </row>
    <row r="257" spans="1:17" x14ac:dyDescent="0.35">
      <c r="A257" s="1" t="s">
        <v>637</v>
      </c>
      <c r="B257" s="1" t="s">
        <v>141</v>
      </c>
      <c r="C257" s="1" t="s">
        <v>57</v>
      </c>
      <c r="D257" s="1" t="s">
        <v>143</v>
      </c>
      <c r="E257">
        <v>10</v>
      </c>
      <c r="F257" s="2">
        <v>45517</v>
      </c>
      <c r="G257" s="1" t="s">
        <v>1355</v>
      </c>
      <c r="H257" s="1" t="s">
        <v>1330</v>
      </c>
      <c r="I257" s="1" t="s">
        <v>41</v>
      </c>
      <c r="J257">
        <v>400000</v>
      </c>
      <c r="K257">
        <v>623000</v>
      </c>
      <c r="L257" s="1" t="s">
        <v>58</v>
      </c>
      <c r="M257" s="1" t="s">
        <v>10</v>
      </c>
      <c r="N257" s="1" t="s">
        <v>59</v>
      </c>
      <c r="O257">
        <v>6230000</v>
      </c>
      <c r="P257">
        <v>2230000</v>
      </c>
      <c r="Q257">
        <v>35.79</v>
      </c>
    </row>
    <row r="258" spans="1:17" x14ac:dyDescent="0.35">
      <c r="A258" s="1" t="s">
        <v>637</v>
      </c>
      <c r="B258" s="1" t="s">
        <v>109</v>
      </c>
      <c r="C258" s="1" t="s">
        <v>57</v>
      </c>
      <c r="D258" s="1" t="s">
        <v>143</v>
      </c>
      <c r="E258">
        <v>10</v>
      </c>
      <c r="F258" s="2">
        <v>45517</v>
      </c>
      <c r="G258" s="1" t="s">
        <v>1357</v>
      </c>
      <c r="H258" s="1" t="s">
        <v>1358</v>
      </c>
      <c r="I258" s="1" t="s">
        <v>41</v>
      </c>
      <c r="J258">
        <v>2000000</v>
      </c>
      <c r="K258">
        <v>3382000</v>
      </c>
      <c r="L258" s="1" t="s">
        <v>58</v>
      </c>
      <c r="M258" s="1" t="s">
        <v>10</v>
      </c>
      <c r="N258" s="1" t="s">
        <v>59</v>
      </c>
      <c r="O258">
        <v>33820000</v>
      </c>
      <c r="P258">
        <v>13820000</v>
      </c>
      <c r="Q258">
        <v>40.86</v>
      </c>
    </row>
    <row r="259" spans="1:17" x14ac:dyDescent="0.35">
      <c r="A259" s="1" t="s">
        <v>637</v>
      </c>
      <c r="B259" s="1" t="s">
        <v>639</v>
      </c>
      <c r="C259" s="1" t="s">
        <v>57</v>
      </c>
      <c r="D259" s="1" t="s">
        <v>143</v>
      </c>
      <c r="E259">
        <v>10</v>
      </c>
      <c r="F259" s="2">
        <v>45517</v>
      </c>
      <c r="G259" s="1" t="s">
        <v>1360</v>
      </c>
      <c r="H259" s="1" t="s">
        <v>1311</v>
      </c>
      <c r="I259" s="1" t="s">
        <v>11</v>
      </c>
      <c r="J259">
        <v>7000000</v>
      </c>
      <c r="K259">
        <v>10409000</v>
      </c>
      <c r="L259" s="1" t="s">
        <v>58</v>
      </c>
      <c r="M259" s="1" t="s">
        <v>10</v>
      </c>
      <c r="N259" s="1" t="s">
        <v>59</v>
      </c>
      <c r="O259">
        <v>104090000</v>
      </c>
      <c r="P259">
        <v>34090000</v>
      </c>
      <c r="Q259">
        <v>32.75</v>
      </c>
    </row>
    <row r="260" spans="1:17" x14ac:dyDescent="0.35">
      <c r="A260" s="1" t="s">
        <v>640</v>
      </c>
      <c r="B260" s="1" t="s">
        <v>116</v>
      </c>
      <c r="C260" s="1" t="s">
        <v>73</v>
      </c>
      <c r="D260" s="1" t="s">
        <v>124</v>
      </c>
      <c r="E260">
        <v>9</v>
      </c>
      <c r="F260" s="2">
        <v>45480</v>
      </c>
      <c r="G260" s="1" t="s">
        <v>1352</v>
      </c>
      <c r="H260" s="1" t="s">
        <v>1330</v>
      </c>
      <c r="I260" s="1" t="s">
        <v>1323</v>
      </c>
      <c r="J260">
        <v>5000000</v>
      </c>
      <c r="K260">
        <v>7546000</v>
      </c>
      <c r="L260" s="1" t="s">
        <v>74</v>
      </c>
      <c r="M260" s="1" t="s">
        <v>23</v>
      </c>
      <c r="N260" s="1" t="s">
        <v>75</v>
      </c>
      <c r="O260">
        <v>67914000</v>
      </c>
      <c r="P260">
        <v>22914000</v>
      </c>
      <c r="Q260">
        <v>33.74</v>
      </c>
    </row>
    <row r="261" spans="1:17" x14ac:dyDescent="0.35">
      <c r="A261" s="1" t="s">
        <v>642</v>
      </c>
      <c r="B261" s="1" t="s">
        <v>164</v>
      </c>
      <c r="C261" s="1" t="s">
        <v>78</v>
      </c>
      <c r="D261" s="1" t="s">
        <v>171</v>
      </c>
      <c r="E261">
        <v>11</v>
      </c>
      <c r="F261" s="2">
        <v>45548</v>
      </c>
      <c r="G261" s="1" t="s">
        <v>1332</v>
      </c>
      <c r="H261" s="1" t="s">
        <v>1330</v>
      </c>
      <c r="I261" s="1" t="s">
        <v>11</v>
      </c>
      <c r="J261">
        <v>750000</v>
      </c>
      <c r="K261">
        <v>971000</v>
      </c>
      <c r="L261" s="1" t="s">
        <v>79</v>
      </c>
      <c r="M261" s="1" t="s">
        <v>10</v>
      </c>
      <c r="N261" s="1" t="s">
        <v>17</v>
      </c>
      <c r="O261">
        <v>10681000</v>
      </c>
      <c r="P261">
        <v>2431000</v>
      </c>
      <c r="Q261">
        <v>22.76</v>
      </c>
    </row>
    <row r="262" spans="1:17" x14ac:dyDescent="0.35">
      <c r="A262" s="1" t="s">
        <v>643</v>
      </c>
      <c r="B262" s="1" t="s">
        <v>113</v>
      </c>
      <c r="C262" s="1" t="s">
        <v>35</v>
      </c>
      <c r="D262" s="1" t="s">
        <v>143</v>
      </c>
      <c r="E262">
        <v>15</v>
      </c>
      <c r="F262" s="2">
        <v>45447</v>
      </c>
      <c r="G262" s="1" t="s">
        <v>1346</v>
      </c>
      <c r="H262" s="1" t="s">
        <v>1311</v>
      </c>
      <c r="I262" s="1" t="s">
        <v>1323</v>
      </c>
      <c r="J262">
        <v>4500000</v>
      </c>
      <c r="K262">
        <v>5522000</v>
      </c>
      <c r="L262" s="1" t="s">
        <v>36</v>
      </c>
      <c r="M262" s="1" t="s">
        <v>10</v>
      </c>
      <c r="N262" s="1" t="s">
        <v>11</v>
      </c>
      <c r="O262">
        <v>82830000</v>
      </c>
      <c r="P262">
        <v>15330000</v>
      </c>
      <c r="Q262">
        <v>18.510000000000002</v>
      </c>
    </row>
    <row r="263" spans="1:17" x14ac:dyDescent="0.35">
      <c r="A263" s="1" t="s">
        <v>645</v>
      </c>
      <c r="B263" s="1" t="s">
        <v>168</v>
      </c>
      <c r="C263" s="1" t="s">
        <v>21</v>
      </c>
      <c r="D263" s="1" t="s">
        <v>124</v>
      </c>
      <c r="E263">
        <v>15</v>
      </c>
      <c r="F263" s="2">
        <v>45374</v>
      </c>
      <c r="G263" s="1" t="s">
        <v>1338</v>
      </c>
      <c r="H263" s="1" t="s">
        <v>1336</v>
      </c>
      <c r="I263" s="1" t="s">
        <v>41</v>
      </c>
      <c r="J263">
        <v>500000</v>
      </c>
      <c r="K263">
        <v>844000</v>
      </c>
      <c r="L263" s="1" t="s">
        <v>22</v>
      </c>
      <c r="M263" s="1" t="s">
        <v>23</v>
      </c>
      <c r="N263" s="1" t="s">
        <v>24</v>
      </c>
      <c r="O263">
        <v>12660000</v>
      </c>
      <c r="P263">
        <v>5160000</v>
      </c>
      <c r="Q263">
        <v>40.76</v>
      </c>
    </row>
    <row r="264" spans="1:17" x14ac:dyDescent="0.35">
      <c r="A264" s="1" t="s">
        <v>647</v>
      </c>
      <c r="B264" s="1" t="s">
        <v>164</v>
      </c>
      <c r="C264" s="1" t="s">
        <v>82</v>
      </c>
      <c r="D264" s="1" t="s">
        <v>171</v>
      </c>
      <c r="E264">
        <v>13</v>
      </c>
      <c r="F264" s="2">
        <v>45447</v>
      </c>
      <c r="G264" s="1" t="s">
        <v>1332</v>
      </c>
      <c r="H264" s="1" t="s">
        <v>1330</v>
      </c>
      <c r="I264" s="1" t="s">
        <v>11</v>
      </c>
      <c r="J264">
        <v>750000</v>
      </c>
      <c r="K264">
        <v>971000</v>
      </c>
      <c r="L264" s="1" t="s">
        <v>83</v>
      </c>
      <c r="M264" s="1" t="s">
        <v>23</v>
      </c>
      <c r="N264" s="1" t="s">
        <v>84</v>
      </c>
      <c r="O264">
        <v>12623000</v>
      </c>
      <c r="P264">
        <v>2873000</v>
      </c>
      <c r="Q264">
        <v>22.76</v>
      </c>
    </row>
    <row r="265" spans="1:17" x14ac:dyDescent="0.35">
      <c r="A265" s="1" t="s">
        <v>648</v>
      </c>
      <c r="B265" s="1" t="s">
        <v>106</v>
      </c>
      <c r="C265" s="1" t="s">
        <v>8</v>
      </c>
      <c r="D265" s="1" t="s">
        <v>157</v>
      </c>
      <c r="E265">
        <v>6</v>
      </c>
      <c r="F265" s="2">
        <v>45292</v>
      </c>
      <c r="G265" s="1" t="s">
        <v>1348</v>
      </c>
      <c r="H265" s="1" t="s">
        <v>1317</v>
      </c>
      <c r="I265" s="1" t="s">
        <v>1323</v>
      </c>
      <c r="J265">
        <v>300000</v>
      </c>
      <c r="K265">
        <v>355000</v>
      </c>
      <c r="L265" s="1" t="s">
        <v>9</v>
      </c>
      <c r="M265" s="1" t="s">
        <v>10</v>
      </c>
      <c r="N265" s="1" t="s">
        <v>11</v>
      </c>
      <c r="O265">
        <v>2130000</v>
      </c>
      <c r="P265">
        <v>330000</v>
      </c>
      <c r="Q265">
        <v>15.49</v>
      </c>
    </row>
    <row r="266" spans="1:17" x14ac:dyDescent="0.35">
      <c r="A266" s="1" t="s">
        <v>650</v>
      </c>
      <c r="B266" s="1" t="s">
        <v>133</v>
      </c>
      <c r="C266" s="1" t="s">
        <v>63</v>
      </c>
      <c r="D266" s="1" t="s">
        <v>171</v>
      </c>
      <c r="E266">
        <v>9</v>
      </c>
      <c r="F266" s="2">
        <v>45516</v>
      </c>
      <c r="G266" s="1" t="s">
        <v>1354</v>
      </c>
      <c r="H266" s="1" t="s">
        <v>1330</v>
      </c>
      <c r="I266" s="1" t="s">
        <v>11</v>
      </c>
      <c r="J266">
        <v>2500000</v>
      </c>
      <c r="K266">
        <v>3080000</v>
      </c>
      <c r="L266" s="1" t="s">
        <v>64</v>
      </c>
      <c r="M266" s="1" t="s">
        <v>23</v>
      </c>
      <c r="N266" s="1" t="s">
        <v>65</v>
      </c>
      <c r="O266">
        <v>27720000</v>
      </c>
      <c r="P266">
        <v>5220000</v>
      </c>
      <c r="Q266">
        <v>18.829999999999998</v>
      </c>
    </row>
    <row r="267" spans="1:17" x14ac:dyDescent="0.35">
      <c r="A267" s="1" t="s">
        <v>652</v>
      </c>
      <c r="B267" s="1" t="s">
        <v>141</v>
      </c>
      <c r="C267" s="1" t="s">
        <v>51</v>
      </c>
      <c r="D267" s="1" t="s">
        <v>143</v>
      </c>
      <c r="E267">
        <v>4</v>
      </c>
      <c r="F267" s="2">
        <v>45592</v>
      </c>
      <c r="G267" s="1" t="s">
        <v>1355</v>
      </c>
      <c r="H267" s="1" t="s">
        <v>1330</v>
      </c>
      <c r="I267" s="1" t="s">
        <v>41</v>
      </c>
      <c r="J267">
        <v>400000</v>
      </c>
      <c r="K267">
        <v>623000</v>
      </c>
      <c r="L267" s="1" t="s">
        <v>52</v>
      </c>
      <c r="M267" s="1" t="s">
        <v>23</v>
      </c>
      <c r="N267" s="1" t="s">
        <v>53</v>
      </c>
      <c r="O267">
        <v>2492000</v>
      </c>
      <c r="P267">
        <v>892000</v>
      </c>
      <c r="Q267">
        <v>35.79</v>
      </c>
    </row>
    <row r="268" spans="1:17" x14ac:dyDescent="0.35">
      <c r="A268" s="1" t="s">
        <v>654</v>
      </c>
      <c r="B268" s="1" t="s">
        <v>173</v>
      </c>
      <c r="C268" s="1" t="s">
        <v>87</v>
      </c>
      <c r="D268" s="1" t="s">
        <v>143</v>
      </c>
      <c r="E268">
        <v>14</v>
      </c>
      <c r="F268" s="2">
        <v>45425</v>
      </c>
      <c r="G268" s="1" t="s">
        <v>1342</v>
      </c>
      <c r="H268" s="1" t="s">
        <v>1317</v>
      </c>
      <c r="I268" s="1" t="s">
        <v>1323</v>
      </c>
      <c r="J268">
        <v>80000</v>
      </c>
      <c r="K268">
        <v>92000</v>
      </c>
      <c r="L268" s="1" t="s">
        <v>88</v>
      </c>
      <c r="M268" s="1" t="s">
        <v>10</v>
      </c>
      <c r="N268" s="1" t="s">
        <v>89</v>
      </c>
      <c r="O268">
        <v>1288000</v>
      </c>
      <c r="P268">
        <v>168000</v>
      </c>
      <c r="Q268">
        <v>13.04</v>
      </c>
    </row>
    <row r="269" spans="1:17" x14ac:dyDescent="0.35">
      <c r="A269" s="1" t="s">
        <v>656</v>
      </c>
      <c r="B269" s="1" t="s">
        <v>172</v>
      </c>
      <c r="C269" s="1" t="s">
        <v>63</v>
      </c>
      <c r="D269" s="1" t="s">
        <v>143</v>
      </c>
      <c r="E269">
        <v>2</v>
      </c>
      <c r="F269" s="2">
        <v>45347</v>
      </c>
      <c r="G269" s="1" t="s">
        <v>1340</v>
      </c>
      <c r="H269" s="1" t="s">
        <v>1330</v>
      </c>
      <c r="I269" s="1" t="s">
        <v>41</v>
      </c>
      <c r="J269">
        <v>950000</v>
      </c>
      <c r="K269">
        <v>1649000</v>
      </c>
      <c r="L269" s="1" t="s">
        <v>64</v>
      </c>
      <c r="M269" s="1" t="s">
        <v>23</v>
      </c>
      <c r="N269" s="1" t="s">
        <v>65</v>
      </c>
      <c r="O269">
        <v>3298000</v>
      </c>
      <c r="P269">
        <v>1398000</v>
      </c>
      <c r="Q269">
        <v>42.39</v>
      </c>
    </row>
    <row r="270" spans="1:17" x14ac:dyDescent="0.35">
      <c r="A270" s="1" t="s">
        <v>658</v>
      </c>
      <c r="B270" s="1" t="s">
        <v>248</v>
      </c>
      <c r="C270" s="1" t="s">
        <v>87</v>
      </c>
      <c r="D270" s="1" t="s">
        <v>128</v>
      </c>
      <c r="E270">
        <v>11</v>
      </c>
      <c r="F270" s="2">
        <v>45581</v>
      </c>
      <c r="G270" s="1" t="s">
        <v>1335</v>
      </c>
      <c r="H270" s="1" t="s">
        <v>1336</v>
      </c>
      <c r="I270" s="1" t="s">
        <v>41</v>
      </c>
      <c r="J270">
        <v>250000</v>
      </c>
      <c r="K270">
        <v>354000</v>
      </c>
      <c r="L270" s="1" t="s">
        <v>88</v>
      </c>
      <c r="M270" s="1" t="s">
        <v>10</v>
      </c>
      <c r="N270" s="1" t="s">
        <v>89</v>
      </c>
      <c r="O270">
        <v>3894000</v>
      </c>
      <c r="P270">
        <v>1144000</v>
      </c>
      <c r="Q270">
        <v>29.38</v>
      </c>
    </row>
    <row r="271" spans="1:17" x14ac:dyDescent="0.35">
      <c r="A271" s="1" t="s">
        <v>660</v>
      </c>
      <c r="B271" s="1" t="s">
        <v>172</v>
      </c>
      <c r="C271" s="1" t="s">
        <v>8</v>
      </c>
      <c r="D271" s="1" t="s">
        <v>121</v>
      </c>
      <c r="E271">
        <v>3</v>
      </c>
      <c r="F271" s="2">
        <v>45656</v>
      </c>
      <c r="G271" s="1" t="s">
        <v>1340</v>
      </c>
      <c r="H271" s="1" t="s">
        <v>1330</v>
      </c>
      <c r="I271" s="1" t="s">
        <v>41</v>
      </c>
      <c r="J271">
        <v>950000</v>
      </c>
      <c r="K271">
        <v>1649000</v>
      </c>
      <c r="L271" s="1" t="s">
        <v>9</v>
      </c>
      <c r="M271" s="1" t="s">
        <v>10</v>
      </c>
      <c r="N271" s="1" t="s">
        <v>11</v>
      </c>
      <c r="O271">
        <v>4947000</v>
      </c>
      <c r="P271">
        <v>2097000</v>
      </c>
      <c r="Q271">
        <v>42.39</v>
      </c>
    </row>
    <row r="272" spans="1:17" x14ac:dyDescent="0.35">
      <c r="A272" s="1" t="s">
        <v>662</v>
      </c>
      <c r="B272" s="1" t="s">
        <v>197</v>
      </c>
      <c r="C272" s="1" t="s">
        <v>87</v>
      </c>
      <c r="D272" s="1" t="s">
        <v>128</v>
      </c>
      <c r="E272">
        <v>8</v>
      </c>
      <c r="F272" s="2">
        <v>45293</v>
      </c>
      <c r="G272" s="1" t="s">
        <v>1350</v>
      </c>
      <c r="H272" s="1" t="s">
        <v>1336</v>
      </c>
      <c r="I272" s="1" t="s">
        <v>11</v>
      </c>
      <c r="J272">
        <v>1200000</v>
      </c>
      <c r="K272">
        <v>1375000</v>
      </c>
      <c r="L272" s="1" t="s">
        <v>88</v>
      </c>
      <c r="M272" s="1" t="s">
        <v>10</v>
      </c>
      <c r="N272" s="1" t="s">
        <v>89</v>
      </c>
      <c r="O272">
        <v>11000000</v>
      </c>
      <c r="P272">
        <v>1400000</v>
      </c>
      <c r="Q272">
        <v>12.73</v>
      </c>
    </row>
    <row r="273" spans="1:17" x14ac:dyDescent="0.35">
      <c r="A273" s="1" t="s">
        <v>664</v>
      </c>
      <c r="B273" s="1" t="s">
        <v>164</v>
      </c>
      <c r="C273" s="1" t="s">
        <v>73</v>
      </c>
      <c r="D273" s="1" t="s">
        <v>143</v>
      </c>
      <c r="E273">
        <v>2</v>
      </c>
      <c r="F273" s="2">
        <v>45349</v>
      </c>
      <c r="G273" s="1" t="s">
        <v>1332</v>
      </c>
      <c r="H273" s="1" t="s">
        <v>1330</v>
      </c>
      <c r="I273" s="1" t="s">
        <v>11</v>
      </c>
      <c r="J273">
        <v>750000</v>
      </c>
      <c r="K273">
        <v>971000</v>
      </c>
      <c r="L273" s="1" t="s">
        <v>74</v>
      </c>
      <c r="M273" s="1" t="s">
        <v>23</v>
      </c>
      <c r="N273" s="1" t="s">
        <v>75</v>
      </c>
      <c r="O273">
        <v>1942000</v>
      </c>
      <c r="P273">
        <v>442000</v>
      </c>
      <c r="Q273">
        <v>22.76</v>
      </c>
    </row>
    <row r="274" spans="1:17" x14ac:dyDescent="0.35">
      <c r="A274" s="1" t="s">
        <v>666</v>
      </c>
      <c r="B274" s="1" t="s">
        <v>176</v>
      </c>
      <c r="C274" s="1" t="s">
        <v>29</v>
      </c>
      <c r="D274" s="1" t="s">
        <v>157</v>
      </c>
      <c r="E274">
        <v>2</v>
      </c>
      <c r="F274" s="2">
        <v>45356</v>
      </c>
      <c r="G274" s="1" t="s">
        <v>1329</v>
      </c>
      <c r="H274" s="1" t="s">
        <v>1330</v>
      </c>
      <c r="I274" s="1" t="s">
        <v>1323</v>
      </c>
      <c r="J274">
        <v>1500000</v>
      </c>
      <c r="K274">
        <v>1772000</v>
      </c>
      <c r="L274" s="1" t="s">
        <v>30</v>
      </c>
      <c r="M274" s="1" t="s">
        <v>23</v>
      </c>
      <c r="N274" s="1" t="s">
        <v>31</v>
      </c>
      <c r="O274">
        <v>3544000</v>
      </c>
      <c r="P274">
        <v>544000</v>
      </c>
      <c r="Q274">
        <v>15.35</v>
      </c>
    </row>
    <row r="275" spans="1:17" x14ac:dyDescent="0.35">
      <c r="A275" s="1" t="s">
        <v>668</v>
      </c>
      <c r="B275" s="1" t="s">
        <v>173</v>
      </c>
      <c r="C275" s="1" t="s">
        <v>63</v>
      </c>
      <c r="D275" s="1" t="s">
        <v>124</v>
      </c>
      <c r="E275">
        <v>11</v>
      </c>
      <c r="F275" s="2">
        <v>45550</v>
      </c>
      <c r="G275" s="1" t="s">
        <v>1342</v>
      </c>
      <c r="H275" s="1" t="s">
        <v>1317</v>
      </c>
      <c r="I275" s="1" t="s">
        <v>1323</v>
      </c>
      <c r="J275">
        <v>80000</v>
      </c>
      <c r="K275">
        <v>92000</v>
      </c>
      <c r="L275" s="1" t="s">
        <v>64</v>
      </c>
      <c r="M275" s="1" t="s">
        <v>23</v>
      </c>
      <c r="N275" s="1" t="s">
        <v>65</v>
      </c>
      <c r="O275">
        <v>1012000</v>
      </c>
      <c r="P275">
        <v>132000</v>
      </c>
      <c r="Q275">
        <v>13.04</v>
      </c>
    </row>
    <row r="276" spans="1:17" x14ac:dyDescent="0.35">
      <c r="A276" s="1" t="s">
        <v>670</v>
      </c>
      <c r="B276" s="1" t="s">
        <v>168</v>
      </c>
      <c r="C276" s="1" t="s">
        <v>57</v>
      </c>
      <c r="D276" s="1" t="s">
        <v>121</v>
      </c>
      <c r="E276">
        <v>10</v>
      </c>
      <c r="F276" s="2">
        <v>45311</v>
      </c>
      <c r="G276" s="1" t="s">
        <v>1338</v>
      </c>
      <c r="H276" s="1" t="s">
        <v>1336</v>
      </c>
      <c r="I276" s="1" t="s">
        <v>41</v>
      </c>
      <c r="J276">
        <v>500000</v>
      </c>
      <c r="K276">
        <v>844000</v>
      </c>
      <c r="L276" s="1" t="s">
        <v>58</v>
      </c>
      <c r="M276" s="1" t="s">
        <v>10</v>
      </c>
      <c r="N276" s="1" t="s">
        <v>59</v>
      </c>
      <c r="O276">
        <v>8440000</v>
      </c>
      <c r="P276">
        <v>3440000</v>
      </c>
      <c r="Q276">
        <v>40.76</v>
      </c>
    </row>
    <row r="277" spans="1:17" x14ac:dyDescent="0.35">
      <c r="A277" s="1" t="s">
        <v>672</v>
      </c>
      <c r="B277" s="1" t="s">
        <v>176</v>
      </c>
      <c r="C277" s="1" t="s">
        <v>69</v>
      </c>
      <c r="D277" s="1" t="s">
        <v>157</v>
      </c>
      <c r="E277">
        <v>1</v>
      </c>
      <c r="F277" s="2">
        <v>45295</v>
      </c>
      <c r="G277" s="1" t="s">
        <v>1329</v>
      </c>
      <c r="H277" s="1" t="s">
        <v>1330</v>
      </c>
      <c r="I277" s="1" t="s">
        <v>1323</v>
      </c>
      <c r="J277">
        <v>1500000</v>
      </c>
      <c r="K277">
        <v>1772000</v>
      </c>
      <c r="L277" s="1" t="s">
        <v>70</v>
      </c>
      <c r="M277" s="1" t="s">
        <v>10</v>
      </c>
      <c r="N277" s="1" t="s">
        <v>11</v>
      </c>
      <c r="O277">
        <v>1772000</v>
      </c>
      <c r="P277">
        <v>272000</v>
      </c>
      <c r="Q277">
        <v>15.35</v>
      </c>
    </row>
    <row r="278" spans="1:17" x14ac:dyDescent="0.35">
      <c r="A278" s="1" t="s">
        <v>674</v>
      </c>
      <c r="B278" s="1" t="s">
        <v>113</v>
      </c>
      <c r="C278" s="1" t="s">
        <v>35</v>
      </c>
      <c r="D278" s="1" t="s">
        <v>157</v>
      </c>
      <c r="E278">
        <v>15</v>
      </c>
      <c r="F278" s="2">
        <v>45373</v>
      </c>
      <c r="G278" s="1" t="s">
        <v>1346</v>
      </c>
      <c r="H278" s="1" t="s">
        <v>1311</v>
      </c>
      <c r="I278" s="1" t="s">
        <v>1323</v>
      </c>
      <c r="J278">
        <v>4500000</v>
      </c>
      <c r="K278">
        <v>5522000</v>
      </c>
      <c r="L278" s="1" t="s">
        <v>36</v>
      </c>
      <c r="M278" s="1" t="s">
        <v>10</v>
      </c>
      <c r="N278" s="1" t="s">
        <v>11</v>
      </c>
      <c r="O278">
        <v>82830000</v>
      </c>
      <c r="P278">
        <v>15330000</v>
      </c>
      <c r="Q278">
        <v>18.510000000000002</v>
      </c>
    </row>
    <row r="279" spans="1:17" x14ac:dyDescent="0.35">
      <c r="A279" s="1" t="s">
        <v>675</v>
      </c>
      <c r="B279" s="1" t="s">
        <v>164</v>
      </c>
      <c r="C279" s="1" t="s">
        <v>73</v>
      </c>
      <c r="D279" s="1" t="s">
        <v>128</v>
      </c>
      <c r="E279">
        <v>9</v>
      </c>
      <c r="F279" s="2">
        <v>45312</v>
      </c>
      <c r="G279" s="1" t="s">
        <v>1332</v>
      </c>
      <c r="H279" s="1" t="s">
        <v>1330</v>
      </c>
      <c r="I279" s="1" t="s">
        <v>11</v>
      </c>
      <c r="J279">
        <v>750000</v>
      </c>
      <c r="K279">
        <v>971000</v>
      </c>
      <c r="L279" s="1" t="s">
        <v>74</v>
      </c>
      <c r="M279" s="1" t="s">
        <v>23</v>
      </c>
      <c r="N279" s="1" t="s">
        <v>75</v>
      </c>
      <c r="O279">
        <v>8739000</v>
      </c>
      <c r="P279">
        <v>1989000</v>
      </c>
      <c r="Q279">
        <v>22.76</v>
      </c>
    </row>
    <row r="280" spans="1:17" x14ac:dyDescent="0.35">
      <c r="A280" s="1" t="s">
        <v>677</v>
      </c>
      <c r="B280" s="1" t="s">
        <v>188</v>
      </c>
      <c r="C280" s="1" t="s">
        <v>8</v>
      </c>
      <c r="D280" s="1" t="s">
        <v>128</v>
      </c>
      <c r="E280">
        <v>3</v>
      </c>
      <c r="F280" s="2">
        <v>45624</v>
      </c>
      <c r="G280" s="1" t="s">
        <v>1327</v>
      </c>
      <c r="H280" s="1" t="s">
        <v>1311</v>
      </c>
      <c r="I280" s="1" t="s">
        <v>41</v>
      </c>
      <c r="J280">
        <v>2800000</v>
      </c>
      <c r="K280">
        <v>4747000</v>
      </c>
      <c r="L280" s="1" t="s">
        <v>9</v>
      </c>
      <c r="M280" s="1" t="s">
        <v>10</v>
      </c>
      <c r="N280" s="1" t="s">
        <v>11</v>
      </c>
      <c r="O280">
        <v>14241000</v>
      </c>
      <c r="P280">
        <v>5841000</v>
      </c>
      <c r="Q280">
        <v>41.02</v>
      </c>
    </row>
    <row r="281" spans="1:17" x14ac:dyDescent="0.35">
      <c r="A281" s="1" t="s">
        <v>679</v>
      </c>
      <c r="B281" s="1" t="s">
        <v>197</v>
      </c>
      <c r="C281" s="1" t="s">
        <v>35</v>
      </c>
      <c r="D281" s="1" t="s">
        <v>121</v>
      </c>
      <c r="E281">
        <v>6</v>
      </c>
      <c r="F281" s="2">
        <v>45354</v>
      </c>
      <c r="G281" s="1" t="s">
        <v>1350</v>
      </c>
      <c r="H281" s="1" t="s">
        <v>1336</v>
      </c>
      <c r="I281" s="1" t="s">
        <v>11</v>
      </c>
      <c r="J281">
        <v>1200000</v>
      </c>
      <c r="K281">
        <v>1375000</v>
      </c>
      <c r="L281" s="1" t="s">
        <v>36</v>
      </c>
      <c r="M281" s="1" t="s">
        <v>10</v>
      </c>
      <c r="N281" s="1" t="s">
        <v>11</v>
      </c>
      <c r="O281">
        <v>8250000</v>
      </c>
      <c r="P281">
        <v>1050000</v>
      </c>
      <c r="Q281">
        <v>12.73</v>
      </c>
    </row>
    <row r="282" spans="1:17" x14ac:dyDescent="0.35">
      <c r="A282" s="1" t="s">
        <v>680</v>
      </c>
      <c r="B282" s="1" t="s">
        <v>191</v>
      </c>
      <c r="C282" s="1" t="s">
        <v>15</v>
      </c>
      <c r="D282" s="1" t="s">
        <v>143</v>
      </c>
      <c r="E282">
        <v>7</v>
      </c>
      <c r="F282" s="2">
        <v>45540</v>
      </c>
      <c r="G282" s="1" t="s">
        <v>1310</v>
      </c>
      <c r="H282" s="1" t="s">
        <v>1311</v>
      </c>
      <c r="I282" s="1" t="s">
        <v>11</v>
      </c>
      <c r="J282">
        <v>12000000</v>
      </c>
      <c r="K282">
        <v>13963000</v>
      </c>
      <c r="L282" s="1" t="s">
        <v>16</v>
      </c>
      <c r="M282" s="1" t="s">
        <v>10</v>
      </c>
      <c r="N282" s="1" t="s">
        <v>17</v>
      </c>
      <c r="O282">
        <v>97741000</v>
      </c>
      <c r="P282">
        <v>13741000</v>
      </c>
      <c r="Q282">
        <v>14.06</v>
      </c>
    </row>
    <row r="283" spans="1:17" x14ac:dyDescent="0.35">
      <c r="A283" s="1" t="s">
        <v>682</v>
      </c>
      <c r="B283" s="1" t="s">
        <v>137</v>
      </c>
      <c r="C283" s="1" t="s">
        <v>15</v>
      </c>
      <c r="D283" s="1" t="s">
        <v>143</v>
      </c>
      <c r="E283">
        <v>12</v>
      </c>
      <c r="F283" s="2">
        <v>45371</v>
      </c>
      <c r="G283" s="1" t="s">
        <v>1324</v>
      </c>
      <c r="H283" s="1" t="s">
        <v>1311</v>
      </c>
      <c r="I283" s="1" t="s">
        <v>11</v>
      </c>
      <c r="J283">
        <v>2000000</v>
      </c>
      <c r="K283">
        <v>2533000</v>
      </c>
      <c r="L283" s="1" t="s">
        <v>16</v>
      </c>
      <c r="M283" s="1" t="s">
        <v>10</v>
      </c>
      <c r="N283" s="1" t="s">
        <v>17</v>
      </c>
      <c r="O283">
        <v>30396000</v>
      </c>
      <c r="P283">
        <v>6396000</v>
      </c>
      <c r="Q283">
        <v>21.04</v>
      </c>
    </row>
    <row r="284" spans="1:17" x14ac:dyDescent="0.35">
      <c r="A284" s="1" t="s">
        <v>684</v>
      </c>
      <c r="B284" s="1" t="s">
        <v>168</v>
      </c>
      <c r="C284" s="1" t="s">
        <v>8</v>
      </c>
      <c r="D284" s="1" t="s">
        <v>124</v>
      </c>
      <c r="E284">
        <v>10</v>
      </c>
      <c r="F284" s="2">
        <v>45552</v>
      </c>
      <c r="G284" s="1" t="s">
        <v>1338</v>
      </c>
      <c r="H284" s="1" t="s">
        <v>1336</v>
      </c>
      <c r="I284" s="1" t="s">
        <v>41</v>
      </c>
      <c r="J284">
        <v>500000</v>
      </c>
      <c r="K284">
        <v>844000</v>
      </c>
      <c r="L284" s="1" t="s">
        <v>9</v>
      </c>
      <c r="M284" s="1" t="s">
        <v>10</v>
      </c>
      <c r="N284" s="1" t="s">
        <v>11</v>
      </c>
      <c r="O284">
        <v>8440000</v>
      </c>
      <c r="P284">
        <v>3440000</v>
      </c>
      <c r="Q284">
        <v>40.76</v>
      </c>
    </row>
    <row r="285" spans="1:17" x14ac:dyDescent="0.35">
      <c r="A285" s="1" t="s">
        <v>686</v>
      </c>
      <c r="B285" s="1" t="s">
        <v>240</v>
      </c>
      <c r="C285" s="1" t="s">
        <v>45</v>
      </c>
      <c r="D285" s="1" t="s">
        <v>143</v>
      </c>
      <c r="E285">
        <v>8</v>
      </c>
      <c r="F285" s="2">
        <v>45301</v>
      </c>
      <c r="G285" s="1" t="s">
        <v>1326</v>
      </c>
      <c r="H285" s="1" t="s">
        <v>1317</v>
      </c>
      <c r="I285" s="1" t="s">
        <v>41</v>
      </c>
      <c r="J285">
        <v>350000</v>
      </c>
      <c r="K285">
        <v>626000</v>
      </c>
      <c r="L285" s="1" t="s">
        <v>46</v>
      </c>
      <c r="M285" s="1" t="s">
        <v>10</v>
      </c>
      <c r="N285" s="1" t="s">
        <v>47</v>
      </c>
      <c r="O285">
        <v>5008000</v>
      </c>
      <c r="P285">
        <v>2208000</v>
      </c>
      <c r="Q285">
        <v>44.09</v>
      </c>
    </row>
    <row r="286" spans="1:17" x14ac:dyDescent="0.35">
      <c r="A286" s="1" t="s">
        <v>688</v>
      </c>
      <c r="B286" s="1" t="s">
        <v>164</v>
      </c>
      <c r="C286" s="1" t="s">
        <v>51</v>
      </c>
      <c r="D286" s="1" t="s">
        <v>143</v>
      </c>
      <c r="E286">
        <v>4</v>
      </c>
      <c r="F286" s="2">
        <v>45504</v>
      </c>
      <c r="G286" s="1" t="s">
        <v>1332</v>
      </c>
      <c r="H286" s="1" t="s">
        <v>1330</v>
      </c>
      <c r="I286" s="1" t="s">
        <v>11</v>
      </c>
      <c r="J286">
        <v>750000</v>
      </c>
      <c r="K286">
        <v>971000</v>
      </c>
      <c r="L286" s="1" t="s">
        <v>52</v>
      </c>
      <c r="M286" s="1" t="s">
        <v>23</v>
      </c>
      <c r="N286" s="1" t="s">
        <v>53</v>
      </c>
      <c r="O286">
        <v>3884000</v>
      </c>
      <c r="P286">
        <v>884000</v>
      </c>
      <c r="Q286">
        <v>22.76</v>
      </c>
    </row>
    <row r="287" spans="1:17" x14ac:dyDescent="0.35">
      <c r="A287" s="1" t="s">
        <v>690</v>
      </c>
      <c r="B287" s="1" t="s">
        <v>106</v>
      </c>
      <c r="C287" s="1" t="s">
        <v>39</v>
      </c>
      <c r="D287" s="1" t="s">
        <v>121</v>
      </c>
      <c r="E287">
        <v>2</v>
      </c>
      <c r="F287" s="2">
        <v>45476</v>
      </c>
      <c r="G287" s="1" t="s">
        <v>1348</v>
      </c>
      <c r="H287" s="1" t="s">
        <v>1317</v>
      </c>
      <c r="I287" s="1" t="s">
        <v>1323</v>
      </c>
      <c r="J287">
        <v>300000</v>
      </c>
      <c r="K287">
        <v>355000</v>
      </c>
      <c r="L287" s="1" t="s">
        <v>40</v>
      </c>
      <c r="M287" s="1" t="s">
        <v>23</v>
      </c>
      <c r="N287" s="1" t="s">
        <v>41</v>
      </c>
      <c r="O287">
        <v>710000</v>
      </c>
      <c r="P287">
        <v>110000</v>
      </c>
      <c r="Q287">
        <v>15.49</v>
      </c>
    </row>
    <row r="288" spans="1:17" x14ac:dyDescent="0.35">
      <c r="A288" s="1" t="s">
        <v>692</v>
      </c>
      <c r="B288" s="1" t="s">
        <v>106</v>
      </c>
      <c r="C288" s="1" t="s">
        <v>29</v>
      </c>
      <c r="D288" s="1" t="s">
        <v>143</v>
      </c>
      <c r="E288">
        <v>10</v>
      </c>
      <c r="F288" s="2">
        <v>45524</v>
      </c>
      <c r="G288" s="1" t="s">
        <v>1348</v>
      </c>
      <c r="H288" s="1" t="s">
        <v>1317</v>
      </c>
      <c r="I288" s="1" t="s">
        <v>1323</v>
      </c>
      <c r="J288">
        <v>300000</v>
      </c>
      <c r="K288">
        <v>355000</v>
      </c>
      <c r="L288" s="1" t="s">
        <v>30</v>
      </c>
      <c r="M288" s="1" t="s">
        <v>23</v>
      </c>
      <c r="N288" s="1" t="s">
        <v>31</v>
      </c>
      <c r="O288">
        <v>3550000</v>
      </c>
      <c r="P288">
        <v>550000</v>
      </c>
      <c r="Q288">
        <v>15.49</v>
      </c>
    </row>
    <row r="289" spans="1:17" x14ac:dyDescent="0.35">
      <c r="A289" s="1" t="s">
        <v>694</v>
      </c>
      <c r="B289" s="1" t="s">
        <v>133</v>
      </c>
      <c r="C289" s="1" t="s">
        <v>63</v>
      </c>
      <c r="D289" s="1" t="s">
        <v>157</v>
      </c>
      <c r="E289">
        <v>4</v>
      </c>
      <c r="F289" s="2">
        <v>45323</v>
      </c>
      <c r="G289" s="1" t="s">
        <v>1354</v>
      </c>
      <c r="H289" s="1" t="s">
        <v>1330</v>
      </c>
      <c r="I289" s="1" t="s">
        <v>11</v>
      </c>
      <c r="J289">
        <v>2500000</v>
      </c>
      <c r="K289">
        <v>3080000</v>
      </c>
      <c r="L289" s="1" t="s">
        <v>64</v>
      </c>
      <c r="M289" s="1" t="s">
        <v>23</v>
      </c>
      <c r="N289" s="1" t="s">
        <v>65</v>
      </c>
      <c r="O289">
        <v>12320000</v>
      </c>
      <c r="P289">
        <v>2320000</v>
      </c>
      <c r="Q289">
        <v>18.829999999999998</v>
      </c>
    </row>
    <row r="290" spans="1:17" x14ac:dyDescent="0.35">
      <c r="A290" s="1" t="s">
        <v>696</v>
      </c>
      <c r="B290" s="1" t="s">
        <v>240</v>
      </c>
      <c r="C290" s="1" t="s">
        <v>29</v>
      </c>
      <c r="D290" s="1" t="s">
        <v>157</v>
      </c>
      <c r="E290">
        <v>2</v>
      </c>
      <c r="F290" s="2">
        <v>45349</v>
      </c>
      <c r="G290" s="1" t="s">
        <v>1326</v>
      </c>
      <c r="H290" s="1" t="s">
        <v>1317</v>
      </c>
      <c r="I290" s="1" t="s">
        <v>41</v>
      </c>
      <c r="J290">
        <v>350000</v>
      </c>
      <c r="K290">
        <v>626000</v>
      </c>
      <c r="L290" s="1" t="s">
        <v>30</v>
      </c>
      <c r="M290" s="1" t="s">
        <v>23</v>
      </c>
      <c r="N290" s="1" t="s">
        <v>31</v>
      </c>
      <c r="O290">
        <v>1252000</v>
      </c>
      <c r="P290">
        <v>552000</v>
      </c>
      <c r="Q290">
        <v>44.09</v>
      </c>
    </row>
    <row r="291" spans="1:17" x14ac:dyDescent="0.35">
      <c r="A291" s="1" t="s">
        <v>697</v>
      </c>
      <c r="B291" s="1" t="s">
        <v>168</v>
      </c>
      <c r="C291" s="1" t="s">
        <v>69</v>
      </c>
      <c r="D291" s="1" t="s">
        <v>124</v>
      </c>
      <c r="E291">
        <v>2</v>
      </c>
      <c r="F291" s="2">
        <v>45615</v>
      </c>
      <c r="G291" s="1" t="s">
        <v>1338</v>
      </c>
      <c r="H291" s="1" t="s">
        <v>1336</v>
      </c>
      <c r="I291" s="1" t="s">
        <v>41</v>
      </c>
      <c r="J291">
        <v>500000</v>
      </c>
      <c r="K291">
        <v>844000</v>
      </c>
      <c r="L291" s="1" t="s">
        <v>70</v>
      </c>
      <c r="M291" s="1" t="s">
        <v>10</v>
      </c>
      <c r="N291" s="1" t="s">
        <v>11</v>
      </c>
      <c r="O291">
        <v>1688000</v>
      </c>
      <c r="P291">
        <v>688000</v>
      </c>
      <c r="Q291">
        <v>40.76</v>
      </c>
    </row>
    <row r="292" spans="1:17" x14ac:dyDescent="0.35">
      <c r="A292" s="1" t="s">
        <v>699</v>
      </c>
      <c r="B292" s="1" t="s">
        <v>164</v>
      </c>
      <c r="C292" s="1" t="s">
        <v>39</v>
      </c>
      <c r="D292" s="1" t="s">
        <v>171</v>
      </c>
      <c r="E292">
        <v>10</v>
      </c>
      <c r="F292" s="2">
        <v>45605</v>
      </c>
      <c r="G292" s="1" t="s">
        <v>1332</v>
      </c>
      <c r="H292" s="1" t="s">
        <v>1330</v>
      </c>
      <c r="I292" s="1" t="s">
        <v>11</v>
      </c>
      <c r="J292">
        <v>750000</v>
      </c>
      <c r="K292">
        <v>971000</v>
      </c>
      <c r="L292" s="1" t="s">
        <v>40</v>
      </c>
      <c r="M292" s="1" t="s">
        <v>23</v>
      </c>
      <c r="N292" s="1" t="s">
        <v>41</v>
      </c>
      <c r="O292">
        <v>9710000</v>
      </c>
      <c r="P292">
        <v>2210000</v>
      </c>
      <c r="Q292">
        <v>22.76</v>
      </c>
    </row>
    <row r="293" spans="1:17" x14ac:dyDescent="0.35">
      <c r="A293" s="1" t="s">
        <v>701</v>
      </c>
      <c r="B293" s="1" t="s">
        <v>106</v>
      </c>
      <c r="C293" s="1" t="s">
        <v>39</v>
      </c>
      <c r="D293" s="1" t="s">
        <v>128</v>
      </c>
      <c r="E293">
        <v>2</v>
      </c>
      <c r="F293" s="2">
        <v>45366</v>
      </c>
      <c r="G293" s="1" t="s">
        <v>1348</v>
      </c>
      <c r="H293" s="1" t="s">
        <v>1317</v>
      </c>
      <c r="I293" s="1" t="s">
        <v>1323</v>
      </c>
      <c r="J293">
        <v>300000</v>
      </c>
      <c r="K293">
        <v>355000</v>
      </c>
      <c r="L293" s="1" t="s">
        <v>40</v>
      </c>
      <c r="M293" s="1" t="s">
        <v>23</v>
      </c>
      <c r="N293" s="1" t="s">
        <v>41</v>
      </c>
      <c r="O293">
        <v>710000</v>
      </c>
      <c r="P293">
        <v>110000</v>
      </c>
      <c r="Q293">
        <v>15.49</v>
      </c>
    </row>
    <row r="294" spans="1:17" x14ac:dyDescent="0.35">
      <c r="A294" s="1" t="s">
        <v>703</v>
      </c>
      <c r="B294" s="1" t="s">
        <v>173</v>
      </c>
      <c r="C294" s="1" t="s">
        <v>87</v>
      </c>
      <c r="D294" s="1" t="s">
        <v>143</v>
      </c>
      <c r="E294">
        <v>9</v>
      </c>
      <c r="F294" s="2">
        <v>45624</v>
      </c>
      <c r="G294" s="1" t="s">
        <v>1342</v>
      </c>
      <c r="H294" s="1" t="s">
        <v>1317</v>
      </c>
      <c r="I294" s="1" t="s">
        <v>1323</v>
      </c>
      <c r="J294">
        <v>80000</v>
      </c>
      <c r="K294">
        <v>92000</v>
      </c>
      <c r="L294" s="1" t="s">
        <v>88</v>
      </c>
      <c r="M294" s="1" t="s">
        <v>10</v>
      </c>
      <c r="N294" s="1" t="s">
        <v>89</v>
      </c>
      <c r="O294">
        <v>828000</v>
      </c>
      <c r="P294">
        <v>108000</v>
      </c>
      <c r="Q294">
        <v>13.04</v>
      </c>
    </row>
    <row r="295" spans="1:17" x14ac:dyDescent="0.35">
      <c r="A295" s="1" t="s">
        <v>704</v>
      </c>
      <c r="B295" s="1" t="s">
        <v>133</v>
      </c>
      <c r="C295" s="1" t="s">
        <v>73</v>
      </c>
      <c r="D295" s="1" t="s">
        <v>121</v>
      </c>
      <c r="E295">
        <v>9</v>
      </c>
      <c r="F295" s="2">
        <v>45532</v>
      </c>
      <c r="G295" s="1" t="s">
        <v>1354</v>
      </c>
      <c r="H295" s="1" t="s">
        <v>1330</v>
      </c>
      <c r="I295" s="1" t="s">
        <v>11</v>
      </c>
      <c r="J295">
        <v>2500000</v>
      </c>
      <c r="K295">
        <v>3080000</v>
      </c>
      <c r="L295" s="1" t="s">
        <v>74</v>
      </c>
      <c r="M295" s="1" t="s">
        <v>23</v>
      </c>
      <c r="N295" s="1" t="s">
        <v>75</v>
      </c>
      <c r="O295">
        <v>27720000</v>
      </c>
      <c r="P295">
        <v>5220000</v>
      </c>
      <c r="Q295">
        <v>18.829999999999998</v>
      </c>
    </row>
    <row r="296" spans="1:17" x14ac:dyDescent="0.35">
      <c r="A296" s="1" t="s">
        <v>706</v>
      </c>
      <c r="B296" s="1" t="s">
        <v>149</v>
      </c>
      <c r="C296" s="1" t="s">
        <v>51</v>
      </c>
      <c r="D296" s="1" t="s">
        <v>121</v>
      </c>
      <c r="E296">
        <v>12</v>
      </c>
      <c r="F296" s="2">
        <v>45531</v>
      </c>
      <c r="G296" s="1" t="s">
        <v>1316</v>
      </c>
      <c r="H296" s="1" t="s">
        <v>1317</v>
      </c>
      <c r="I296" s="1" t="s">
        <v>41</v>
      </c>
      <c r="J296">
        <v>100000</v>
      </c>
      <c r="K296">
        <v>169000</v>
      </c>
      <c r="L296" s="1" t="s">
        <v>52</v>
      </c>
      <c r="M296" s="1" t="s">
        <v>23</v>
      </c>
      <c r="N296" s="1" t="s">
        <v>53</v>
      </c>
      <c r="O296">
        <v>2028000</v>
      </c>
      <c r="P296">
        <v>828000</v>
      </c>
      <c r="Q296">
        <v>40.83</v>
      </c>
    </row>
    <row r="297" spans="1:17" x14ac:dyDescent="0.35">
      <c r="A297" s="1" t="s">
        <v>708</v>
      </c>
      <c r="B297" s="1" t="s">
        <v>106</v>
      </c>
      <c r="C297" s="1" t="s">
        <v>45</v>
      </c>
      <c r="D297" s="1" t="s">
        <v>128</v>
      </c>
      <c r="E297">
        <v>10</v>
      </c>
      <c r="F297" s="2">
        <v>45503</v>
      </c>
      <c r="G297" s="1" t="s">
        <v>1348</v>
      </c>
      <c r="H297" s="1" t="s">
        <v>1317</v>
      </c>
      <c r="I297" s="1" t="s">
        <v>1323</v>
      </c>
      <c r="J297">
        <v>300000</v>
      </c>
      <c r="K297">
        <v>355000</v>
      </c>
      <c r="L297" s="1" t="s">
        <v>46</v>
      </c>
      <c r="M297" s="1" t="s">
        <v>10</v>
      </c>
      <c r="N297" s="1" t="s">
        <v>47</v>
      </c>
      <c r="O297">
        <v>3550000</v>
      </c>
      <c r="P297">
        <v>550000</v>
      </c>
      <c r="Q297">
        <v>15.49</v>
      </c>
    </row>
    <row r="298" spans="1:17" x14ac:dyDescent="0.35">
      <c r="A298" s="1" t="s">
        <v>710</v>
      </c>
      <c r="B298" s="1" t="s">
        <v>111</v>
      </c>
      <c r="C298" s="1" t="s">
        <v>15</v>
      </c>
      <c r="D298" s="1" t="s">
        <v>171</v>
      </c>
      <c r="E298">
        <v>10</v>
      </c>
      <c r="F298" s="2">
        <v>45613</v>
      </c>
      <c r="G298" s="1" t="s">
        <v>1344</v>
      </c>
      <c r="H298" s="1" t="s">
        <v>1311</v>
      </c>
      <c r="I298" s="1" t="s">
        <v>1323</v>
      </c>
      <c r="J298">
        <v>18000000</v>
      </c>
      <c r="K298">
        <v>27603000</v>
      </c>
      <c r="L298" s="1" t="s">
        <v>16</v>
      </c>
      <c r="M298" s="1" t="s">
        <v>10</v>
      </c>
      <c r="N298" s="1" t="s">
        <v>17</v>
      </c>
      <c r="O298">
        <v>276030000</v>
      </c>
      <c r="P298">
        <v>96030000</v>
      </c>
      <c r="Q298">
        <v>34.79</v>
      </c>
    </row>
    <row r="299" spans="1:17" x14ac:dyDescent="0.35">
      <c r="A299" s="1" t="s">
        <v>712</v>
      </c>
      <c r="B299" s="1" t="s">
        <v>173</v>
      </c>
      <c r="C299" s="1" t="s">
        <v>63</v>
      </c>
      <c r="D299" s="1" t="s">
        <v>143</v>
      </c>
      <c r="E299">
        <v>14</v>
      </c>
      <c r="F299" s="2">
        <v>45423</v>
      </c>
      <c r="G299" s="1" t="s">
        <v>1342</v>
      </c>
      <c r="H299" s="1" t="s">
        <v>1317</v>
      </c>
      <c r="I299" s="1" t="s">
        <v>1323</v>
      </c>
      <c r="J299">
        <v>80000</v>
      </c>
      <c r="K299">
        <v>92000</v>
      </c>
      <c r="L299" s="1" t="s">
        <v>64</v>
      </c>
      <c r="M299" s="1" t="s">
        <v>23</v>
      </c>
      <c r="N299" s="1" t="s">
        <v>65</v>
      </c>
      <c r="O299">
        <v>1288000</v>
      </c>
      <c r="P299">
        <v>168000</v>
      </c>
      <c r="Q299">
        <v>13.04</v>
      </c>
    </row>
    <row r="300" spans="1:17" x14ac:dyDescent="0.35">
      <c r="A300" s="1" t="s">
        <v>714</v>
      </c>
      <c r="B300" s="1" t="s">
        <v>173</v>
      </c>
      <c r="C300" s="1" t="s">
        <v>21</v>
      </c>
      <c r="D300" s="1" t="s">
        <v>143</v>
      </c>
      <c r="E300">
        <v>13</v>
      </c>
      <c r="F300" s="2">
        <v>45502</v>
      </c>
      <c r="G300" s="1" t="s">
        <v>1342</v>
      </c>
      <c r="H300" s="1" t="s">
        <v>1317</v>
      </c>
      <c r="I300" s="1" t="s">
        <v>1323</v>
      </c>
      <c r="J300">
        <v>80000</v>
      </c>
      <c r="K300">
        <v>92000</v>
      </c>
      <c r="L300" s="1" t="s">
        <v>22</v>
      </c>
      <c r="M300" s="1" t="s">
        <v>23</v>
      </c>
      <c r="N300" s="1" t="s">
        <v>24</v>
      </c>
      <c r="O300">
        <v>1196000</v>
      </c>
      <c r="P300">
        <v>156000</v>
      </c>
      <c r="Q300">
        <v>13.04</v>
      </c>
    </row>
    <row r="301" spans="1:17" x14ac:dyDescent="0.35">
      <c r="A301" s="1" t="s">
        <v>716</v>
      </c>
      <c r="B301" s="1" t="s">
        <v>240</v>
      </c>
      <c r="C301" s="1" t="s">
        <v>45</v>
      </c>
      <c r="D301" s="1" t="s">
        <v>121</v>
      </c>
      <c r="E301">
        <v>15</v>
      </c>
      <c r="F301" s="2">
        <v>45403</v>
      </c>
      <c r="G301" s="1" t="s">
        <v>1326</v>
      </c>
      <c r="H301" s="1" t="s">
        <v>1317</v>
      </c>
      <c r="I301" s="1" t="s">
        <v>41</v>
      </c>
      <c r="J301">
        <v>350000</v>
      </c>
      <c r="K301">
        <v>626000</v>
      </c>
      <c r="L301" s="1" t="s">
        <v>46</v>
      </c>
      <c r="M301" s="1" t="s">
        <v>10</v>
      </c>
      <c r="N301" s="1" t="s">
        <v>47</v>
      </c>
      <c r="O301">
        <v>9390000</v>
      </c>
      <c r="P301">
        <v>4140000</v>
      </c>
      <c r="Q301">
        <v>44.09</v>
      </c>
    </row>
    <row r="302" spans="1:17" x14ac:dyDescent="0.35">
      <c r="A302" s="1" t="s">
        <v>718</v>
      </c>
      <c r="B302" s="1" t="s">
        <v>173</v>
      </c>
      <c r="C302" s="1" t="s">
        <v>87</v>
      </c>
      <c r="D302" s="1" t="s">
        <v>128</v>
      </c>
      <c r="E302">
        <v>15</v>
      </c>
      <c r="F302" s="2">
        <v>45537</v>
      </c>
      <c r="G302" s="1" t="s">
        <v>1342</v>
      </c>
      <c r="H302" s="1" t="s">
        <v>1317</v>
      </c>
      <c r="I302" s="1" t="s">
        <v>1323</v>
      </c>
      <c r="J302">
        <v>80000</v>
      </c>
      <c r="K302">
        <v>92000</v>
      </c>
      <c r="L302" s="1" t="s">
        <v>88</v>
      </c>
      <c r="M302" s="1" t="s">
        <v>10</v>
      </c>
      <c r="N302" s="1" t="s">
        <v>89</v>
      </c>
      <c r="O302">
        <v>1380000</v>
      </c>
      <c r="P302">
        <v>180000</v>
      </c>
      <c r="Q302">
        <v>13.04</v>
      </c>
    </row>
    <row r="303" spans="1:17" x14ac:dyDescent="0.35">
      <c r="A303" s="1" t="s">
        <v>720</v>
      </c>
      <c r="B303" s="1" t="s">
        <v>116</v>
      </c>
      <c r="C303" s="1" t="s">
        <v>69</v>
      </c>
      <c r="D303" s="1" t="s">
        <v>121</v>
      </c>
      <c r="E303">
        <v>10</v>
      </c>
      <c r="F303" s="2">
        <v>45307</v>
      </c>
      <c r="G303" s="1" t="s">
        <v>1352</v>
      </c>
      <c r="H303" s="1" t="s">
        <v>1330</v>
      </c>
      <c r="I303" s="1" t="s">
        <v>1323</v>
      </c>
      <c r="J303">
        <v>5000000</v>
      </c>
      <c r="K303">
        <v>7546000</v>
      </c>
      <c r="L303" s="1" t="s">
        <v>70</v>
      </c>
      <c r="M303" s="1" t="s">
        <v>10</v>
      </c>
      <c r="N303" s="1" t="s">
        <v>11</v>
      </c>
      <c r="O303">
        <v>75460000</v>
      </c>
      <c r="P303">
        <v>25460000</v>
      </c>
      <c r="Q303">
        <v>33.74</v>
      </c>
    </row>
    <row r="304" spans="1:17" x14ac:dyDescent="0.35">
      <c r="A304" s="1" t="s">
        <v>722</v>
      </c>
      <c r="B304" s="1" t="s">
        <v>168</v>
      </c>
      <c r="C304" s="1" t="s">
        <v>87</v>
      </c>
      <c r="D304" s="1" t="s">
        <v>121</v>
      </c>
      <c r="E304">
        <v>5</v>
      </c>
      <c r="F304" s="2">
        <v>45608</v>
      </c>
      <c r="G304" s="1" t="s">
        <v>1338</v>
      </c>
      <c r="H304" s="1" t="s">
        <v>1336</v>
      </c>
      <c r="I304" s="1" t="s">
        <v>41</v>
      </c>
      <c r="J304">
        <v>500000</v>
      </c>
      <c r="K304">
        <v>844000</v>
      </c>
      <c r="L304" s="1" t="s">
        <v>88</v>
      </c>
      <c r="M304" s="1" t="s">
        <v>10</v>
      </c>
      <c r="N304" s="1" t="s">
        <v>89</v>
      </c>
      <c r="O304">
        <v>4220000</v>
      </c>
      <c r="P304">
        <v>1720000</v>
      </c>
      <c r="Q304">
        <v>40.76</v>
      </c>
    </row>
    <row r="305" spans="1:17" x14ac:dyDescent="0.35">
      <c r="A305" s="1" t="s">
        <v>723</v>
      </c>
      <c r="B305" s="1" t="s">
        <v>141</v>
      </c>
      <c r="C305" s="1" t="s">
        <v>29</v>
      </c>
      <c r="D305" s="1" t="s">
        <v>121</v>
      </c>
      <c r="E305">
        <v>4</v>
      </c>
      <c r="F305" s="2">
        <v>45444</v>
      </c>
      <c r="G305" s="1" t="s">
        <v>1355</v>
      </c>
      <c r="H305" s="1" t="s">
        <v>1330</v>
      </c>
      <c r="I305" s="1" t="s">
        <v>41</v>
      </c>
      <c r="J305">
        <v>400000</v>
      </c>
      <c r="K305">
        <v>623000</v>
      </c>
      <c r="L305" s="1" t="s">
        <v>30</v>
      </c>
      <c r="M305" s="1" t="s">
        <v>23</v>
      </c>
      <c r="N305" s="1" t="s">
        <v>31</v>
      </c>
      <c r="O305">
        <v>2492000</v>
      </c>
      <c r="P305">
        <v>892000</v>
      </c>
      <c r="Q305">
        <v>35.79</v>
      </c>
    </row>
    <row r="306" spans="1:17" x14ac:dyDescent="0.35">
      <c r="A306" s="1" t="s">
        <v>725</v>
      </c>
      <c r="B306" s="1" t="s">
        <v>173</v>
      </c>
      <c r="C306" s="1" t="s">
        <v>45</v>
      </c>
      <c r="D306" s="1" t="s">
        <v>124</v>
      </c>
      <c r="E306">
        <v>14</v>
      </c>
      <c r="F306" s="2">
        <v>45498</v>
      </c>
      <c r="G306" s="1" t="s">
        <v>1342</v>
      </c>
      <c r="H306" s="1" t="s">
        <v>1317</v>
      </c>
      <c r="I306" s="1" t="s">
        <v>1323</v>
      </c>
      <c r="J306">
        <v>80000</v>
      </c>
      <c r="K306">
        <v>92000</v>
      </c>
      <c r="L306" s="1" t="s">
        <v>46</v>
      </c>
      <c r="M306" s="1" t="s">
        <v>10</v>
      </c>
      <c r="N306" s="1" t="s">
        <v>47</v>
      </c>
      <c r="O306">
        <v>1288000</v>
      </c>
      <c r="P306">
        <v>168000</v>
      </c>
      <c r="Q306">
        <v>13.04</v>
      </c>
    </row>
    <row r="307" spans="1:17" x14ac:dyDescent="0.35">
      <c r="A307" s="1" t="s">
        <v>727</v>
      </c>
      <c r="B307" s="1" t="s">
        <v>149</v>
      </c>
      <c r="C307" s="1" t="s">
        <v>29</v>
      </c>
      <c r="D307" s="1" t="s">
        <v>121</v>
      </c>
      <c r="E307">
        <v>6</v>
      </c>
      <c r="F307" s="2">
        <v>45393</v>
      </c>
      <c r="G307" s="1" t="s">
        <v>1316</v>
      </c>
      <c r="H307" s="1" t="s">
        <v>1317</v>
      </c>
      <c r="I307" s="1" t="s">
        <v>41</v>
      </c>
      <c r="J307">
        <v>100000</v>
      </c>
      <c r="K307">
        <v>169000</v>
      </c>
      <c r="L307" s="1" t="s">
        <v>30</v>
      </c>
      <c r="M307" s="1" t="s">
        <v>23</v>
      </c>
      <c r="N307" s="1" t="s">
        <v>31</v>
      </c>
      <c r="O307">
        <v>1014000</v>
      </c>
      <c r="P307">
        <v>414000</v>
      </c>
      <c r="Q307">
        <v>40.83</v>
      </c>
    </row>
    <row r="308" spans="1:17" x14ac:dyDescent="0.35">
      <c r="A308" s="1" t="s">
        <v>728</v>
      </c>
      <c r="B308" s="1" t="s">
        <v>176</v>
      </c>
      <c r="C308" s="1" t="s">
        <v>57</v>
      </c>
      <c r="D308" s="1" t="s">
        <v>143</v>
      </c>
      <c r="E308">
        <v>8</v>
      </c>
      <c r="F308" s="2">
        <v>45519</v>
      </c>
      <c r="G308" s="1" t="s">
        <v>1329</v>
      </c>
      <c r="H308" s="1" t="s">
        <v>1330</v>
      </c>
      <c r="I308" s="1" t="s">
        <v>1323</v>
      </c>
      <c r="J308">
        <v>1500000</v>
      </c>
      <c r="K308">
        <v>1772000</v>
      </c>
      <c r="L308" s="1" t="s">
        <v>58</v>
      </c>
      <c r="M308" s="1" t="s">
        <v>10</v>
      </c>
      <c r="N308" s="1" t="s">
        <v>59</v>
      </c>
      <c r="O308">
        <v>14176000</v>
      </c>
      <c r="P308">
        <v>2176000</v>
      </c>
      <c r="Q308">
        <v>15.35</v>
      </c>
    </row>
    <row r="309" spans="1:17" x14ac:dyDescent="0.35">
      <c r="A309" s="1" t="s">
        <v>730</v>
      </c>
      <c r="B309" s="1" t="s">
        <v>168</v>
      </c>
      <c r="C309" s="1" t="s">
        <v>57</v>
      </c>
      <c r="D309" s="1" t="s">
        <v>124</v>
      </c>
      <c r="E309">
        <v>15</v>
      </c>
      <c r="F309" s="2">
        <v>45630</v>
      </c>
      <c r="G309" s="1" t="s">
        <v>1338</v>
      </c>
      <c r="H309" s="1" t="s">
        <v>1336</v>
      </c>
      <c r="I309" s="1" t="s">
        <v>41</v>
      </c>
      <c r="J309">
        <v>500000</v>
      </c>
      <c r="K309">
        <v>844000</v>
      </c>
      <c r="L309" s="1" t="s">
        <v>58</v>
      </c>
      <c r="M309" s="1" t="s">
        <v>10</v>
      </c>
      <c r="N309" s="1" t="s">
        <v>59</v>
      </c>
      <c r="O309">
        <v>12660000</v>
      </c>
      <c r="P309">
        <v>5160000</v>
      </c>
      <c r="Q309">
        <v>40.76</v>
      </c>
    </row>
    <row r="310" spans="1:17" x14ac:dyDescent="0.35">
      <c r="A310" s="1" t="s">
        <v>732</v>
      </c>
      <c r="B310" s="1" t="s">
        <v>109</v>
      </c>
      <c r="C310" s="1" t="s">
        <v>45</v>
      </c>
      <c r="D310" s="1" t="s">
        <v>157</v>
      </c>
      <c r="E310">
        <v>2</v>
      </c>
      <c r="F310" s="2">
        <v>45638</v>
      </c>
      <c r="G310" s="1" t="s">
        <v>1357</v>
      </c>
      <c r="H310" s="1" t="s">
        <v>1358</v>
      </c>
      <c r="I310" s="1" t="s">
        <v>41</v>
      </c>
      <c r="J310">
        <v>2000000</v>
      </c>
      <c r="K310">
        <v>3382000</v>
      </c>
      <c r="L310" s="1" t="s">
        <v>46</v>
      </c>
      <c r="M310" s="1" t="s">
        <v>10</v>
      </c>
      <c r="N310" s="1" t="s">
        <v>47</v>
      </c>
      <c r="O310">
        <v>6764000</v>
      </c>
      <c r="P310">
        <v>2764000</v>
      </c>
      <c r="Q310">
        <v>40.86</v>
      </c>
    </row>
    <row r="311" spans="1:17" x14ac:dyDescent="0.35">
      <c r="A311" s="1" t="s">
        <v>734</v>
      </c>
      <c r="B311" s="1" t="s">
        <v>188</v>
      </c>
      <c r="C311" s="1" t="s">
        <v>57</v>
      </c>
      <c r="D311" s="1" t="s">
        <v>157</v>
      </c>
      <c r="E311">
        <v>10</v>
      </c>
      <c r="F311" s="2">
        <v>45302</v>
      </c>
      <c r="G311" s="1" t="s">
        <v>1327</v>
      </c>
      <c r="H311" s="1" t="s">
        <v>1311</v>
      </c>
      <c r="I311" s="1" t="s">
        <v>41</v>
      </c>
      <c r="J311">
        <v>2800000</v>
      </c>
      <c r="K311">
        <v>4747000</v>
      </c>
      <c r="L311" s="1" t="s">
        <v>58</v>
      </c>
      <c r="M311" s="1" t="s">
        <v>10</v>
      </c>
      <c r="N311" s="1" t="s">
        <v>59</v>
      </c>
      <c r="O311">
        <v>47470000</v>
      </c>
      <c r="P311">
        <v>19470000</v>
      </c>
      <c r="Q311">
        <v>41.02</v>
      </c>
    </row>
    <row r="312" spans="1:17" x14ac:dyDescent="0.35">
      <c r="A312" s="1" t="s">
        <v>735</v>
      </c>
      <c r="B312" s="1" t="s">
        <v>149</v>
      </c>
      <c r="C312" s="1" t="s">
        <v>69</v>
      </c>
      <c r="D312" s="1" t="s">
        <v>128</v>
      </c>
      <c r="E312">
        <v>4</v>
      </c>
      <c r="F312" s="2">
        <v>45354</v>
      </c>
      <c r="G312" s="1" t="s">
        <v>1316</v>
      </c>
      <c r="H312" s="1" t="s">
        <v>1317</v>
      </c>
      <c r="I312" s="1" t="s">
        <v>41</v>
      </c>
      <c r="J312">
        <v>100000</v>
      </c>
      <c r="K312">
        <v>169000</v>
      </c>
      <c r="L312" s="1" t="s">
        <v>70</v>
      </c>
      <c r="M312" s="1" t="s">
        <v>10</v>
      </c>
      <c r="N312" s="1" t="s">
        <v>11</v>
      </c>
      <c r="O312">
        <v>676000</v>
      </c>
      <c r="P312">
        <v>276000</v>
      </c>
      <c r="Q312">
        <v>40.83</v>
      </c>
    </row>
    <row r="313" spans="1:17" x14ac:dyDescent="0.35">
      <c r="A313" s="1" t="s">
        <v>736</v>
      </c>
      <c r="B313" s="1" t="s">
        <v>188</v>
      </c>
      <c r="C313" s="1" t="s">
        <v>87</v>
      </c>
      <c r="D313" s="1" t="s">
        <v>143</v>
      </c>
      <c r="E313">
        <v>5</v>
      </c>
      <c r="F313" s="2">
        <v>45610</v>
      </c>
      <c r="G313" s="1" t="s">
        <v>1327</v>
      </c>
      <c r="H313" s="1" t="s">
        <v>1311</v>
      </c>
      <c r="I313" s="1" t="s">
        <v>41</v>
      </c>
      <c r="J313">
        <v>2800000</v>
      </c>
      <c r="K313">
        <v>4747000</v>
      </c>
      <c r="L313" s="1" t="s">
        <v>88</v>
      </c>
      <c r="M313" s="1" t="s">
        <v>10</v>
      </c>
      <c r="N313" s="1" t="s">
        <v>89</v>
      </c>
      <c r="O313">
        <v>23735000</v>
      </c>
      <c r="P313">
        <v>9735000</v>
      </c>
      <c r="Q313">
        <v>41.02</v>
      </c>
    </row>
    <row r="314" spans="1:17" x14ac:dyDescent="0.35">
      <c r="A314" s="1" t="s">
        <v>738</v>
      </c>
      <c r="B314" s="1" t="s">
        <v>176</v>
      </c>
      <c r="C314" s="1" t="s">
        <v>8</v>
      </c>
      <c r="D314" s="1" t="s">
        <v>171</v>
      </c>
      <c r="E314">
        <v>9</v>
      </c>
      <c r="F314" s="2">
        <v>45551</v>
      </c>
      <c r="G314" s="1" t="s">
        <v>1329</v>
      </c>
      <c r="H314" s="1" t="s">
        <v>1330</v>
      </c>
      <c r="I314" s="1" t="s">
        <v>1323</v>
      </c>
      <c r="J314">
        <v>1500000</v>
      </c>
      <c r="K314">
        <v>1772000</v>
      </c>
      <c r="L314" s="1" t="s">
        <v>9</v>
      </c>
      <c r="M314" s="1" t="s">
        <v>10</v>
      </c>
      <c r="N314" s="1" t="s">
        <v>11</v>
      </c>
      <c r="O314">
        <v>15948000</v>
      </c>
      <c r="P314">
        <v>2448000</v>
      </c>
      <c r="Q314">
        <v>15.35</v>
      </c>
    </row>
    <row r="315" spans="1:17" x14ac:dyDescent="0.35">
      <c r="A315" s="1" t="s">
        <v>740</v>
      </c>
      <c r="B315" s="1" t="s">
        <v>149</v>
      </c>
      <c r="C315" s="1" t="s">
        <v>21</v>
      </c>
      <c r="D315" s="1" t="s">
        <v>143</v>
      </c>
      <c r="E315">
        <v>6</v>
      </c>
      <c r="F315" s="2">
        <v>45569</v>
      </c>
      <c r="G315" s="1" t="s">
        <v>1316</v>
      </c>
      <c r="H315" s="1" t="s">
        <v>1317</v>
      </c>
      <c r="I315" s="1" t="s">
        <v>41</v>
      </c>
      <c r="J315">
        <v>100000</v>
      </c>
      <c r="K315">
        <v>169000</v>
      </c>
      <c r="L315" s="1" t="s">
        <v>22</v>
      </c>
      <c r="M315" s="1" t="s">
        <v>23</v>
      </c>
      <c r="N315" s="1" t="s">
        <v>24</v>
      </c>
      <c r="O315">
        <v>1014000</v>
      </c>
      <c r="P315">
        <v>414000</v>
      </c>
      <c r="Q315">
        <v>40.83</v>
      </c>
    </row>
    <row r="316" spans="1:17" x14ac:dyDescent="0.35">
      <c r="A316" s="1" t="s">
        <v>742</v>
      </c>
      <c r="B316" s="1" t="s">
        <v>141</v>
      </c>
      <c r="C316" s="1" t="s">
        <v>57</v>
      </c>
      <c r="D316" s="1" t="s">
        <v>171</v>
      </c>
      <c r="E316">
        <v>11</v>
      </c>
      <c r="F316" s="2">
        <v>45421</v>
      </c>
      <c r="G316" s="1" t="s">
        <v>1355</v>
      </c>
      <c r="H316" s="1" t="s">
        <v>1330</v>
      </c>
      <c r="I316" s="1" t="s">
        <v>41</v>
      </c>
      <c r="J316">
        <v>400000</v>
      </c>
      <c r="K316">
        <v>623000</v>
      </c>
      <c r="L316" s="1" t="s">
        <v>58</v>
      </c>
      <c r="M316" s="1" t="s">
        <v>10</v>
      </c>
      <c r="N316" s="1" t="s">
        <v>59</v>
      </c>
      <c r="O316">
        <v>6853000</v>
      </c>
      <c r="P316">
        <v>2453000</v>
      </c>
      <c r="Q316">
        <v>35.79</v>
      </c>
    </row>
    <row r="317" spans="1:17" x14ac:dyDescent="0.35">
      <c r="A317" s="1" t="s">
        <v>744</v>
      </c>
      <c r="B317" s="1" t="s">
        <v>188</v>
      </c>
      <c r="C317" s="1" t="s">
        <v>78</v>
      </c>
      <c r="D317" s="1" t="s">
        <v>171</v>
      </c>
      <c r="E317">
        <v>7</v>
      </c>
      <c r="F317" s="2">
        <v>45535</v>
      </c>
      <c r="G317" s="1" t="s">
        <v>1327</v>
      </c>
      <c r="H317" s="1" t="s">
        <v>1311</v>
      </c>
      <c r="I317" s="1" t="s">
        <v>41</v>
      </c>
      <c r="J317">
        <v>2800000</v>
      </c>
      <c r="K317">
        <v>4747000</v>
      </c>
      <c r="L317" s="1" t="s">
        <v>79</v>
      </c>
      <c r="M317" s="1" t="s">
        <v>10</v>
      </c>
      <c r="N317" s="1" t="s">
        <v>17</v>
      </c>
      <c r="O317">
        <v>33229000</v>
      </c>
      <c r="P317">
        <v>13629000</v>
      </c>
      <c r="Q317">
        <v>41.02</v>
      </c>
    </row>
    <row r="318" spans="1:17" x14ac:dyDescent="0.35">
      <c r="A318" s="1" t="s">
        <v>746</v>
      </c>
      <c r="B318" s="1" t="s">
        <v>113</v>
      </c>
      <c r="C318" s="1" t="s">
        <v>21</v>
      </c>
      <c r="D318" s="1" t="s">
        <v>124</v>
      </c>
      <c r="E318">
        <v>3</v>
      </c>
      <c r="F318" s="2">
        <v>45329</v>
      </c>
      <c r="G318" s="1" t="s">
        <v>1346</v>
      </c>
      <c r="H318" s="1" t="s">
        <v>1311</v>
      </c>
      <c r="I318" s="1" t="s">
        <v>1323</v>
      </c>
      <c r="J318">
        <v>4500000</v>
      </c>
      <c r="K318">
        <v>5522000</v>
      </c>
      <c r="L318" s="1" t="s">
        <v>22</v>
      </c>
      <c r="M318" s="1" t="s">
        <v>23</v>
      </c>
      <c r="N318" s="1" t="s">
        <v>24</v>
      </c>
      <c r="O318">
        <v>16566000</v>
      </c>
      <c r="P318">
        <v>3066000</v>
      </c>
      <c r="Q318">
        <v>18.510000000000002</v>
      </c>
    </row>
    <row r="319" spans="1:17" x14ac:dyDescent="0.35">
      <c r="A319" s="1" t="s">
        <v>748</v>
      </c>
      <c r="B319" s="1" t="s">
        <v>149</v>
      </c>
      <c r="C319" s="1" t="s">
        <v>8</v>
      </c>
      <c r="D319" s="1" t="s">
        <v>157</v>
      </c>
      <c r="E319">
        <v>3</v>
      </c>
      <c r="F319" s="2">
        <v>45499</v>
      </c>
      <c r="G319" s="1" t="s">
        <v>1316</v>
      </c>
      <c r="H319" s="1" t="s">
        <v>1317</v>
      </c>
      <c r="I319" s="1" t="s">
        <v>41</v>
      </c>
      <c r="J319">
        <v>100000</v>
      </c>
      <c r="K319">
        <v>169000</v>
      </c>
      <c r="L319" s="1" t="s">
        <v>9</v>
      </c>
      <c r="M319" s="1" t="s">
        <v>10</v>
      </c>
      <c r="N319" s="1" t="s">
        <v>11</v>
      </c>
      <c r="O319">
        <v>507000</v>
      </c>
      <c r="P319">
        <v>207000</v>
      </c>
      <c r="Q319">
        <v>40.83</v>
      </c>
    </row>
    <row r="320" spans="1:17" x14ac:dyDescent="0.35">
      <c r="A320" s="1" t="s">
        <v>750</v>
      </c>
      <c r="B320" s="1" t="s">
        <v>240</v>
      </c>
      <c r="C320" s="1" t="s">
        <v>8</v>
      </c>
      <c r="D320" s="1" t="s">
        <v>121</v>
      </c>
      <c r="E320">
        <v>13</v>
      </c>
      <c r="F320" s="2">
        <v>45474</v>
      </c>
      <c r="G320" s="1" t="s">
        <v>1326</v>
      </c>
      <c r="H320" s="1" t="s">
        <v>1317</v>
      </c>
      <c r="I320" s="1" t="s">
        <v>41</v>
      </c>
      <c r="J320">
        <v>350000</v>
      </c>
      <c r="K320">
        <v>626000</v>
      </c>
      <c r="L320" s="1" t="s">
        <v>9</v>
      </c>
      <c r="M320" s="1" t="s">
        <v>10</v>
      </c>
      <c r="N320" s="1" t="s">
        <v>11</v>
      </c>
      <c r="O320">
        <v>8138000</v>
      </c>
      <c r="P320">
        <v>3588000</v>
      </c>
      <c r="Q320">
        <v>44.09</v>
      </c>
    </row>
    <row r="321" spans="1:17" x14ac:dyDescent="0.35">
      <c r="A321" s="1" t="s">
        <v>752</v>
      </c>
      <c r="B321" s="1" t="s">
        <v>248</v>
      </c>
      <c r="C321" s="1" t="s">
        <v>15</v>
      </c>
      <c r="D321" s="1" t="s">
        <v>143</v>
      </c>
      <c r="E321">
        <v>7</v>
      </c>
      <c r="F321" s="2">
        <v>45319</v>
      </c>
      <c r="G321" s="1" t="s">
        <v>1335</v>
      </c>
      <c r="H321" s="1" t="s">
        <v>1336</v>
      </c>
      <c r="I321" s="1" t="s">
        <v>41</v>
      </c>
      <c r="J321">
        <v>250000</v>
      </c>
      <c r="K321">
        <v>354000</v>
      </c>
      <c r="L321" s="1" t="s">
        <v>16</v>
      </c>
      <c r="M321" s="1" t="s">
        <v>10</v>
      </c>
      <c r="N321" s="1" t="s">
        <v>17</v>
      </c>
      <c r="O321">
        <v>2478000</v>
      </c>
      <c r="P321">
        <v>728000</v>
      </c>
      <c r="Q321">
        <v>29.38</v>
      </c>
    </row>
    <row r="322" spans="1:17" x14ac:dyDescent="0.35">
      <c r="A322" s="1" t="s">
        <v>754</v>
      </c>
      <c r="B322" s="1" t="s">
        <v>240</v>
      </c>
      <c r="C322" s="1" t="s">
        <v>57</v>
      </c>
      <c r="D322" s="1" t="s">
        <v>121</v>
      </c>
      <c r="E322">
        <v>12</v>
      </c>
      <c r="F322" s="2">
        <v>45480</v>
      </c>
      <c r="G322" s="1" t="s">
        <v>1326</v>
      </c>
      <c r="H322" s="1" t="s">
        <v>1317</v>
      </c>
      <c r="I322" s="1" t="s">
        <v>41</v>
      </c>
      <c r="J322">
        <v>350000</v>
      </c>
      <c r="K322">
        <v>626000</v>
      </c>
      <c r="L322" s="1" t="s">
        <v>58</v>
      </c>
      <c r="M322" s="1" t="s">
        <v>10</v>
      </c>
      <c r="N322" s="1" t="s">
        <v>59</v>
      </c>
      <c r="O322">
        <v>7512000</v>
      </c>
      <c r="P322">
        <v>3312000</v>
      </c>
      <c r="Q322">
        <v>44.09</v>
      </c>
    </row>
    <row r="323" spans="1:17" x14ac:dyDescent="0.35">
      <c r="A323" s="1" t="s">
        <v>756</v>
      </c>
      <c r="B323" s="1" t="s">
        <v>248</v>
      </c>
      <c r="C323" s="1" t="s">
        <v>69</v>
      </c>
      <c r="D323" s="1" t="s">
        <v>171</v>
      </c>
      <c r="E323">
        <v>13</v>
      </c>
      <c r="F323" s="2">
        <v>45325</v>
      </c>
      <c r="G323" s="1" t="s">
        <v>1335</v>
      </c>
      <c r="H323" s="1" t="s">
        <v>1336</v>
      </c>
      <c r="I323" s="1" t="s">
        <v>41</v>
      </c>
      <c r="J323">
        <v>250000</v>
      </c>
      <c r="K323">
        <v>354000</v>
      </c>
      <c r="L323" s="1" t="s">
        <v>70</v>
      </c>
      <c r="M323" s="1" t="s">
        <v>10</v>
      </c>
      <c r="N323" s="1" t="s">
        <v>11</v>
      </c>
      <c r="O323">
        <v>4602000</v>
      </c>
      <c r="P323">
        <v>1352000</v>
      </c>
      <c r="Q323">
        <v>29.38</v>
      </c>
    </row>
    <row r="324" spans="1:17" x14ac:dyDescent="0.35">
      <c r="A324" s="1" t="s">
        <v>758</v>
      </c>
      <c r="B324" s="1" t="s">
        <v>240</v>
      </c>
      <c r="C324" s="1" t="s">
        <v>15</v>
      </c>
      <c r="D324" s="1" t="s">
        <v>121</v>
      </c>
      <c r="E324">
        <v>13</v>
      </c>
      <c r="F324" s="2">
        <v>45650</v>
      </c>
      <c r="G324" s="1" t="s">
        <v>1326</v>
      </c>
      <c r="H324" s="1" t="s">
        <v>1317</v>
      </c>
      <c r="I324" s="1" t="s">
        <v>41</v>
      </c>
      <c r="J324">
        <v>350000</v>
      </c>
      <c r="K324">
        <v>626000</v>
      </c>
      <c r="L324" s="1" t="s">
        <v>16</v>
      </c>
      <c r="M324" s="1" t="s">
        <v>10</v>
      </c>
      <c r="N324" s="1" t="s">
        <v>17</v>
      </c>
      <c r="O324">
        <v>8138000</v>
      </c>
      <c r="P324">
        <v>3588000</v>
      </c>
      <c r="Q324">
        <v>44.09</v>
      </c>
    </row>
    <row r="325" spans="1:17" x14ac:dyDescent="0.35">
      <c r="A325" s="1" t="s">
        <v>760</v>
      </c>
      <c r="B325" s="1" t="s">
        <v>173</v>
      </c>
      <c r="C325" s="1" t="s">
        <v>15</v>
      </c>
      <c r="D325" s="1" t="s">
        <v>121</v>
      </c>
      <c r="E325">
        <v>5</v>
      </c>
      <c r="F325" s="2">
        <v>45504</v>
      </c>
      <c r="G325" s="1" t="s">
        <v>1342</v>
      </c>
      <c r="H325" s="1" t="s">
        <v>1317</v>
      </c>
      <c r="I325" s="1" t="s">
        <v>1323</v>
      </c>
      <c r="J325">
        <v>80000</v>
      </c>
      <c r="K325">
        <v>92000</v>
      </c>
      <c r="L325" s="1" t="s">
        <v>16</v>
      </c>
      <c r="M325" s="1" t="s">
        <v>10</v>
      </c>
      <c r="N325" s="1" t="s">
        <v>17</v>
      </c>
      <c r="O325">
        <v>460000</v>
      </c>
      <c r="P325">
        <v>60000</v>
      </c>
      <c r="Q325">
        <v>13.04</v>
      </c>
    </row>
    <row r="326" spans="1:17" x14ac:dyDescent="0.35">
      <c r="A326" s="1" t="s">
        <v>762</v>
      </c>
      <c r="B326" s="1" t="s">
        <v>176</v>
      </c>
      <c r="C326" s="1" t="s">
        <v>35</v>
      </c>
      <c r="D326" s="1" t="s">
        <v>157</v>
      </c>
      <c r="E326">
        <v>15</v>
      </c>
      <c r="F326" s="2">
        <v>45419</v>
      </c>
      <c r="G326" s="1" t="s">
        <v>1329</v>
      </c>
      <c r="H326" s="1" t="s">
        <v>1330</v>
      </c>
      <c r="I326" s="1" t="s">
        <v>1323</v>
      </c>
      <c r="J326">
        <v>1500000</v>
      </c>
      <c r="K326">
        <v>1772000</v>
      </c>
      <c r="L326" s="1" t="s">
        <v>36</v>
      </c>
      <c r="M326" s="1" t="s">
        <v>10</v>
      </c>
      <c r="N326" s="1" t="s">
        <v>11</v>
      </c>
      <c r="O326">
        <v>26580000</v>
      </c>
      <c r="P326">
        <v>4080000</v>
      </c>
      <c r="Q326">
        <v>15.35</v>
      </c>
    </row>
    <row r="327" spans="1:17" x14ac:dyDescent="0.35">
      <c r="A327" s="1" t="s">
        <v>764</v>
      </c>
      <c r="B327" s="1" t="s">
        <v>168</v>
      </c>
      <c r="C327" s="1" t="s">
        <v>78</v>
      </c>
      <c r="D327" s="1" t="s">
        <v>128</v>
      </c>
      <c r="E327">
        <v>9</v>
      </c>
      <c r="F327" s="2">
        <v>45548</v>
      </c>
      <c r="G327" s="1" t="s">
        <v>1338</v>
      </c>
      <c r="H327" s="1" t="s">
        <v>1336</v>
      </c>
      <c r="I327" s="1" t="s">
        <v>41</v>
      </c>
      <c r="J327">
        <v>500000</v>
      </c>
      <c r="K327">
        <v>844000</v>
      </c>
      <c r="L327" s="1" t="s">
        <v>79</v>
      </c>
      <c r="M327" s="1" t="s">
        <v>10</v>
      </c>
      <c r="N327" s="1" t="s">
        <v>17</v>
      </c>
      <c r="O327">
        <v>7596000</v>
      </c>
      <c r="P327">
        <v>3096000</v>
      </c>
      <c r="Q327">
        <v>40.76</v>
      </c>
    </row>
    <row r="328" spans="1:17" x14ac:dyDescent="0.35">
      <c r="A328" s="1" t="s">
        <v>766</v>
      </c>
      <c r="B328" s="1" t="s">
        <v>111</v>
      </c>
      <c r="C328" s="1" t="s">
        <v>87</v>
      </c>
      <c r="D328" s="1" t="s">
        <v>143</v>
      </c>
      <c r="E328">
        <v>3</v>
      </c>
      <c r="F328" s="2">
        <v>45606</v>
      </c>
      <c r="G328" s="1" t="s">
        <v>1344</v>
      </c>
      <c r="H328" s="1" t="s">
        <v>1311</v>
      </c>
      <c r="I328" s="1" t="s">
        <v>1323</v>
      </c>
      <c r="J328">
        <v>18000000</v>
      </c>
      <c r="K328">
        <v>27603000</v>
      </c>
      <c r="L328" s="1" t="s">
        <v>88</v>
      </c>
      <c r="M328" s="1" t="s">
        <v>10</v>
      </c>
      <c r="N328" s="1" t="s">
        <v>89</v>
      </c>
      <c r="O328">
        <v>82809000</v>
      </c>
      <c r="P328">
        <v>28809000</v>
      </c>
      <c r="Q328">
        <v>34.79</v>
      </c>
    </row>
    <row r="329" spans="1:17" x14ac:dyDescent="0.35">
      <c r="A329" s="1" t="s">
        <v>768</v>
      </c>
      <c r="B329" s="1" t="s">
        <v>113</v>
      </c>
      <c r="C329" s="1" t="s">
        <v>21</v>
      </c>
      <c r="D329" s="1" t="s">
        <v>143</v>
      </c>
      <c r="E329">
        <v>11</v>
      </c>
      <c r="F329" s="2">
        <v>45562</v>
      </c>
      <c r="G329" s="1" t="s">
        <v>1346</v>
      </c>
      <c r="H329" s="1" t="s">
        <v>1311</v>
      </c>
      <c r="I329" s="1" t="s">
        <v>1323</v>
      </c>
      <c r="J329">
        <v>4500000</v>
      </c>
      <c r="K329">
        <v>5522000</v>
      </c>
      <c r="L329" s="1" t="s">
        <v>22</v>
      </c>
      <c r="M329" s="1" t="s">
        <v>23</v>
      </c>
      <c r="N329" s="1" t="s">
        <v>24</v>
      </c>
      <c r="O329">
        <v>60742000</v>
      </c>
      <c r="P329">
        <v>11242000</v>
      </c>
      <c r="Q329">
        <v>18.510000000000002</v>
      </c>
    </row>
    <row r="330" spans="1:17" x14ac:dyDescent="0.35">
      <c r="A330" s="1" t="s">
        <v>770</v>
      </c>
      <c r="B330" s="1" t="s">
        <v>272</v>
      </c>
      <c r="C330" s="1" t="s">
        <v>78</v>
      </c>
      <c r="D330" s="1" t="s">
        <v>124</v>
      </c>
      <c r="E330">
        <v>6</v>
      </c>
      <c r="F330" s="2">
        <v>45338</v>
      </c>
      <c r="G330" s="1" t="s">
        <v>1320</v>
      </c>
      <c r="H330" s="1" t="s">
        <v>1317</v>
      </c>
      <c r="I330" s="1" t="s">
        <v>1323</v>
      </c>
      <c r="J330">
        <v>650000</v>
      </c>
      <c r="K330">
        <v>741000</v>
      </c>
      <c r="L330" s="1" t="s">
        <v>79</v>
      </c>
      <c r="M330" s="1" t="s">
        <v>10</v>
      </c>
      <c r="N330" s="1" t="s">
        <v>17</v>
      </c>
      <c r="O330">
        <v>4446000</v>
      </c>
      <c r="P330">
        <v>546000</v>
      </c>
      <c r="Q330">
        <v>12.28</v>
      </c>
    </row>
    <row r="331" spans="1:17" x14ac:dyDescent="0.35">
      <c r="A331" s="1" t="s">
        <v>772</v>
      </c>
      <c r="B331" s="1" t="s">
        <v>248</v>
      </c>
      <c r="C331" s="1" t="s">
        <v>45</v>
      </c>
      <c r="D331" s="1" t="s">
        <v>171</v>
      </c>
      <c r="E331">
        <v>4</v>
      </c>
      <c r="F331" s="2">
        <v>45614</v>
      </c>
      <c r="G331" s="1" t="s">
        <v>1335</v>
      </c>
      <c r="H331" s="1" t="s">
        <v>1336</v>
      </c>
      <c r="I331" s="1" t="s">
        <v>41</v>
      </c>
      <c r="J331">
        <v>250000</v>
      </c>
      <c r="K331">
        <v>354000</v>
      </c>
      <c r="L331" s="1" t="s">
        <v>46</v>
      </c>
      <c r="M331" s="1" t="s">
        <v>10</v>
      </c>
      <c r="N331" s="1" t="s">
        <v>47</v>
      </c>
      <c r="O331">
        <v>1416000</v>
      </c>
      <c r="P331">
        <v>416000</v>
      </c>
      <c r="Q331">
        <v>29.38</v>
      </c>
    </row>
    <row r="332" spans="1:17" x14ac:dyDescent="0.35">
      <c r="A332" s="1" t="s">
        <v>774</v>
      </c>
      <c r="B332" s="1" t="s">
        <v>168</v>
      </c>
      <c r="C332" s="1" t="s">
        <v>78</v>
      </c>
      <c r="D332" s="1" t="s">
        <v>121</v>
      </c>
      <c r="E332">
        <v>6</v>
      </c>
      <c r="F332" s="2">
        <v>45523</v>
      </c>
      <c r="G332" s="1" t="s">
        <v>1338</v>
      </c>
      <c r="H332" s="1" t="s">
        <v>1336</v>
      </c>
      <c r="I332" s="1" t="s">
        <v>41</v>
      </c>
      <c r="J332">
        <v>500000</v>
      </c>
      <c r="K332">
        <v>844000</v>
      </c>
      <c r="L332" s="1" t="s">
        <v>79</v>
      </c>
      <c r="M332" s="1" t="s">
        <v>10</v>
      </c>
      <c r="N332" s="1" t="s">
        <v>17</v>
      </c>
      <c r="O332">
        <v>5064000</v>
      </c>
      <c r="P332">
        <v>2064000</v>
      </c>
      <c r="Q332">
        <v>40.76</v>
      </c>
    </row>
    <row r="333" spans="1:17" x14ac:dyDescent="0.35">
      <c r="A333" s="1" t="s">
        <v>776</v>
      </c>
      <c r="B333" s="1" t="s">
        <v>106</v>
      </c>
      <c r="C333" s="1" t="s">
        <v>51</v>
      </c>
      <c r="D333" s="1" t="s">
        <v>143</v>
      </c>
      <c r="E333">
        <v>14</v>
      </c>
      <c r="F333" s="2">
        <v>45600</v>
      </c>
      <c r="G333" s="1" t="s">
        <v>1348</v>
      </c>
      <c r="H333" s="1" t="s">
        <v>1317</v>
      </c>
      <c r="I333" s="1" t="s">
        <v>1323</v>
      </c>
      <c r="J333">
        <v>300000</v>
      </c>
      <c r="K333">
        <v>355000</v>
      </c>
      <c r="L333" s="1" t="s">
        <v>52</v>
      </c>
      <c r="M333" s="1" t="s">
        <v>23</v>
      </c>
      <c r="N333" s="1" t="s">
        <v>53</v>
      </c>
      <c r="O333">
        <v>4970000</v>
      </c>
      <c r="P333">
        <v>770000</v>
      </c>
      <c r="Q333">
        <v>15.49</v>
      </c>
    </row>
    <row r="334" spans="1:17" x14ac:dyDescent="0.35">
      <c r="A334" s="1" t="s">
        <v>777</v>
      </c>
      <c r="B334" s="1" t="s">
        <v>111</v>
      </c>
      <c r="C334" s="1" t="s">
        <v>35</v>
      </c>
      <c r="D334" s="1" t="s">
        <v>171</v>
      </c>
      <c r="E334">
        <v>4</v>
      </c>
      <c r="F334" s="2">
        <v>45389</v>
      </c>
      <c r="G334" s="1" t="s">
        <v>1344</v>
      </c>
      <c r="H334" s="1" t="s">
        <v>1311</v>
      </c>
      <c r="I334" s="1" t="s">
        <v>1323</v>
      </c>
      <c r="J334">
        <v>18000000</v>
      </c>
      <c r="K334">
        <v>27603000</v>
      </c>
      <c r="L334" s="1" t="s">
        <v>36</v>
      </c>
      <c r="M334" s="1" t="s">
        <v>10</v>
      </c>
      <c r="N334" s="1" t="s">
        <v>11</v>
      </c>
      <c r="O334">
        <v>110412000</v>
      </c>
      <c r="P334">
        <v>38412000</v>
      </c>
      <c r="Q334">
        <v>34.79</v>
      </c>
    </row>
    <row r="335" spans="1:17" x14ac:dyDescent="0.35">
      <c r="A335" s="1" t="s">
        <v>779</v>
      </c>
      <c r="B335" s="1" t="s">
        <v>164</v>
      </c>
      <c r="C335" s="1" t="s">
        <v>73</v>
      </c>
      <c r="D335" s="1" t="s">
        <v>157</v>
      </c>
      <c r="E335">
        <v>3</v>
      </c>
      <c r="F335" s="2">
        <v>45295</v>
      </c>
      <c r="G335" s="1" t="s">
        <v>1332</v>
      </c>
      <c r="H335" s="1" t="s">
        <v>1330</v>
      </c>
      <c r="I335" s="1" t="s">
        <v>11</v>
      </c>
      <c r="J335">
        <v>750000</v>
      </c>
      <c r="K335">
        <v>971000</v>
      </c>
      <c r="L335" s="1" t="s">
        <v>74</v>
      </c>
      <c r="M335" s="1" t="s">
        <v>23</v>
      </c>
      <c r="N335" s="1" t="s">
        <v>75</v>
      </c>
      <c r="O335">
        <v>2913000</v>
      </c>
      <c r="P335">
        <v>663000</v>
      </c>
      <c r="Q335">
        <v>22.76</v>
      </c>
    </row>
    <row r="336" spans="1:17" x14ac:dyDescent="0.35">
      <c r="A336" s="1" t="s">
        <v>781</v>
      </c>
      <c r="B336" s="1" t="s">
        <v>137</v>
      </c>
      <c r="C336" s="1" t="s">
        <v>69</v>
      </c>
      <c r="D336" s="1" t="s">
        <v>121</v>
      </c>
      <c r="E336">
        <v>9</v>
      </c>
      <c r="F336" s="2">
        <v>45380</v>
      </c>
      <c r="G336" s="1" t="s">
        <v>1324</v>
      </c>
      <c r="H336" s="1" t="s">
        <v>1311</v>
      </c>
      <c r="I336" s="1" t="s">
        <v>11</v>
      </c>
      <c r="J336">
        <v>2000000</v>
      </c>
      <c r="K336">
        <v>2533000</v>
      </c>
      <c r="L336" s="1" t="s">
        <v>70</v>
      </c>
      <c r="M336" s="1" t="s">
        <v>10</v>
      </c>
      <c r="N336" s="1" t="s">
        <v>11</v>
      </c>
      <c r="O336">
        <v>22797000</v>
      </c>
      <c r="P336">
        <v>4797000</v>
      </c>
      <c r="Q336">
        <v>21.04</v>
      </c>
    </row>
    <row r="337" spans="1:17" x14ac:dyDescent="0.35">
      <c r="A337" s="1" t="s">
        <v>783</v>
      </c>
      <c r="B337" s="1" t="s">
        <v>188</v>
      </c>
      <c r="C337" s="1" t="s">
        <v>35</v>
      </c>
      <c r="D337" s="1" t="s">
        <v>121</v>
      </c>
      <c r="E337">
        <v>15</v>
      </c>
      <c r="F337" s="2">
        <v>45379</v>
      </c>
      <c r="G337" s="1" t="s">
        <v>1327</v>
      </c>
      <c r="H337" s="1" t="s">
        <v>1311</v>
      </c>
      <c r="I337" s="1" t="s">
        <v>41</v>
      </c>
      <c r="J337">
        <v>2800000</v>
      </c>
      <c r="K337">
        <v>4747000</v>
      </c>
      <c r="L337" s="1" t="s">
        <v>36</v>
      </c>
      <c r="M337" s="1" t="s">
        <v>10</v>
      </c>
      <c r="N337" s="1" t="s">
        <v>11</v>
      </c>
      <c r="O337">
        <v>71205000</v>
      </c>
      <c r="P337">
        <v>29205000</v>
      </c>
      <c r="Q337">
        <v>41.02</v>
      </c>
    </row>
    <row r="338" spans="1:17" x14ac:dyDescent="0.35">
      <c r="A338" s="1" t="s">
        <v>785</v>
      </c>
      <c r="B338" s="1" t="s">
        <v>172</v>
      </c>
      <c r="C338" s="1" t="s">
        <v>73</v>
      </c>
      <c r="D338" s="1" t="s">
        <v>143</v>
      </c>
      <c r="E338">
        <v>5</v>
      </c>
      <c r="F338" s="2">
        <v>45342</v>
      </c>
      <c r="G338" s="1" t="s">
        <v>1340</v>
      </c>
      <c r="H338" s="1" t="s">
        <v>1330</v>
      </c>
      <c r="I338" s="1" t="s">
        <v>41</v>
      </c>
      <c r="J338">
        <v>950000</v>
      </c>
      <c r="K338">
        <v>1649000</v>
      </c>
      <c r="L338" s="1" t="s">
        <v>74</v>
      </c>
      <c r="M338" s="1" t="s">
        <v>23</v>
      </c>
      <c r="N338" s="1" t="s">
        <v>75</v>
      </c>
      <c r="O338">
        <v>8245000</v>
      </c>
      <c r="P338">
        <v>3495000</v>
      </c>
      <c r="Q338">
        <v>42.39</v>
      </c>
    </row>
    <row r="339" spans="1:17" x14ac:dyDescent="0.35">
      <c r="A339" s="1" t="s">
        <v>787</v>
      </c>
      <c r="B339" s="1" t="s">
        <v>188</v>
      </c>
      <c r="C339" s="1" t="s">
        <v>45</v>
      </c>
      <c r="D339" s="1" t="s">
        <v>124</v>
      </c>
      <c r="E339">
        <v>14</v>
      </c>
      <c r="F339" s="2">
        <v>45441</v>
      </c>
      <c r="G339" s="1" t="s">
        <v>1327</v>
      </c>
      <c r="H339" s="1" t="s">
        <v>1311</v>
      </c>
      <c r="I339" s="1" t="s">
        <v>41</v>
      </c>
      <c r="J339">
        <v>2800000</v>
      </c>
      <c r="K339">
        <v>4747000</v>
      </c>
      <c r="L339" s="1" t="s">
        <v>46</v>
      </c>
      <c r="M339" s="1" t="s">
        <v>10</v>
      </c>
      <c r="N339" s="1" t="s">
        <v>47</v>
      </c>
      <c r="O339">
        <v>66458000</v>
      </c>
      <c r="P339">
        <v>27258000</v>
      </c>
      <c r="Q339">
        <v>41.02</v>
      </c>
    </row>
    <row r="340" spans="1:17" x14ac:dyDescent="0.35">
      <c r="A340" s="1" t="s">
        <v>789</v>
      </c>
      <c r="B340" s="1" t="s">
        <v>141</v>
      </c>
      <c r="C340" s="1" t="s">
        <v>78</v>
      </c>
      <c r="D340" s="1" t="s">
        <v>121</v>
      </c>
      <c r="E340">
        <v>9</v>
      </c>
      <c r="F340" s="2">
        <v>45345</v>
      </c>
      <c r="G340" s="1" t="s">
        <v>1355</v>
      </c>
      <c r="H340" s="1" t="s">
        <v>1330</v>
      </c>
      <c r="I340" s="1" t="s">
        <v>41</v>
      </c>
      <c r="J340">
        <v>400000</v>
      </c>
      <c r="K340">
        <v>623000</v>
      </c>
      <c r="L340" s="1" t="s">
        <v>79</v>
      </c>
      <c r="M340" s="1" t="s">
        <v>10</v>
      </c>
      <c r="N340" s="1" t="s">
        <v>17</v>
      </c>
      <c r="O340">
        <v>5607000</v>
      </c>
      <c r="P340">
        <v>2007000</v>
      </c>
      <c r="Q340">
        <v>35.79</v>
      </c>
    </row>
    <row r="341" spans="1:17" x14ac:dyDescent="0.35">
      <c r="A341" s="1" t="s">
        <v>791</v>
      </c>
      <c r="B341" s="1" t="s">
        <v>116</v>
      </c>
      <c r="C341" s="1" t="s">
        <v>35</v>
      </c>
      <c r="D341" s="1" t="s">
        <v>124</v>
      </c>
      <c r="E341">
        <v>4</v>
      </c>
      <c r="F341" s="2">
        <v>45622</v>
      </c>
      <c r="G341" s="1" t="s">
        <v>1352</v>
      </c>
      <c r="H341" s="1" t="s">
        <v>1330</v>
      </c>
      <c r="I341" s="1" t="s">
        <v>1323</v>
      </c>
      <c r="J341">
        <v>5000000</v>
      </c>
      <c r="K341">
        <v>7546000</v>
      </c>
      <c r="L341" s="1" t="s">
        <v>36</v>
      </c>
      <c r="M341" s="1" t="s">
        <v>10</v>
      </c>
      <c r="N341" s="1" t="s">
        <v>11</v>
      </c>
      <c r="O341">
        <v>30184000</v>
      </c>
      <c r="P341">
        <v>10184000</v>
      </c>
      <c r="Q341">
        <v>33.74</v>
      </c>
    </row>
    <row r="342" spans="1:17" x14ac:dyDescent="0.35">
      <c r="A342" s="1" t="s">
        <v>793</v>
      </c>
      <c r="B342" s="1" t="s">
        <v>191</v>
      </c>
      <c r="C342" s="1" t="s">
        <v>63</v>
      </c>
      <c r="D342" s="1" t="s">
        <v>143</v>
      </c>
      <c r="E342">
        <v>14</v>
      </c>
      <c r="F342" s="2">
        <v>45657</v>
      </c>
      <c r="G342" s="1" t="s">
        <v>1310</v>
      </c>
      <c r="H342" s="1" t="s">
        <v>1311</v>
      </c>
      <c r="I342" s="1" t="s">
        <v>11</v>
      </c>
      <c r="J342">
        <v>12000000</v>
      </c>
      <c r="K342">
        <v>13963000</v>
      </c>
      <c r="L342" s="1" t="s">
        <v>64</v>
      </c>
      <c r="M342" s="1" t="s">
        <v>23</v>
      </c>
      <c r="N342" s="1" t="s">
        <v>65</v>
      </c>
      <c r="O342">
        <v>195482000</v>
      </c>
      <c r="P342">
        <v>27482000</v>
      </c>
      <c r="Q342">
        <v>14.06</v>
      </c>
    </row>
    <row r="343" spans="1:17" x14ac:dyDescent="0.35">
      <c r="A343" s="1" t="s">
        <v>795</v>
      </c>
      <c r="B343" s="1" t="s">
        <v>141</v>
      </c>
      <c r="C343" s="1" t="s">
        <v>8</v>
      </c>
      <c r="D343" s="1" t="s">
        <v>124</v>
      </c>
      <c r="E343">
        <v>13</v>
      </c>
      <c r="F343" s="2">
        <v>45412</v>
      </c>
      <c r="G343" s="1" t="s">
        <v>1355</v>
      </c>
      <c r="H343" s="1" t="s">
        <v>1330</v>
      </c>
      <c r="I343" s="1" t="s">
        <v>41</v>
      </c>
      <c r="J343">
        <v>400000</v>
      </c>
      <c r="K343">
        <v>623000</v>
      </c>
      <c r="L343" s="1" t="s">
        <v>9</v>
      </c>
      <c r="M343" s="1" t="s">
        <v>10</v>
      </c>
      <c r="N343" s="1" t="s">
        <v>11</v>
      </c>
      <c r="O343">
        <v>8099000</v>
      </c>
      <c r="P343">
        <v>2899000</v>
      </c>
      <c r="Q343">
        <v>35.79</v>
      </c>
    </row>
    <row r="344" spans="1:17" x14ac:dyDescent="0.35">
      <c r="A344" s="1" t="s">
        <v>797</v>
      </c>
      <c r="B344" s="1" t="s">
        <v>109</v>
      </c>
      <c r="C344" s="1" t="s">
        <v>63</v>
      </c>
      <c r="D344" s="1" t="s">
        <v>128</v>
      </c>
      <c r="E344">
        <v>15</v>
      </c>
      <c r="F344" s="2">
        <v>45544</v>
      </c>
      <c r="G344" s="1" t="s">
        <v>1357</v>
      </c>
      <c r="H344" s="1" t="s">
        <v>1358</v>
      </c>
      <c r="I344" s="1" t="s">
        <v>41</v>
      </c>
      <c r="J344">
        <v>2000000</v>
      </c>
      <c r="K344">
        <v>3382000</v>
      </c>
      <c r="L344" s="1" t="s">
        <v>64</v>
      </c>
      <c r="M344" s="1" t="s">
        <v>23</v>
      </c>
      <c r="N344" s="1" t="s">
        <v>65</v>
      </c>
      <c r="O344">
        <v>50730000</v>
      </c>
      <c r="P344">
        <v>20730000</v>
      </c>
      <c r="Q344">
        <v>40.86</v>
      </c>
    </row>
    <row r="345" spans="1:17" x14ac:dyDescent="0.35">
      <c r="A345" s="1" t="s">
        <v>799</v>
      </c>
      <c r="B345" s="1" t="s">
        <v>113</v>
      </c>
      <c r="C345" s="1" t="s">
        <v>73</v>
      </c>
      <c r="D345" s="1" t="s">
        <v>128</v>
      </c>
      <c r="E345">
        <v>5</v>
      </c>
      <c r="F345" s="2">
        <v>45481</v>
      </c>
      <c r="G345" s="1" t="s">
        <v>1346</v>
      </c>
      <c r="H345" s="1" t="s">
        <v>1311</v>
      </c>
      <c r="I345" s="1" t="s">
        <v>1323</v>
      </c>
      <c r="J345">
        <v>4500000</v>
      </c>
      <c r="K345">
        <v>5522000</v>
      </c>
      <c r="L345" s="1" t="s">
        <v>74</v>
      </c>
      <c r="M345" s="1" t="s">
        <v>23</v>
      </c>
      <c r="N345" s="1" t="s">
        <v>75</v>
      </c>
      <c r="O345">
        <v>27610000</v>
      </c>
      <c r="P345">
        <v>5110000</v>
      </c>
      <c r="Q345">
        <v>18.510000000000002</v>
      </c>
    </row>
    <row r="346" spans="1:17" x14ac:dyDescent="0.35">
      <c r="A346" s="1" t="s">
        <v>801</v>
      </c>
      <c r="B346" s="1" t="s">
        <v>111</v>
      </c>
      <c r="C346" s="1" t="s">
        <v>82</v>
      </c>
      <c r="D346" s="1" t="s">
        <v>121</v>
      </c>
      <c r="E346">
        <v>2</v>
      </c>
      <c r="F346" s="2">
        <v>45320</v>
      </c>
      <c r="G346" s="1" t="s">
        <v>1344</v>
      </c>
      <c r="H346" s="1" t="s">
        <v>1311</v>
      </c>
      <c r="I346" s="1" t="s">
        <v>1323</v>
      </c>
      <c r="J346">
        <v>18000000</v>
      </c>
      <c r="K346">
        <v>27603000</v>
      </c>
      <c r="L346" s="1" t="s">
        <v>83</v>
      </c>
      <c r="M346" s="1" t="s">
        <v>23</v>
      </c>
      <c r="N346" s="1" t="s">
        <v>84</v>
      </c>
      <c r="O346">
        <v>55206000</v>
      </c>
      <c r="P346">
        <v>19206000</v>
      </c>
      <c r="Q346">
        <v>34.79</v>
      </c>
    </row>
    <row r="347" spans="1:17" x14ac:dyDescent="0.35">
      <c r="A347" s="1" t="s">
        <v>803</v>
      </c>
      <c r="B347" s="1" t="s">
        <v>149</v>
      </c>
      <c r="C347" s="1" t="s">
        <v>45</v>
      </c>
      <c r="D347" s="1" t="s">
        <v>124</v>
      </c>
      <c r="E347">
        <v>14</v>
      </c>
      <c r="F347" s="2">
        <v>45577</v>
      </c>
      <c r="G347" s="1" t="s">
        <v>1316</v>
      </c>
      <c r="H347" s="1" t="s">
        <v>1317</v>
      </c>
      <c r="I347" s="1" t="s">
        <v>41</v>
      </c>
      <c r="J347">
        <v>100000</v>
      </c>
      <c r="K347">
        <v>169000</v>
      </c>
      <c r="L347" s="1" t="s">
        <v>46</v>
      </c>
      <c r="M347" s="1" t="s">
        <v>10</v>
      </c>
      <c r="N347" s="1" t="s">
        <v>47</v>
      </c>
      <c r="O347">
        <v>2366000</v>
      </c>
      <c r="P347">
        <v>966000</v>
      </c>
      <c r="Q347">
        <v>40.83</v>
      </c>
    </row>
    <row r="348" spans="1:17" x14ac:dyDescent="0.35">
      <c r="A348" s="1" t="s">
        <v>805</v>
      </c>
      <c r="B348" s="1" t="s">
        <v>116</v>
      </c>
      <c r="C348" s="1" t="s">
        <v>15</v>
      </c>
      <c r="D348" s="1" t="s">
        <v>128</v>
      </c>
      <c r="E348">
        <v>11</v>
      </c>
      <c r="F348" s="2">
        <v>45589</v>
      </c>
      <c r="G348" s="1" t="s">
        <v>1352</v>
      </c>
      <c r="H348" s="1" t="s">
        <v>1330</v>
      </c>
      <c r="I348" s="1" t="s">
        <v>1323</v>
      </c>
      <c r="J348">
        <v>5000000</v>
      </c>
      <c r="K348">
        <v>7546000</v>
      </c>
      <c r="L348" s="1" t="s">
        <v>16</v>
      </c>
      <c r="M348" s="1" t="s">
        <v>10</v>
      </c>
      <c r="N348" s="1" t="s">
        <v>17</v>
      </c>
      <c r="O348">
        <v>83006000</v>
      </c>
      <c r="P348">
        <v>28006000</v>
      </c>
      <c r="Q348">
        <v>33.74</v>
      </c>
    </row>
    <row r="349" spans="1:17" x14ac:dyDescent="0.35">
      <c r="A349" s="1" t="s">
        <v>807</v>
      </c>
      <c r="B349" s="1" t="s">
        <v>191</v>
      </c>
      <c r="C349" s="1" t="s">
        <v>78</v>
      </c>
      <c r="D349" s="1" t="s">
        <v>121</v>
      </c>
      <c r="E349">
        <v>3</v>
      </c>
      <c r="F349" s="2">
        <v>45606</v>
      </c>
      <c r="G349" s="1" t="s">
        <v>1310</v>
      </c>
      <c r="H349" s="1" t="s">
        <v>1311</v>
      </c>
      <c r="I349" s="1" t="s">
        <v>11</v>
      </c>
      <c r="J349">
        <v>12000000</v>
      </c>
      <c r="K349">
        <v>13963000</v>
      </c>
      <c r="L349" s="1" t="s">
        <v>79</v>
      </c>
      <c r="M349" s="1" t="s">
        <v>10</v>
      </c>
      <c r="N349" s="1" t="s">
        <v>17</v>
      </c>
      <c r="O349">
        <v>41889000</v>
      </c>
      <c r="P349">
        <v>5889000</v>
      </c>
      <c r="Q349">
        <v>14.06</v>
      </c>
    </row>
    <row r="350" spans="1:17" x14ac:dyDescent="0.35">
      <c r="A350" s="1" t="s">
        <v>809</v>
      </c>
      <c r="B350" s="1" t="s">
        <v>149</v>
      </c>
      <c r="C350" s="1" t="s">
        <v>39</v>
      </c>
      <c r="D350" s="1" t="s">
        <v>128</v>
      </c>
      <c r="E350">
        <v>10</v>
      </c>
      <c r="F350" s="2">
        <v>45474</v>
      </c>
      <c r="G350" s="1" t="s">
        <v>1316</v>
      </c>
      <c r="H350" s="1" t="s">
        <v>1317</v>
      </c>
      <c r="I350" s="1" t="s">
        <v>41</v>
      </c>
      <c r="J350">
        <v>100000</v>
      </c>
      <c r="K350">
        <v>169000</v>
      </c>
      <c r="L350" s="1" t="s">
        <v>40</v>
      </c>
      <c r="M350" s="1" t="s">
        <v>23</v>
      </c>
      <c r="N350" s="1" t="s">
        <v>41</v>
      </c>
      <c r="O350">
        <v>1690000</v>
      </c>
      <c r="P350">
        <v>690000</v>
      </c>
      <c r="Q350">
        <v>40.83</v>
      </c>
    </row>
    <row r="351" spans="1:17" x14ac:dyDescent="0.35">
      <c r="A351" s="1" t="s">
        <v>811</v>
      </c>
      <c r="B351" s="1" t="s">
        <v>188</v>
      </c>
      <c r="C351" s="1" t="s">
        <v>51</v>
      </c>
      <c r="D351" s="1" t="s">
        <v>171</v>
      </c>
      <c r="E351">
        <v>3</v>
      </c>
      <c r="F351" s="2">
        <v>45618</v>
      </c>
      <c r="G351" s="1" t="s">
        <v>1327</v>
      </c>
      <c r="H351" s="1" t="s">
        <v>1311</v>
      </c>
      <c r="I351" s="1" t="s">
        <v>41</v>
      </c>
      <c r="J351">
        <v>2800000</v>
      </c>
      <c r="K351">
        <v>4747000</v>
      </c>
      <c r="L351" s="1" t="s">
        <v>52</v>
      </c>
      <c r="M351" s="1" t="s">
        <v>23</v>
      </c>
      <c r="N351" s="1" t="s">
        <v>53</v>
      </c>
      <c r="O351">
        <v>14241000</v>
      </c>
      <c r="P351">
        <v>5841000</v>
      </c>
      <c r="Q351">
        <v>41.02</v>
      </c>
    </row>
    <row r="352" spans="1:17" x14ac:dyDescent="0.35">
      <c r="A352" s="1" t="s">
        <v>813</v>
      </c>
      <c r="B352" s="1" t="s">
        <v>164</v>
      </c>
      <c r="C352" s="1" t="s">
        <v>82</v>
      </c>
      <c r="D352" s="1" t="s">
        <v>171</v>
      </c>
      <c r="E352">
        <v>3</v>
      </c>
      <c r="F352" s="2">
        <v>45586</v>
      </c>
      <c r="G352" s="1" t="s">
        <v>1332</v>
      </c>
      <c r="H352" s="1" t="s">
        <v>1330</v>
      </c>
      <c r="I352" s="1" t="s">
        <v>11</v>
      </c>
      <c r="J352">
        <v>750000</v>
      </c>
      <c r="K352">
        <v>971000</v>
      </c>
      <c r="L352" s="1" t="s">
        <v>83</v>
      </c>
      <c r="M352" s="1" t="s">
        <v>23</v>
      </c>
      <c r="N352" s="1" t="s">
        <v>84</v>
      </c>
      <c r="O352">
        <v>2913000</v>
      </c>
      <c r="P352">
        <v>663000</v>
      </c>
      <c r="Q352">
        <v>22.76</v>
      </c>
    </row>
    <row r="353" spans="1:17" x14ac:dyDescent="0.35">
      <c r="A353" s="1" t="s">
        <v>815</v>
      </c>
      <c r="B353" s="1" t="s">
        <v>113</v>
      </c>
      <c r="C353" s="1" t="s">
        <v>39</v>
      </c>
      <c r="D353" s="1" t="s">
        <v>124</v>
      </c>
      <c r="E353">
        <v>3</v>
      </c>
      <c r="F353" s="2">
        <v>45411</v>
      </c>
      <c r="G353" s="1" t="s">
        <v>1346</v>
      </c>
      <c r="H353" s="1" t="s">
        <v>1311</v>
      </c>
      <c r="I353" s="1" t="s">
        <v>1323</v>
      </c>
      <c r="J353">
        <v>4500000</v>
      </c>
      <c r="K353">
        <v>5522000</v>
      </c>
      <c r="L353" s="1" t="s">
        <v>40</v>
      </c>
      <c r="M353" s="1" t="s">
        <v>23</v>
      </c>
      <c r="N353" s="1" t="s">
        <v>41</v>
      </c>
      <c r="O353">
        <v>16566000</v>
      </c>
      <c r="P353">
        <v>3066000</v>
      </c>
      <c r="Q353">
        <v>18.510000000000002</v>
      </c>
    </row>
    <row r="354" spans="1:17" x14ac:dyDescent="0.35">
      <c r="A354" s="1" t="s">
        <v>817</v>
      </c>
      <c r="B354" s="1" t="s">
        <v>133</v>
      </c>
      <c r="C354" s="1" t="s">
        <v>73</v>
      </c>
      <c r="D354" s="1" t="s">
        <v>157</v>
      </c>
      <c r="E354">
        <v>6</v>
      </c>
      <c r="F354" s="2">
        <v>45372</v>
      </c>
      <c r="G354" s="1" t="s">
        <v>1354</v>
      </c>
      <c r="H354" s="1" t="s">
        <v>1330</v>
      </c>
      <c r="I354" s="1" t="s">
        <v>11</v>
      </c>
      <c r="J354">
        <v>2500000</v>
      </c>
      <c r="K354">
        <v>3080000</v>
      </c>
      <c r="L354" s="1" t="s">
        <v>74</v>
      </c>
      <c r="M354" s="1" t="s">
        <v>23</v>
      </c>
      <c r="N354" s="1" t="s">
        <v>75</v>
      </c>
      <c r="O354">
        <v>18480000</v>
      </c>
      <c r="P354">
        <v>3480000</v>
      </c>
      <c r="Q354">
        <v>18.829999999999998</v>
      </c>
    </row>
    <row r="355" spans="1:17" x14ac:dyDescent="0.35">
      <c r="A355" s="1" t="s">
        <v>819</v>
      </c>
      <c r="B355" s="1" t="s">
        <v>172</v>
      </c>
      <c r="C355" s="1" t="s">
        <v>73</v>
      </c>
      <c r="D355" s="1" t="s">
        <v>124</v>
      </c>
      <c r="E355">
        <v>14</v>
      </c>
      <c r="F355" s="2">
        <v>45376</v>
      </c>
      <c r="G355" s="1" t="s">
        <v>1340</v>
      </c>
      <c r="H355" s="1" t="s">
        <v>1330</v>
      </c>
      <c r="I355" s="1" t="s">
        <v>41</v>
      </c>
      <c r="J355">
        <v>950000</v>
      </c>
      <c r="K355">
        <v>1649000</v>
      </c>
      <c r="L355" s="1" t="s">
        <v>74</v>
      </c>
      <c r="M355" s="1" t="s">
        <v>23</v>
      </c>
      <c r="N355" s="1" t="s">
        <v>75</v>
      </c>
      <c r="O355">
        <v>23086000</v>
      </c>
      <c r="P355">
        <v>9786000</v>
      </c>
      <c r="Q355">
        <v>42.39</v>
      </c>
    </row>
    <row r="356" spans="1:17" x14ac:dyDescent="0.35">
      <c r="A356" s="1" t="s">
        <v>821</v>
      </c>
      <c r="B356" s="1" t="s">
        <v>197</v>
      </c>
      <c r="C356" s="1" t="s">
        <v>45</v>
      </c>
      <c r="D356" s="1" t="s">
        <v>128</v>
      </c>
      <c r="E356">
        <v>9</v>
      </c>
      <c r="F356" s="2">
        <v>45355</v>
      </c>
      <c r="G356" s="1" t="s">
        <v>1350</v>
      </c>
      <c r="H356" s="1" t="s">
        <v>1336</v>
      </c>
      <c r="I356" s="1" t="s">
        <v>11</v>
      </c>
      <c r="J356">
        <v>1200000</v>
      </c>
      <c r="K356">
        <v>1375000</v>
      </c>
      <c r="L356" s="1" t="s">
        <v>46</v>
      </c>
      <c r="M356" s="1" t="s">
        <v>10</v>
      </c>
      <c r="N356" s="1" t="s">
        <v>47</v>
      </c>
      <c r="O356">
        <v>12375000</v>
      </c>
      <c r="P356">
        <v>1575000</v>
      </c>
      <c r="Q356">
        <v>12.73</v>
      </c>
    </row>
    <row r="357" spans="1:17" x14ac:dyDescent="0.35">
      <c r="A357" s="1" t="s">
        <v>823</v>
      </c>
      <c r="B357" s="1" t="s">
        <v>141</v>
      </c>
      <c r="C357" s="1" t="s">
        <v>51</v>
      </c>
      <c r="D357" s="1" t="s">
        <v>121</v>
      </c>
      <c r="E357">
        <v>11</v>
      </c>
      <c r="F357" s="2">
        <v>45388</v>
      </c>
      <c r="G357" s="1" t="s">
        <v>1355</v>
      </c>
      <c r="H357" s="1" t="s">
        <v>1330</v>
      </c>
      <c r="I357" s="1" t="s">
        <v>41</v>
      </c>
      <c r="J357">
        <v>400000</v>
      </c>
      <c r="K357">
        <v>623000</v>
      </c>
      <c r="L357" s="1" t="s">
        <v>52</v>
      </c>
      <c r="M357" s="1" t="s">
        <v>23</v>
      </c>
      <c r="N357" s="1" t="s">
        <v>53</v>
      </c>
      <c r="O357">
        <v>6853000</v>
      </c>
      <c r="P357">
        <v>2453000</v>
      </c>
      <c r="Q357">
        <v>35.79</v>
      </c>
    </row>
    <row r="358" spans="1:17" x14ac:dyDescent="0.35">
      <c r="A358" s="1" t="s">
        <v>825</v>
      </c>
      <c r="B358" s="1" t="s">
        <v>106</v>
      </c>
      <c r="C358" s="1" t="s">
        <v>21</v>
      </c>
      <c r="D358" s="1" t="s">
        <v>143</v>
      </c>
      <c r="E358">
        <v>2</v>
      </c>
      <c r="F358" s="2">
        <v>45317</v>
      </c>
      <c r="G358" s="1" t="s">
        <v>1348</v>
      </c>
      <c r="H358" s="1" t="s">
        <v>1317</v>
      </c>
      <c r="I358" s="1" t="s">
        <v>1323</v>
      </c>
      <c r="J358">
        <v>300000</v>
      </c>
      <c r="K358">
        <v>355000</v>
      </c>
      <c r="L358" s="1" t="s">
        <v>22</v>
      </c>
      <c r="M358" s="1" t="s">
        <v>23</v>
      </c>
      <c r="N358" s="1" t="s">
        <v>24</v>
      </c>
      <c r="O358">
        <v>710000</v>
      </c>
      <c r="P358">
        <v>110000</v>
      </c>
      <c r="Q358">
        <v>15.49</v>
      </c>
    </row>
    <row r="359" spans="1:17" x14ac:dyDescent="0.35">
      <c r="A359" s="1" t="s">
        <v>827</v>
      </c>
      <c r="B359" s="1" t="s">
        <v>137</v>
      </c>
      <c r="C359" s="1" t="s">
        <v>63</v>
      </c>
      <c r="D359" s="1" t="s">
        <v>121</v>
      </c>
      <c r="E359">
        <v>5</v>
      </c>
      <c r="F359" s="2">
        <v>45609</v>
      </c>
      <c r="G359" s="1" t="s">
        <v>1324</v>
      </c>
      <c r="H359" s="1" t="s">
        <v>1311</v>
      </c>
      <c r="I359" s="1" t="s">
        <v>11</v>
      </c>
      <c r="J359">
        <v>2000000</v>
      </c>
      <c r="K359">
        <v>2533000</v>
      </c>
      <c r="L359" s="1" t="s">
        <v>64</v>
      </c>
      <c r="M359" s="1" t="s">
        <v>23</v>
      </c>
      <c r="N359" s="1" t="s">
        <v>65</v>
      </c>
      <c r="O359">
        <v>12665000</v>
      </c>
      <c r="P359">
        <v>2665000</v>
      </c>
      <c r="Q359">
        <v>21.04</v>
      </c>
    </row>
    <row r="360" spans="1:17" x14ac:dyDescent="0.35">
      <c r="A360" s="1" t="s">
        <v>829</v>
      </c>
      <c r="B360" s="1" t="s">
        <v>109</v>
      </c>
      <c r="C360" s="1" t="s">
        <v>73</v>
      </c>
      <c r="D360" s="1" t="s">
        <v>171</v>
      </c>
      <c r="E360">
        <v>10</v>
      </c>
      <c r="F360" s="2">
        <v>45592</v>
      </c>
      <c r="G360" s="1" t="s">
        <v>1357</v>
      </c>
      <c r="H360" s="1" t="s">
        <v>1358</v>
      </c>
      <c r="I360" s="1" t="s">
        <v>41</v>
      </c>
      <c r="J360">
        <v>2000000</v>
      </c>
      <c r="K360">
        <v>3382000</v>
      </c>
      <c r="L360" s="1" t="s">
        <v>74</v>
      </c>
      <c r="M360" s="1" t="s">
        <v>23</v>
      </c>
      <c r="N360" s="1" t="s">
        <v>75</v>
      </c>
      <c r="O360">
        <v>33820000</v>
      </c>
      <c r="P360">
        <v>13820000</v>
      </c>
      <c r="Q360">
        <v>40.86</v>
      </c>
    </row>
    <row r="361" spans="1:17" x14ac:dyDescent="0.35">
      <c r="A361" s="1" t="s">
        <v>830</v>
      </c>
      <c r="B361" s="1" t="s">
        <v>240</v>
      </c>
      <c r="C361" s="1" t="s">
        <v>73</v>
      </c>
      <c r="D361" s="1" t="s">
        <v>171</v>
      </c>
      <c r="E361">
        <v>6</v>
      </c>
      <c r="F361" s="2">
        <v>45366</v>
      </c>
      <c r="G361" s="1" t="s">
        <v>1326</v>
      </c>
      <c r="H361" s="1" t="s">
        <v>1317</v>
      </c>
      <c r="I361" s="1" t="s">
        <v>41</v>
      </c>
      <c r="J361">
        <v>350000</v>
      </c>
      <c r="K361">
        <v>626000</v>
      </c>
      <c r="L361" s="1" t="s">
        <v>74</v>
      </c>
      <c r="M361" s="1" t="s">
        <v>23</v>
      </c>
      <c r="N361" s="1" t="s">
        <v>75</v>
      </c>
      <c r="O361">
        <v>3756000</v>
      </c>
      <c r="P361">
        <v>1656000</v>
      </c>
      <c r="Q361">
        <v>44.09</v>
      </c>
    </row>
    <row r="362" spans="1:17" x14ac:dyDescent="0.35">
      <c r="A362" s="1" t="s">
        <v>832</v>
      </c>
      <c r="B362" s="1" t="s">
        <v>172</v>
      </c>
      <c r="C362" s="1" t="s">
        <v>73</v>
      </c>
      <c r="D362" s="1" t="s">
        <v>157</v>
      </c>
      <c r="E362">
        <v>6</v>
      </c>
      <c r="F362" s="2">
        <v>45389</v>
      </c>
      <c r="G362" s="1" t="s">
        <v>1340</v>
      </c>
      <c r="H362" s="1" t="s">
        <v>1330</v>
      </c>
      <c r="I362" s="1" t="s">
        <v>41</v>
      </c>
      <c r="J362">
        <v>950000</v>
      </c>
      <c r="K362">
        <v>1649000</v>
      </c>
      <c r="L362" s="1" t="s">
        <v>74</v>
      </c>
      <c r="M362" s="1" t="s">
        <v>23</v>
      </c>
      <c r="N362" s="1" t="s">
        <v>75</v>
      </c>
      <c r="O362">
        <v>9894000</v>
      </c>
      <c r="P362">
        <v>4194000</v>
      </c>
      <c r="Q362">
        <v>42.39</v>
      </c>
    </row>
    <row r="363" spans="1:17" x14ac:dyDescent="0.35">
      <c r="A363" s="1" t="s">
        <v>834</v>
      </c>
      <c r="B363" s="1" t="s">
        <v>176</v>
      </c>
      <c r="C363" s="1" t="s">
        <v>39</v>
      </c>
      <c r="D363" s="1" t="s">
        <v>171</v>
      </c>
      <c r="E363">
        <v>8</v>
      </c>
      <c r="F363" s="2">
        <v>45503</v>
      </c>
      <c r="G363" s="1" t="s">
        <v>1329</v>
      </c>
      <c r="H363" s="1" t="s">
        <v>1330</v>
      </c>
      <c r="I363" s="1" t="s">
        <v>1323</v>
      </c>
      <c r="J363">
        <v>1500000</v>
      </c>
      <c r="K363">
        <v>1772000</v>
      </c>
      <c r="L363" s="1" t="s">
        <v>40</v>
      </c>
      <c r="M363" s="1" t="s">
        <v>23</v>
      </c>
      <c r="N363" s="1" t="s">
        <v>41</v>
      </c>
      <c r="O363">
        <v>14176000</v>
      </c>
      <c r="P363">
        <v>2176000</v>
      </c>
      <c r="Q363">
        <v>15.35</v>
      </c>
    </row>
    <row r="364" spans="1:17" x14ac:dyDescent="0.35">
      <c r="A364" s="1" t="s">
        <v>836</v>
      </c>
      <c r="B364" s="1" t="s">
        <v>133</v>
      </c>
      <c r="C364" s="1" t="s">
        <v>45</v>
      </c>
      <c r="D364" s="1" t="s">
        <v>128</v>
      </c>
      <c r="E364">
        <v>9</v>
      </c>
      <c r="F364" s="2">
        <v>45462</v>
      </c>
      <c r="G364" s="1" t="s">
        <v>1354</v>
      </c>
      <c r="H364" s="1" t="s">
        <v>1330</v>
      </c>
      <c r="I364" s="1" t="s">
        <v>11</v>
      </c>
      <c r="J364">
        <v>2500000</v>
      </c>
      <c r="K364">
        <v>3080000</v>
      </c>
      <c r="L364" s="1" t="s">
        <v>46</v>
      </c>
      <c r="M364" s="1" t="s">
        <v>10</v>
      </c>
      <c r="N364" s="1" t="s">
        <v>47</v>
      </c>
      <c r="O364">
        <v>27720000</v>
      </c>
      <c r="P364">
        <v>5220000</v>
      </c>
      <c r="Q364">
        <v>18.829999999999998</v>
      </c>
    </row>
    <row r="365" spans="1:17" x14ac:dyDescent="0.35">
      <c r="A365" s="1" t="s">
        <v>838</v>
      </c>
      <c r="B365" s="1" t="s">
        <v>188</v>
      </c>
      <c r="C365" s="1" t="s">
        <v>69</v>
      </c>
      <c r="D365" s="1" t="s">
        <v>171</v>
      </c>
      <c r="E365">
        <v>12</v>
      </c>
      <c r="F365" s="2">
        <v>45450</v>
      </c>
      <c r="G365" s="1" t="s">
        <v>1327</v>
      </c>
      <c r="H365" s="1" t="s">
        <v>1311</v>
      </c>
      <c r="I365" s="1" t="s">
        <v>41</v>
      </c>
      <c r="J365">
        <v>2800000</v>
      </c>
      <c r="K365">
        <v>4747000</v>
      </c>
      <c r="L365" s="1" t="s">
        <v>70</v>
      </c>
      <c r="M365" s="1" t="s">
        <v>10</v>
      </c>
      <c r="N365" s="1" t="s">
        <v>11</v>
      </c>
      <c r="O365">
        <v>56964000</v>
      </c>
      <c r="P365">
        <v>23364000</v>
      </c>
      <c r="Q365">
        <v>41.02</v>
      </c>
    </row>
    <row r="366" spans="1:17" x14ac:dyDescent="0.35">
      <c r="A366" s="1" t="s">
        <v>840</v>
      </c>
      <c r="B366" s="1" t="s">
        <v>240</v>
      </c>
      <c r="C366" s="1" t="s">
        <v>45</v>
      </c>
      <c r="D366" s="1" t="s">
        <v>157</v>
      </c>
      <c r="E366">
        <v>3</v>
      </c>
      <c r="F366" s="2">
        <v>45328</v>
      </c>
      <c r="G366" s="1" t="s">
        <v>1326</v>
      </c>
      <c r="H366" s="1" t="s">
        <v>1317</v>
      </c>
      <c r="I366" s="1" t="s">
        <v>41</v>
      </c>
      <c r="J366">
        <v>350000</v>
      </c>
      <c r="K366">
        <v>626000</v>
      </c>
      <c r="L366" s="1" t="s">
        <v>46</v>
      </c>
      <c r="M366" s="1" t="s">
        <v>10</v>
      </c>
      <c r="N366" s="1" t="s">
        <v>47</v>
      </c>
      <c r="O366">
        <v>1878000</v>
      </c>
      <c r="P366">
        <v>828000</v>
      </c>
      <c r="Q366">
        <v>44.09</v>
      </c>
    </row>
    <row r="367" spans="1:17" x14ac:dyDescent="0.35">
      <c r="A367" s="1" t="s">
        <v>842</v>
      </c>
      <c r="B367" s="1" t="s">
        <v>141</v>
      </c>
      <c r="C367" s="1" t="s">
        <v>78</v>
      </c>
      <c r="D367" s="1" t="s">
        <v>121</v>
      </c>
      <c r="E367">
        <v>2</v>
      </c>
      <c r="F367" s="2">
        <v>45528</v>
      </c>
      <c r="G367" s="1" t="s">
        <v>1355</v>
      </c>
      <c r="H367" s="1" t="s">
        <v>1330</v>
      </c>
      <c r="I367" s="1" t="s">
        <v>41</v>
      </c>
      <c r="J367">
        <v>400000</v>
      </c>
      <c r="K367">
        <v>623000</v>
      </c>
      <c r="L367" s="1" t="s">
        <v>79</v>
      </c>
      <c r="M367" s="1" t="s">
        <v>10</v>
      </c>
      <c r="N367" s="1" t="s">
        <v>17</v>
      </c>
      <c r="O367">
        <v>1246000</v>
      </c>
      <c r="P367">
        <v>446000</v>
      </c>
      <c r="Q367">
        <v>35.79</v>
      </c>
    </row>
    <row r="368" spans="1:17" x14ac:dyDescent="0.35">
      <c r="A368" s="1" t="s">
        <v>844</v>
      </c>
      <c r="B368" s="1" t="s">
        <v>109</v>
      </c>
      <c r="C368" s="1" t="s">
        <v>21</v>
      </c>
      <c r="D368" s="1" t="s">
        <v>171</v>
      </c>
      <c r="E368">
        <v>13</v>
      </c>
      <c r="F368" s="2">
        <v>45450</v>
      </c>
      <c r="G368" s="1" t="s">
        <v>1357</v>
      </c>
      <c r="H368" s="1" t="s">
        <v>1358</v>
      </c>
      <c r="I368" s="1" t="s">
        <v>41</v>
      </c>
      <c r="J368">
        <v>2000000</v>
      </c>
      <c r="K368">
        <v>3382000</v>
      </c>
      <c r="L368" s="1" t="s">
        <v>22</v>
      </c>
      <c r="M368" s="1" t="s">
        <v>23</v>
      </c>
      <c r="N368" s="1" t="s">
        <v>24</v>
      </c>
      <c r="O368">
        <v>43966000</v>
      </c>
      <c r="P368">
        <v>17966000</v>
      </c>
      <c r="Q368">
        <v>40.86</v>
      </c>
    </row>
    <row r="369" spans="1:17" x14ac:dyDescent="0.35">
      <c r="A369" s="1" t="s">
        <v>845</v>
      </c>
      <c r="B369" s="1" t="s">
        <v>197</v>
      </c>
      <c r="C369" s="1" t="s">
        <v>51</v>
      </c>
      <c r="D369" s="1" t="s">
        <v>143</v>
      </c>
      <c r="E369">
        <v>12</v>
      </c>
      <c r="F369" s="2">
        <v>45392</v>
      </c>
      <c r="G369" s="1" t="s">
        <v>1350</v>
      </c>
      <c r="H369" s="1" t="s">
        <v>1336</v>
      </c>
      <c r="I369" s="1" t="s">
        <v>11</v>
      </c>
      <c r="J369">
        <v>1200000</v>
      </c>
      <c r="K369">
        <v>1375000</v>
      </c>
      <c r="L369" s="1" t="s">
        <v>52</v>
      </c>
      <c r="M369" s="1" t="s">
        <v>23</v>
      </c>
      <c r="N369" s="1" t="s">
        <v>53</v>
      </c>
      <c r="O369">
        <v>16500000</v>
      </c>
      <c r="P369">
        <v>2100000</v>
      </c>
      <c r="Q369">
        <v>12.73</v>
      </c>
    </row>
    <row r="370" spans="1:17" x14ac:dyDescent="0.35">
      <c r="A370" s="1" t="s">
        <v>847</v>
      </c>
      <c r="B370" s="1" t="s">
        <v>149</v>
      </c>
      <c r="C370" s="1" t="s">
        <v>69</v>
      </c>
      <c r="D370" s="1" t="s">
        <v>121</v>
      </c>
      <c r="E370">
        <v>1</v>
      </c>
      <c r="F370" s="2">
        <v>45299</v>
      </c>
      <c r="G370" s="1" t="s">
        <v>1316</v>
      </c>
      <c r="H370" s="1" t="s">
        <v>1317</v>
      </c>
      <c r="I370" s="1" t="s">
        <v>41</v>
      </c>
      <c r="J370">
        <v>100000</v>
      </c>
      <c r="K370">
        <v>169000</v>
      </c>
      <c r="L370" s="1" t="s">
        <v>70</v>
      </c>
      <c r="M370" s="1" t="s">
        <v>10</v>
      </c>
      <c r="N370" s="1" t="s">
        <v>11</v>
      </c>
      <c r="O370">
        <v>169000</v>
      </c>
      <c r="P370">
        <v>69000</v>
      </c>
      <c r="Q370">
        <v>40.83</v>
      </c>
    </row>
    <row r="371" spans="1:17" x14ac:dyDescent="0.35">
      <c r="A371" s="1" t="s">
        <v>849</v>
      </c>
      <c r="B371" s="1" t="s">
        <v>240</v>
      </c>
      <c r="C371" s="1" t="s">
        <v>35</v>
      </c>
      <c r="D371" s="1" t="s">
        <v>143</v>
      </c>
      <c r="E371">
        <v>1</v>
      </c>
      <c r="F371" s="2">
        <v>45583</v>
      </c>
      <c r="G371" s="1" t="s">
        <v>1326</v>
      </c>
      <c r="H371" s="1" t="s">
        <v>1317</v>
      </c>
      <c r="I371" s="1" t="s">
        <v>41</v>
      </c>
      <c r="J371">
        <v>350000</v>
      </c>
      <c r="K371">
        <v>626000</v>
      </c>
      <c r="L371" s="1" t="s">
        <v>36</v>
      </c>
      <c r="M371" s="1" t="s">
        <v>10</v>
      </c>
      <c r="N371" s="1" t="s">
        <v>11</v>
      </c>
      <c r="O371">
        <v>626000</v>
      </c>
      <c r="P371">
        <v>276000</v>
      </c>
      <c r="Q371">
        <v>44.09</v>
      </c>
    </row>
    <row r="372" spans="1:17" x14ac:dyDescent="0.35">
      <c r="A372" s="1" t="s">
        <v>851</v>
      </c>
      <c r="B372" s="1" t="s">
        <v>133</v>
      </c>
      <c r="C372" s="1" t="s">
        <v>87</v>
      </c>
      <c r="D372" s="1" t="s">
        <v>157</v>
      </c>
      <c r="E372">
        <v>7</v>
      </c>
      <c r="F372" s="2">
        <v>45498</v>
      </c>
      <c r="G372" s="1" t="s">
        <v>1354</v>
      </c>
      <c r="H372" s="1" t="s">
        <v>1330</v>
      </c>
      <c r="I372" s="1" t="s">
        <v>11</v>
      </c>
      <c r="J372">
        <v>2500000</v>
      </c>
      <c r="K372">
        <v>3080000</v>
      </c>
      <c r="L372" s="1" t="s">
        <v>88</v>
      </c>
      <c r="M372" s="1" t="s">
        <v>10</v>
      </c>
      <c r="N372" s="1" t="s">
        <v>89</v>
      </c>
      <c r="O372">
        <v>21560000</v>
      </c>
      <c r="P372">
        <v>4060000</v>
      </c>
      <c r="Q372">
        <v>18.829999999999998</v>
      </c>
    </row>
    <row r="373" spans="1:17" x14ac:dyDescent="0.35">
      <c r="A373" s="1" t="s">
        <v>853</v>
      </c>
      <c r="B373" s="1" t="s">
        <v>164</v>
      </c>
      <c r="C373" s="1" t="s">
        <v>69</v>
      </c>
      <c r="D373" s="1" t="s">
        <v>171</v>
      </c>
      <c r="E373">
        <v>5</v>
      </c>
      <c r="F373" s="2">
        <v>45508</v>
      </c>
      <c r="G373" s="1" t="s">
        <v>1332</v>
      </c>
      <c r="H373" s="1" t="s">
        <v>1330</v>
      </c>
      <c r="I373" s="1" t="s">
        <v>11</v>
      </c>
      <c r="J373">
        <v>750000</v>
      </c>
      <c r="K373">
        <v>971000</v>
      </c>
      <c r="L373" s="1" t="s">
        <v>70</v>
      </c>
      <c r="M373" s="1" t="s">
        <v>10</v>
      </c>
      <c r="N373" s="1" t="s">
        <v>11</v>
      </c>
      <c r="O373">
        <v>4855000</v>
      </c>
      <c r="P373">
        <v>1105000</v>
      </c>
      <c r="Q373">
        <v>22.76</v>
      </c>
    </row>
    <row r="374" spans="1:17" x14ac:dyDescent="0.35">
      <c r="A374" s="1" t="s">
        <v>855</v>
      </c>
      <c r="B374" s="1" t="s">
        <v>197</v>
      </c>
      <c r="C374" s="1" t="s">
        <v>45</v>
      </c>
      <c r="D374" s="1" t="s">
        <v>171</v>
      </c>
      <c r="E374">
        <v>7</v>
      </c>
      <c r="F374" s="2">
        <v>45650</v>
      </c>
      <c r="G374" s="1" t="s">
        <v>1350</v>
      </c>
      <c r="H374" s="1" t="s">
        <v>1336</v>
      </c>
      <c r="I374" s="1" t="s">
        <v>11</v>
      </c>
      <c r="J374">
        <v>1200000</v>
      </c>
      <c r="K374">
        <v>1375000</v>
      </c>
      <c r="L374" s="1" t="s">
        <v>46</v>
      </c>
      <c r="M374" s="1" t="s">
        <v>10</v>
      </c>
      <c r="N374" s="1" t="s">
        <v>47</v>
      </c>
      <c r="O374">
        <v>9625000</v>
      </c>
      <c r="P374">
        <v>1225000</v>
      </c>
      <c r="Q374">
        <v>12.73</v>
      </c>
    </row>
    <row r="375" spans="1:17" x14ac:dyDescent="0.35">
      <c r="A375" s="1" t="s">
        <v>857</v>
      </c>
      <c r="B375" s="1" t="s">
        <v>191</v>
      </c>
      <c r="C375" s="1" t="s">
        <v>21</v>
      </c>
      <c r="D375" s="1" t="s">
        <v>171</v>
      </c>
      <c r="E375">
        <v>10</v>
      </c>
      <c r="F375" s="2">
        <v>45641</v>
      </c>
      <c r="G375" s="1" t="s">
        <v>1310</v>
      </c>
      <c r="H375" s="1" t="s">
        <v>1311</v>
      </c>
      <c r="I375" s="1" t="s">
        <v>11</v>
      </c>
      <c r="J375">
        <v>12000000</v>
      </c>
      <c r="K375">
        <v>13963000</v>
      </c>
      <c r="L375" s="1" t="s">
        <v>22</v>
      </c>
      <c r="M375" s="1" t="s">
        <v>23</v>
      </c>
      <c r="N375" s="1" t="s">
        <v>24</v>
      </c>
      <c r="O375">
        <v>139630000</v>
      </c>
      <c r="P375">
        <v>19630000</v>
      </c>
      <c r="Q375">
        <v>14.06</v>
      </c>
    </row>
    <row r="376" spans="1:17" x14ac:dyDescent="0.35">
      <c r="A376" s="1" t="s">
        <v>859</v>
      </c>
      <c r="B376" s="1" t="s">
        <v>172</v>
      </c>
      <c r="C376" s="1" t="s">
        <v>73</v>
      </c>
      <c r="D376" s="1" t="s">
        <v>124</v>
      </c>
      <c r="E376">
        <v>3</v>
      </c>
      <c r="F376" s="2">
        <v>45524</v>
      </c>
      <c r="G376" s="1" t="s">
        <v>1340</v>
      </c>
      <c r="H376" s="1" t="s">
        <v>1330</v>
      </c>
      <c r="I376" s="1" t="s">
        <v>41</v>
      </c>
      <c r="J376">
        <v>950000</v>
      </c>
      <c r="K376">
        <v>1649000</v>
      </c>
      <c r="L376" s="1" t="s">
        <v>74</v>
      </c>
      <c r="M376" s="1" t="s">
        <v>23</v>
      </c>
      <c r="N376" s="1" t="s">
        <v>75</v>
      </c>
      <c r="O376">
        <v>4947000</v>
      </c>
      <c r="P376">
        <v>2097000</v>
      </c>
      <c r="Q376">
        <v>42.39</v>
      </c>
    </row>
    <row r="377" spans="1:17" x14ac:dyDescent="0.35">
      <c r="A377" s="1" t="s">
        <v>861</v>
      </c>
      <c r="B377" s="1" t="s">
        <v>149</v>
      </c>
      <c r="C377" s="1" t="s">
        <v>63</v>
      </c>
      <c r="D377" s="1" t="s">
        <v>157</v>
      </c>
      <c r="E377">
        <v>15</v>
      </c>
      <c r="F377" s="2">
        <v>45409</v>
      </c>
      <c r="G377" s="1" t="s">
        <v>1316</v>
      </c>
      <c r="H377" s="1" t="s">
        <v>1317</v>
      </c>
      <c r="I377" s="1" t="s">
        <v>41</v>
      </c>
      <c r="J377">
        <v>100000</v>
      </c>
      <c r="K377">
        <v>169000</v>
      </c>
      <c r="L377" s="1" t="s">
        <v>64</v>
      </c>
      <c r="M377" s="1" t="s">
        <v>23</v>
      </c>
      <c r="N377" s="1" t="s">
        <v>65</v>
      </c>
      <c r="O377">
        <v>2535000</v>
      </c>
      <c r="P377">
        <v>1035000</v>
      </c>
      <c r="Q377">
        <v>40.83</v>
      </c>
    </row>
    <row r="378" spans="1:17" x14ac:dyDescent="0.35">
      <c r="A378" s="1" t="s">
        <v>863</v>
      </c>
      <c r="B378" s="1" t="s">
        <v>176</v>
      </c>
      <c r="C378" s="1" t="s">
        <v>29</v>
      </c>
      <c r="D378" s="1" t="s">
        <v>157</v>
      </c>
      <c r="E378">
        <v>5</v>
      </c>
      <c r="F378" s="2">
        <v>45545</v>
      </c>
      <c r="G378" s="1" t="s">
        <v>1329</v>
      </c>
      <c r="H378" s="1" t="s">
        <v>1330</v>
      </c>
      <c r="I378" s="1" t="s">
        <v>1323</v>
      </c>
      <c r="J378">
        <v>1500000</v>
      </c>
      <c r="K378">
        <v>1772000</v>
      </c>
      <c r="L378" s="1" t="s">
        <v>30</v>
      </c>
      <c r="M378" s="1" t="s">
        <v>23</v>
      </c>
      <c r="N378" s="1" t="s">
        <v>31</v>
      </c>
      <c r="O378">
        <v>8860000</v>
      </c>
      <c r="P378">
        <v>1360000</v>
      </c>
      <c r="Q378">
        <v>15.35</v>
      </c>
    </row>
    <row r="379" spans="1:17" x14ac:dyDescent="0.35">
      <c r="A379" s="1" t="s">
        <v>865</v>
      </c>
      <c r="B379" s="1" t="s">
        <v>149</v>
      </c>
      <c r="C379" s="1" t="s">
        <v>78</v>
      </c>
      <c r="D379" s="1" t="s">
        <v>143</v>
      </c>
      <c r="E379">
        <v>2</v>
      </c>
      <c r="F379" s="2">
        <v>45424</v>
      </c>
      <c r="G379" s="1" t="s">
        <v>1316</v>
      </c>
      <c r="H379" s="1" t="s">
        <v>1317</v>
      </c>
      <c r="I379" s="1" t="s">
        <v>41</v>
      </c>
      <c r="J379">
        <v>100000</v>
      </c>
      <c r="K379">
        <v>169000</v>
      </c>
      <c r="L379" s="1" t="s">
        <v>79</v>
      </c>
      <c r="M379" s="1" t="s">
        <v>10</v>
      </c>
      <c r="N379" s="1" t="s">
        <v>17</v>
      </c>
      <c r="O379">
        <v>338000</v>
      </c>
      <c r="P379">
        <v>138000</v>
      </c>
      <c r="Q379">
        <v>40.83</v>
      </c>
    </row>
    <row r="380" spans="1:17" x14ac:dyDescent="0.35">
      <c r="A380" s="1" t="s">
        <v>866</v>
      </c>
      <c r="B380" s="1" t="s">
        <v>197</v>
      </c>
      <c r="C380" s="1" t="s">
        <v>29</v>
      </c>
      <c r="D380" s="1" t="s">
        <v>121</v>
      </c>
      <c r="E380">
        <v>6</v>
      </c>
      <c r="F380" s="2">
        <v>45564</v>
      </c>
      <c r="G380" s="1" t="s">
        <v>1350</v>
      </c>
      <c r="H380" s="1" t="s">
        <v>1336</v>
      </c>
      <c r="I380" s="1" t="s">
        <v>11</v>
      </c>
      <c r="J380">
        <v>1200000</v>
      </c>
      <c r="K380">
        <v>1375000</v>
      </c>
      <c r="L380" s="1" t="s">
        <v>30</v>
      </c>
      <c r="M380" s="1" t="s">
        <v>23</v>
      </c>
      <c r="N380" s="1" t="s">
        <v>31</v>
      </c>
      <c r="O380">
        <v>8250000</v>
      </c>
      <c r="P380">
        <v>1050000</v>
      </c>
      <c r="Q380">
        <v>12.73</v>
      </c>
    </row>
    <row r="381" spans="1:17" x14ac:dyDescent="0.35">
      <c r="A381" s="1" t="s">
        <v>868</v>
      </c>
      <c r="B381" s="1" t="s">
        <v>133</v>
      </c>
      <c r="C381" s="1" t="s">
        <v>35</v>
      </c>
      <c r="D381" s="1" t="s">
        <v>143</v>
      </c>
      <c r="E381">
        <v>10</v>
      </c>
      <c r="F381" s="2">
        <v>45421</v>
      </c>
      <c r="G381" s="1" t="s">
        <v>1354</v>
      </c>
      <c r="H381" s="1" t="s">
        <v>1330</v>
      </c>
      <c r="I381" s="1" t="s">
        <v>11</v>
      </c>
      <c r="J381">
        <v>2500000</v>
      </c>
      <c r="K381">
        <v>3080000</v>
      </c>
      <c r="L381" s="1" t="s">
        <v>36</v>
      </c>
      <c r="M381" s="1" t="s">
        <v>10</v>
      </c>
      <c r="N381" s="1" t="s">
        <v>11</v>
      </c>
      <c r="O381">
        <v>30800000</v>
      </c>
      <c r="P381">
        <v>5800000</v>
      </c>
      <c r="Q381">
        <v>18.829999999999998</v>
      </c>
    </row>
    <row r="382" spans="1:17" x14ac:dyDescent="0.35">
      <c r="A382" s="1" t="s">
        <v>870</v>
      </c>
      <c r="B382" s="1" t="s">
        <v>176</v>
      </c>
      <c r="C382" s="1" t="s">
        <v>35</v>
      </c>
      <c r="D382" s="1" t="s">
        <v>143</v>
      </c>
      <c r="E382">
        <v>13</v>
      </c>
      <c r="F382" s="2">
        <v>45591</v>
      </c>
      <c r="G382" s="1" t="s">
        <v>1329</v>
      </c>
      <c r="H382" s="1" t="s">
        <v>1330</v>
      </c>
      <c r="I382" s="1" t="s">
        <v>1323</v>
      </c>
      <c r="J382">
        <v>1500000</v>
      </c>
      <c r="K382">
        <v>1772000</v>
      </c>
      <c r="L382" s="1" t="s">
        <v>36</v>
      </c>
      <c r="M382" s="1" t="s">
        <v>10</v>
      </c>
      <c r="N382" s="1" t="s">
        <v>11</v>
      </c>
      <c r="O382">
        <v>23036000</v>
      </c>
      <c r="P382">
        <v>3536000</v>
      </c>
      <c r="Q382">
        <v>15.35</v>
      </c>
    </row>
    <row r="383" spans="1:17" x14ac:dyDescent="0.35">
      <c r="A383" s="1" t="s">
        <v>872</v>
      </c>
      <c r="B383" s="1" t="s">
        <v>164</v>
      </c>
      <c r="C383" s="1" t="s">
        <v>8</v>
      </c>
      <c r="D383" s="1" t="s">
        <v>143</v>
      </c>
      <c r="E383">
        <v>1</v>
      </c>
      <c r="F383" s="2">
        <v>45555</v>
      </c>
      <c r="G383" s="1" t="s">
        <v>1332</v>
      </c>
      <c r="H383" s="1" t="s">
        <v>1330</v>
      </c>
      <c r="I383" s="1" t="s">
        <v>11</v>
      </c>
      <c r="J383">
        <v>750000</v>
      </c>
      <c r="K383">
        <v>971000</v>
      </c>
      <c r="L383" s="1" t="s">
        <v>9</v>
      </c>
      <c r="M383" s="1" t="s">
        <v>10</v>
      </c>
      <c r="N383" s="1" t="s">
        <v>11</v>
      </c>
      <c r="O383">
        <v>971000</v>
      </c>
      <c r="P383">
        <v>221000</v>
      </c>
      <c r="Q383">
        <v>22.76</v>
      </c>
    </row>
    <row r="384" spans="1:17" x14ac:dyDescent="0.35">
      <c r="A384" s="1" t="s">
        <v>874</v>
      </c>
      <c r="B384" s="1" t="s">
        <v>188</v>
      </c>
      <c r="C384" s="1" t="s">
        <v>87</v>
      </c>
      <c r="D384" s="1" t="s">
        <v>128</v>
      </c>
      <c r="E384">
        <v>9</v>
      </c>
      <c r="F384" s="2">
        <v>45353</v>
      </c>
      <c r="G384" s="1" t="s">
        <v>1327</v>
      </c>
      <c r="H384" s="1" t="s">
        <v>1311</v>
      </c>
      <c r="I384" s="1" t="s">
        <v>41</v>
      </c>
      <c r="J384">
        <v>2800000</v>
      </c>
      <c r="K384">
        <v>4747000</v>
      </c>
      <c r="L384" s="1" t="s">
        <v>88</v>
      </c>
      <c r="M384" s="1" t="s">
        <v>10</v>
      </c>
      <c r="N384" s="1" t="s">
        <v>89</v>
      </c>
      <c r="O384">
        <v>42723000</v>
      </c>
      <c r="P384">
        <v>17523000</v>
      </c>
      <c r="Q384">
        <v>41.02</v>
      </c>
    </row>
    <row r="385" spans="1:17" x14ac:dyDescent="0.35">
      <c r="A385" s="1" t="s">
        <v>876</v>
      </c>
      <c r="B385" s="1" t="s">
        <v>111</v>
      </c>
      <c r="C385" s="1" t="s">
        <v>21</v>
      </c>
      <c r="D385" s="1" t="s">
        <v>124</v>
      </c>
      <c r="E385">
        <v>5</v>
      </c>
      <c r="F385" s="2">
        <v>45497</v>
      </c>
      <c r="G385" s="1" t="s">
        <v>1344</v>
      </c>
      <c r="H385" s="1" t="s">
        <v>1311</v>
      </c>
      <c r="I385" s="1" t="s">
        <v>1323</v>
      </c>
      <c r="J385">
        <v>18000000</v>
      </c>
      <c r="K385">
        <v>27603000</v>
      </c>
      <c r="L385" s="1" t="s">
        <v>22</v>
      </c>
      <c r="M385" s="1" t="s">
        <v>23</v>
      </c>
      <c r="N385" s="1" t="s">
        <v>24</v>
      </c>
      <c r="O385">
        <v>138015000</v>
      </c>
      <c r="P385">
        <v>48015000</v>
      </c>
      <c r="Q385">
        <v>34.79</v>
      </c>
    </row>
    <row r="386" spans="1:17" x14ac:dyDescent="0.35">
      <c r="A386" s="1" t="s">
        <v>878</v>
      </c>
      <c r="B386" s="1" t="s">
        <v>188</v>
      </c>
      <c r="C386" s="1" t="s">
        <v>35</v>
      </c>
      <c r="D386" s="1" t="s">
        <v>157</v>
      </c>
      <c r="E386">
        <v>3</v>
      </c>
      <c r="F386" s="2">
        <v>45301</v>
      </c>
      <c r="G386" s="1" t="s">
        <v>1327</v>
      </c>
      <c r="H386" s="1" t="s">
        <v>1311</v>
      </c>
      <c r="I386" s="1" t="s">
        <v>41</v>
      </c>
      <c r="J386">
        <v>2800000</v>
      </c>
      <c r="K386">
        <v>4747000</v>
      </c>
      <c r="L386" s="1" t="s">
        <v>36</v>
      </c>
      <c r="M386" s="1" t="s">
        <v>10</v>
      </c>
      <c r="N386" s="1" t="s">
        <v>11</v>
      </c>
      <c r="O386">
        <v>14241000</v>
      </c>
      <c r="P386">
        <v>5841000</v>
      </c>
      <c r="Q386">
        <v>41.02</v>
      </c>
    </row>
    <row r="387" spans="1:17" x14ac:dyDescent="0.35">
      <c r="A387" s="1" t="s">
        <v>880</v>
      </c>
      <c r="B387" s="1" t="s">
        <v>133</v>
      </c>
      <c r="C387" s="1" t="s">
        <v>69</v>
      </c>
      <c r="D387" s="1" t="s">
        <v>121</v>
      </c>
      <c r="E387">
        <v>7</v>
      </c>
      <c r="F387" s="2">
        <v>45632</v>
      </c>
      <c r="G387" s="1" t="s">
        <v>1354</v>
      </c>
      <c r="H387" s="1" t="s">
        <v>1330</v>
      </c>
      <c r="I387" s="1" t="s">
        <v>11</v>
      </c>
      <c r="J387">
        <v>2500000</v>
      </c>
      <c r="K387">
        <v>3080000</v>
      </c>
      <c r="L387" s="1" t="s">
        <v>70</v>
      </c>
      <c r="M387" s="1" t="s">
        <v>10</v>
      </c>
      <c r="N387" s="1" t="s">
        <v>11</v>
      </c>
      <c r="O387">
        <v>21560000</v>
      </c>
      <c r="P387">
        <v>4060000</v>
      </c>
      <c r="Q387">
        <v>18.829999999999998</v>
      </c>
    </row>
    <row r="388" spans="1:17" x14ac:dyDescent="0.35">
      <c r="A388" s="1" t="s">
        <v>882</v>
      </c>
      <c r="B388" s="1" t="s">
        <v>164</v>
      </c>
      <c r="C388" s="1" t="s">
        <v>45</v>
      </c>
      <c r="D388" s="1" t="s">
        <v>128</v>
      </c>
      <c r="E388">
        <v>15</v>
      </c>
      <c r="F388" s="2">
        <v>45388</v>
      </c>
      <c r="G388" s="1" t="s">
        <v>1332</v>
      </c>
      <c r="H388" s="1" t="s">
        <v>1330</v>
      </c>
      <c r="I388" s="1" t="s">
        <v>11</v>
      </c>
      <c r="J388">
        <v>750000</v>
      </c>
      <c r="K388">
        <v>971000</v>
      </c>
      <c r="L388" s="1" t="s">
        <v>46</v>
      </c>
      <c r="M388" s="1" t="s">
        <v>10</v>
      </c>
      <c r="N388" s="1" t="s">
        <v>47</v>
      </c>
      <c r="O388">
        <v>14565000</v>
      </c>
      <c r="P388">
        <v>3315000</v>
      </c>
      <c r="Q388">
        <v>22.76</v>
      </c>
    </row>
    <row r="389" spans="1:17" x14ac:dyDescent="0.35">
      <c r="A389" s="1" t="s">
        <v>884</v>
      </c>
      <c r="B389" s="1" t="s">
        <v>106</v>
      </c>
      <c r="C389" s="1" t="s">
        <v>15</v>
      </c>
      <c r="D389" s="1" t="s">
        <v>171</v>
      </c>
      <c r="E389">
        <v>14</v>
      </c>
      <c r="F389" s="2">
        <v>45377</v>
      </c>
      <c r="G389" s="1" t="s">
        <v>1348</v>
      </c>
      <c r="H389" s="1" t="s">
        <v>1317</v>
      </c>
      <c r="I389" s="1" t="s">
        <v>1323</v>
      </c>
      <c r="J389">
        <v>300000</v>
      </c>
      <c r="K389">
        <v>355000</v>
      </c>
      <c r="L389" s="1" t="s">
        <v>16</v>
      </c>
      <c r="M389" s="1" t="s">
        <v>10</v>
      </c>
      <c r="N389" s="1" t="s">
        <v>17</v>
      </c>
      <c r="O389">
        <v>4970000</v>
      </c>
      <c r="P389">
        <v>770000</v>
      </c>
      <c r="Q389">
        <v>15.49</v>
      </c>
    </row>
    <row r="390" spans="1:17" x14ac:dyDescent="0.35">
      <c r="A390" s="1" t="s">
        <v>886</v>
      </c>
      <c r="B390" s="1" t="s">
        <v>106</v>
      </c>
      <c r="C390" s="1" t="s">
        <v>63</v>
      </c>
      <c r="D390" s="1" t="s">
        <v>128</v>
      </c>
      <c r="E390">
        <v>15</v>
      </c>
      <c r="F390" s="2">
        <v>45542</v>
      </c>
      <c r="G390" s="1" t="s">
        <v>1348</v>
      </c>
      <c r="H390" s="1" t="s">
        <v>1317</v>
      </c>
      <c r="I390" s="1" t="s">
        <v>1323</v>
      </c>
      <c r="J390">
        <v>300000</v>
      </c>
      <c r="K390">
        <v>355000</v>
      </c>
      <c r="L390" s="1" t="s">
        <v>64</v>
      </c>
      <c r="M390" s="1" t="s">
        <v>23</v>
      </c>
      <c r="N390" s="1" t="s">
        <v>65</v>
      </c>
      <c r="O390">
        <v>5325000</v>
      </c>
      <c r="P390">
        <v>825000</v>
      </c>
      <c r="Q390">
        <v>15.49</v>
      </c>
    </row>
    <row r="391" spans="1:17" x14ac:dyDescent="0.35">
      <c r="A391" s="1" t="s">
        <v>887</v>
      </c>
      <c r="B391" s="1" t="s">
        <v>111</v>
      </c>
      <c r="C391" s="1" t="s">
        <v>8</v>
      </c>
      <c r="D391" s="1" t="s">
        <v>143</v>
      </c>
      <c r="E391">
        <v>4</v>
      </c>
      <c r="F391" s="2">
        <v>45602</v>
      </c>
      <c r="G391" s="1" t="s">
        <v>1344</v>
      </c>
      <c r="H391" s="1" t="s">
        <v>1311</v>
      </c>
      <c r="I391" s="1" t="s">
        <v>1323</v>
      </c>
      <c r="J391">
        <v>18000000</v>
      </c>
      <c r="K391">
        <v>27603000</v>
      </c>
      <c r="L391" s="1" t="s">
        <v>9</v>
      </c>
      <c r="M391" s="1" t="s">
        <v>10</v>
      </c>
      <c r="N391" s="1" t="s">
        <v>11</v>
      </c>
      <c r="O391">
        <v>110412000</v>
      </c>
      <c r="P391">
        <v>38412000</v>
      </c>
      <c r="Q391">
        <v>34.79</v>
      </c>
    </row>
    <row r="392" spans="1:17" x14ac:dyDescent="0.35">
      <c r="A392" s="1" t="s">
        <v>889</v>
      </c>
      <c r="B392" s="1" t="s">
        <v>173</v>
      </c>
      <c r="C392" s="1" t="s">
        <v>73</v>
      </c>
      <c r="D392" s="1" t="s">
        <v>171</v>
      </c>
      <c r="E392">
        <v>6</v>
      </c>
      <c r="F392" s="2">
        <v>45418</v>
      </c>
      <c r="G392" s="1" t="s">
        <v>1342</v>
      </c>
      <c r="H392" s="1" t="s">
        <v>1317</v>
      </c>
      <c r="I392" s="1" t="s">
        <v>1323</v>
      </c>
      <c r="J392">
        <v>80000</v>
      </c>
      <c r="K392">
        <v>92000</v>
      </c>
      <c r="L392" s="1" t="s">
        <v>74</v>
      </c>
      <c r="M392" s="1" t="s">
        <v>23</v>
      </c>
      <c r="N392" s="1" t="s">
        <v>75</v>
      </c>
      <c r="O392">
        <v>552000</v>
      </c>
      <c r="P392">
        <v>72000</v>
      </c>
      <c r="Q392">
        <v>13.04</v>
      </c>
    </row>
    <row r="393" spans="1:17" x14ac:dyDescent="0.35">
      <c r="A393" s="1" t="s">
        <v>891</v>
      </c>
      <c r="B393" s="1" t="s">
        <v>191</v>
      </c>
      <c r="C393" s="1" t="s">
        <v>39</v>
      </c>
      <c r="D393" s="1" t="s">
        <v>143</v>
      </c>
      <c r="E393">
        <v>12</v>
      </c>
      <c r="F393" s="2">
        <v>45354</v>
      </c>
      <c r="G393" s="1" t="s">
        <v>1310</v>
      </c>
      <c r="H393" s="1" t="s">
        <v>1311</v>
      </c>
      <c r="I393" s="1" t="s">
        <v>11</v>
      </c>
      <c r="J393">
        <v>12000000</v>
      </c>
      <c r="K393">
        <v>13963000</v>
      </c>
      <c r="L393" s="1" t="s">
        <v>40</v>
      </c>
      <c r="M393" s="1" t="s">
        <v>23</v>
      </c>
      <c r="N393" s="1" t="s">
        <v>41</v>
      </c>
      <c r="O393">
        <v>167556000</v>
      </c>
      <c r="P393">
        <v>23556000</v>
      </c>
      <c r="Q393">
        <v>14.06</v>
      </c>
    </row>
    <row r="394" spans="1:17" x14ac:dyDescent="0.35">
      <c r="A394" s="1" t="s">
        <v>893</v>
      </c>
      <c r="B394" s="1" t="s">
        <v>149</v>
      </c>
      <c r="C394" s="1" t="s">
        <v>35</v>
      </c>
      <c r="D394" s="1" t="s">
        <v>128</v>
      </c>
      <c r="E394">
        <v>14</v>
      </c>
      <c r="F394" s="2">
        <v>45421</v>
      </c>
      <c r="G394" s="1" t="s">
        <v>1316</v>
      </c>
      <c r="H394" s="1" t="s">
        <v>1317</v>
      </c>
      <c r="I394" s="1" t="s">
        <v>41</v>
      </c>
      <c r="J394">
        <v>100000</v>
      </c>
      <c r="K394">
        <v>169000</v>
      </c>
      <c r="L394" s="1" t="s">
        <v>36</v>
      </c>
      <c r="M394" s="1" t="s">
        <v>10</v>
      </c>
      <c r="N394" s="1" t="s">
        <v>11</v>
      </c>
      <c r="O394">
        <v>2366000</v>
      </c>
      <c r="P394">
        <v>966000</v>
      </c>
      <c r="Q394">
        <v>40.83</v>
      </c>
    </row>
    <row r="395" spans="1:17" x14ac:dyDescent="0.35">
      <c r="A395" s="1" t="s">
        <v>895</v>
      </c>
      <c r="B395" s="1" t="s">
        <v>240</v>
      </c>
      <c r="C395" s="1" t="s">
        <v>63</v>
      </c>
      <c r="D395" s="1" t="s">
        <v>124</v>
      </c>
      <c r="E395">
        <v>11</v>
      </c>
      <c r="F395" s="2">
        <v>45435</v>
      </c>
      <c r="G395" s="1" t="s">
        <v>1326</v>
      </c>
      <c r="H395" s="1" t="s">
        <v>1317</v>
      </c>
      <c r="I395" s="1" t="s">
        <v>41</v>
      </c>
      <c r="J395">
        <v>350000</v>
      </c>
      <c r="K395">
        <v>626000</v>
      </c>
      <c r="L395" s="1" t="s">
        <v>64</v>
      </c>
      <c r="M395" s="1" t="s">
        <v>23</v>
      </c>
      <c r="N395" s="1" t="s">
        <v>65</v>
      </c>
      <c r="O395">
        <v>6886000</v>
      </c>
      <c r="P395">
        <v>3036000</v>
      </c>
      <c r="Q395">
        <v>44.09</v>
      </c>
    </row>
    <row r="396" spans="1:17" x14ac:dyDescent="0.35">
      <c r="A396" s="1" t="s">
        <v>897</v>
      </c>
      <c r="B396" s="1" t="s">
        <v>191</v>
      </c>
      <c r="C396" s="1" t="s">
        <v>73</v>
      </c>
      <c r="D396" s="1" t="s">
        <v>171</v>
      </c>
      <c r="E396">
        <v>12</v>
      </c>
      <c r="F396" s="2">
        <v>45579</v>
      </c>
      <c r="G396" s="1" t="s">
        <v>1310</v>
      </c>
      <c r="H396" s="1" t="s">
        <v>1311</v>
      </c>
      <c r="I396" s="1" t="s">
        <v>11</v>
      </c>
      <c r="J396">
        <v>12000000</v>
      </c>
      <c r="K396">
        <v>13963000</v>
      </c>
      <c r="L396" s="1" t="s">
        <v>74</v>
      </c>
      <c r="M396" s="1" t="s">
        <v>23</v>
      </c>
      <c r="N396" s="1" t="s">
        <v>75</v>
      </c>
      <c r="O396">
        <v>167556000</v>
      </c>
      <c r="P396">
        <v>23556000</v>
      </c>
      <c r="Q396">
        <v>14.06</v>
      </c>
    </row>
    <row r="397" spans="1:17" x14ac:dyDescent="0.35">
      <c r="A397" s="1" t="s">
        <v>899</v>
      </c>
      <c r="B397" s="1" t="s">
        <v>191</v>
      </c>
      <c r="C397" s="1" t="s">
        <v>15</v>
      </c>
      <c r="D397" s="1" t="s">
        <v>157</v>
      </c>
      <c r="E397">
        <v>2</v>
      </c>
      <c r="F397" s="2">
        <v>45363</v>
      </c>
      <c r="G397" s="1" t="s">
        <v>1310</v>
      </c>
      <c r="H397" s="1" t="s">
        <v>1311</v>
      </c>
      <c r="I397" s="1" t="s">
        <v>11</v>
      </c>
      <c r="J397">
        <v>12000000</v>
      </c>
      <c r="K397">
        <v>13963000</v>
      </c>
      <c r="L397" s="1" t="s">
        <v>16</v>
      </c>
      <c r="M397" s="1" t="s">
        <v>10</v>
      </c>
      <c r="N397" s="1" t="s">
        <v>17</v>
      </c>
      <c r="O397">
        <v>27926000</v>
      </c>
      <c r="P397">
        <v>3926000</v>
      </c>
      <c r="Q397">
        <v>14.06</v>
      </c>
    </row>
    <row r="398" spans="1:17" x14ac:dyDescent="0.35">
      <c r="A398" s="1" t="s">
        <v>901</v>
      </c>
      <c r="B398" s="1" t="s">
        <v>109</v>
      </c>
      <c r="C398" s="1" t="s">
        <v>35</v>
      </c>
      <c r="D398" s="1" t="s">
        <v>157</v>
      </c>
      <c r="E398">
        <v>15</v>
      </c>
      <c r="F398" s="2">
        <v>45547</v>
      </c>
      <c r="G398" s="1" t="s">
        <v>1357</v>
      </c>
      <c r="H398" s="1" t="s">
        <v>1358</v>
      </c>
      <c r="I398" s="1" t="s">
        <v>41</v>
      </c>
      <c r="J398">
        <v>2000000</v>
      </c>
      <c r="K398">
        <v>3382000</v>
      </c>
      <c r="L398" s="1" t="s">
        <v>36</v>
      </c>
      <c r="M398" s="1" t="s">
        <v>10</v>
      </c>
      <c r="N398" s="1" t="s">
        <v>11</v>
      </c>
      <c r="O398">
        <v>50730000</v>
      </c>
      <c r="P398">
        <v>20730000</v>
      </c>
      <c r="Q398">
        <v>40.86</v>
      </c>
    </row>
    <row r="399" spans="1:17" x14ac:dyDescent="0.35">
      <c r="A399" s="1" t="s">
        <v>902</v>
      </c>
      <c r="B399" s="1" t="s">
        <v>164</v>
      </c>
      <c r="C399" s="1" t="s">
        <v>87</v>
      </c>
      <c r="D399" s="1" t="s">
        <v>121</v>
      </c>
      <c r="E399">
        <v>12</v>
      </c>
      <c r="F399" s="2">
        <v>45371</v>
      </c>
      <c r="G399" s="1" t="s">
        <v>1332</v>
      </c>
      <c r="H399" s="1" t="s">
        <v>1330</v>
      </c>
      <c r="I399" s="1" t="s">
        <v>11</v>
      </c>
      <c r="J399">
        <v>750000</v>
      </c>
      <c r="K399">
        <v>971000</v>
      </c>
      <c r="L399" s="1" t="s">
        <v>88</v>
      </c>
      <c r="M399" s="1" t="s">
        <v>10</v>
      </c>
      <c r="N399" s="1" t="s">
        <v>89</v>
      </c>
      <c r="O399">
        <v>11652000</v>
      </c>
      <c r="P399">
        <v>2652000</v>
      </c>
      <c r="Q399">
        <v>22.76</v>
      </c>
    </row>
    <row r="400" spans="1:17" x14ac:dyDescent="0.35">
      <c r="A400" s="1" t="s">
        <v>904</v>
      </c>
      <c r="B400" s="1" t="s">
        <v>272</v>
      </c>
      <c r="C400" s="1" t="s">
        <v>21</v>
      </c>
      <c r="D400" s="1" t="s">
        <v>124</v>
      </c>
      <c r="E400">
        <v>3</v>
      </c>
      <c r="F400" s="2">
        <v>45642</v>
      </c>
      <c r="G400" s="1" t="s">
        <v>1320</v>
      </c>
      <c r="H400" s="1" t="s">
        <v>1317</v>
      </c>
      <c r="I400" s="1" t="s">
        <v>1323</v>
      </c>
      <c r="J400">
        <v>650000</v>
      </c>
      <c r="K400">
        <v>741000</v>
      </c>
      <c r="L400" s="1" t="s">
        <v>22</v>
      </c>
      <c r="M400" s="1" t="s">
        <v>23</v>
      </c>
      <c r="N400" s="1" t="s">
        <v>24</v>
      </c>
      <c r="O400">
        <v>2223000</v>
      </c>
      <c r="P400">
        <v>273000</v>
      </c>
      <c r="Q400">
        <v>12.28</v>
      </c>
    </row>
    <row r="401" spans="1:17" x14ac:dyDescent="0.35">
      <c r="A401" s="1" t="s">
        <v>906</v>
      </c>
      <c r="B401" s="1" t="s">
        <v>272</v>
      </c>
      <c r="C401" s="1" t="s">
        <v>45</v>
      </c>
      <c r="D401" s="1" t="s">
        <v>124</v>
      </c>
      <c r="E401">
        <v>2</v>
      </c>
      <c r="F401" s="2">
        <v>45587</v>
      </c>
      <c r="G401" s="1" t="s">
        <v>1320</v>
      </c>
      <c r="H401" s="1" t="s">
        <v>1317</v>
      </c>
      <c r="I401" s="1" t="s">
        <v>1323</v>
      </c>
      <c r="J401">
        <v>650000</v>
      </c>
      <c r="K401">
        <v>741000</v>
      </c>
      <c r="L401" s="1" t="s">
        <v>46</v>
      </c>
      <c r="M401" s="1" t="s">
        <v>10</v>
      </c>
      <c r="N401" s="1" t="s">
        <v>47</v>
      </c>
      <c r="O401">
        <v>1482000</v>
      </c>
      <c r="P401">
        <v>182000</v>
      </c>
      <c r="Q401">
        <v>12.28</v>
      </c>
    </row>
    <row r="402" spans="1:17" x14ac:dyDescent="0.35">
      <c r="A402" s="1" t="s">
        <v>908</v>
      </c>
      <c r="B402" s="1" t="s">
        <v>272</v>
      </c>
      <c r="C402" s="1" t="s">
        <v>15</v>
      </c>
      <c r="D402" s="1" t="s">
        <v>128</v>
      </c>
      <c r="E402">
        <v>8</v>
      </c>
      <c r="F402" s="2">
        <v>45380</v>
      </c>
      <c r="G402" s="1" t="s">
        <v>1320</v>
      </c>
      <c r="H402" s="1" t="s">
        <v>1317</v>
      </c>
      <c r="I402" s="1" t="s">
        <v>1323</v>
      </c>
      <c r="J402">
        <v>650000</v>
      </c>
      <c r="K402">
        <v>741000</v>
      </c>
      <c r="L402" s="1" t="s">
        <v>16</v>
      </c>
      <c r="M402" s="1" t="s">
        <v>10</v>
      </c>
      <c r="N402" s="1" t="s">
        <v>17</v>
      </c>
      <c r="O402">
        <v>5928000</v>
      </c>
      <c r="P402">
        <v>728000</v>
      </c>
      <c r="Q402">
        <v>12.28</v>
      </c>
    </row>
    <row r="403" spans="1:17" x14ac:dyDescent="0.35">
      <c r="A403" s="1" t="s">
        <v>910</v>
      </c>
      <c r="B403" s="1" t="s">
        <v>137</v>
      </c>
      <c r="C403" s="1" t="s">
        <v>78</v>
      </c>
      <c r="D403" s="1" t="s">
        <v>124</v>
      </c>
      <c r="E403">
        <v>1</v>
      </c>
      <c r="F403" s="2">
        <v>45607</v>
      </c>
      <c r="G403" s="1" t="s">
        <v>1324</v>
      </c>
      <c r="H403" s="1" t="s">
        <v>1311</v>
      </c>
      <c r="I403" s="1" t="s">
        <v>11</v>
      </c>
      <c r="J403">
        <v>2000000</v>
      </c>
      <c r="K403">
        <v>2533000</v>
      </c>
      <c r="L403" s="1" t="s">
        <v>79</v>
      </c>
      <c r="M403" s="1" t="s">
        <v>10</v>
      </c>
      <c r="N403" s="1" t="s">
        <v>17</v>
      </c>
      <c r="O403">
        <v>2533000</v>
      </c>
      <c r="P403">
        <v>533000</v>
      </c>
      <c r="Q403">
        <v>21.04</v>
      </c>
    </row>
    <row r="404" spans="1:17" x14ac:dyDescent="0.35">
      <c r="A404" s="1" t="s">
        <v>912</v>
      </c>
      <c r="B404" s="1" t="s">
        <v>113</v>
      </c>
      <c r="C404" s="1" t="s">
        <v>45</v>
      </c>
      <c r="D404" s="1" t="s">
        <v>143</v>
      </c>
      <c r="E404">
        <v>8</v>
      </c>
      <c r="F404" s="2">
        <v>45407</v>
      </c>
      <c r="G404" s="1" t="s">
        <v>1346</v>
      </c>
      <c r="H404" s="1" t="s">
        <v>1311</v>
      </c>
      <c r="I404" s="1" t="s">
        <v>1323</v>
      </c>
      <c r="J404">
        <v>4500000</v>
      </c>
      <c r="K404">
        <v>5522000</v>
      </c>
      <c r="L404" s="1" t="s">
        <v>46</v>
      </c>
      <c r="M404" s="1" t="s">
        <v>10</v>
      </c>
      <c r="N404" s="1" t="s">
        <v>47</v>
      </c>
      <c r="O404">
        <v>44176000</v>
      </c>
      <c r="P404">
        <v>8176000</v>
      </c>
      <c r="Q404">
        <v>18.510000000000002</v>
      </c>
    </row>
    <row r="405" spans="1:17" x14ac:dyDescent="0.35">
      <c r="A405" s="1" t="s">
        <v>914</v>
      </c>
      <c r="B405" s="1" t="s">
        <v>248</v>
      </c>
      <c r="C405" s="1" t="s">
        <v>8</v>
      </c>
      <c r="D405" s="1" t="s">
        <v>128</v>
      </c>
      <c r="E405">
        <v>10</v>
      </c>
      <c r="F405" s="2">
        <v>45388</v>
      </c>
      <c r="G405" s="1" t="s">
        <v>1335</v>
      </c>
      <c r="H405" s="1" t="s">
        <v>1336</v>
      </c>
      <c r="I405" s="1" t="s">
        <v>41</v>
      </c>
      <c r="J405">
        <v>250000</v>
      </c>
      <c r="K405">
        <v>354000</v>
      </c>
      <c r="L405" s="1" t="s">
        <v>9</v>
      </c>
      <c r="M405" s="1" t="s">
        <v>10</v>
      </c>
      <c r="N405" s="1" t="s">
        <v>11</v>
      </c>
      <c r="O405">
        <v>3540000</v>
      </c>
      <c r="P405">
        <v>1040000</v>
      </c>
      <c r="Q405">
        <v>29.38</v>
      </c>
    </row>
    <row r="406" spans="1:17" x14ac:dyDescent="0.35">
      <c r="A406" s="1" t="s">
        <v>914</v>
      </c>
      <c r="B406" s="1" t="s">
        <v>168</v>
      </c>
      <c r="C406" s="1" t="s">
        <v>8</v>
      </c>
      <c r="D406" s="1" t="s">
        <v>128</v>
      </c>
      <c r="E406">
        <v>10</v>
      </c>
      <c r="F406" s="2">
        <v>45388</v>
      </c>
      <c r="G406" s="1" t="s">
        <v>1338</v>
      </c>
      <c r="H406" s="1" t="s">
        <v>1336</v>
      </c>
      <c r="I406" s="1" t="s">
        <v>41</v>
      </c>
      <c r="J406">
        <v>500000</v>
      </c>
      <c r="K406">
        <v>844000</v>
      </c>
      <c r="L406" s="1" t="s">
        <v>9</v>
      </c>
      <c r="M406" s="1" t="s">
        <v>10</v>
      </c>
      <c r="N406" s="1" t="s">
        <v>11</v>
      </c>
      <c r="O406">
        <v>8440000</v>
      </c>
      <c r="P406">
        <v>3440000</v>
      </c>
      <c r="Q406">
        <v>40.76</v>
      </c>
    </row>
    <row r="407" spans="1:17" x14ac:dyDescent="0.35">
      <c r="A407" s="1" t="s">
        <v>914</v>
      </c>
      <c r="B407" s="1" t="s">
        <v>172</v>
      </c>
      <c r="C407" s="1" t="s">
        <v>8</v>
      </c>
      <c r="D407" s="1" t="s">
        <v>128</v>
      </c>
      <c r="E407">
        <v>10</v>
      </c>
      <c r="F407" s="2">
        <v>45388</v>
      </c>
      <c r="G407" s="1" t="s">
        <v>1340</v>
      </c>
      <c r="H407" s="1" t="s">
        <v>1330</v>
      </c>
      <c r="I407" s="1" t="s">
        <v>41</v>
      </c>
      <c r="J407">
        <v>950000</v>
      </c>
      <c r="K407">
        <v>1649000</v>
      </c>
      <c r="L407" s="1" t="s">
        <v>9</v>
      </c>
      <c r="M407" s="1" t="s">
        <v>10</v>
      </c>
      <c r="N407" s="1" t="s">
        <v>11</v>
      </c>
      <c r="O407">
        <v>16490000</v>
      </c>
      <c r="P407">
        <v>6990000</v>
      </c>
      <c r="Q407">
        <v>42.39</v>
      </c>
    </row>
    <row r="408" spans="1:17" x14ac:dyDescent="0.35">
      <c r="A408" s="1" t="s">
        <v>914</v>
      </c>
      <c r="B408" s="1" t="s">
        <v>173</v>
      </c>
      <c r="C408" s="1" t="s">
        <v>8</v>
      </c>
      <c r="D408" s="1" t="s">
        <v>128</v>
      </c>
      <c r="E408">
        <v>10</v>
      </c>
      <c r="F408" s="2">
        <v>45388</v>
      </c>
      <c r="G408" s="1" t="s">
        <v>1342</v>
      </c>
      <c r="H408" s="1" t="s">
        <v>1317</v>
      </c>
      <c r="I408" s="1" t="s">
        <v>1323</v>
      </c>
      <c r="J408">
        <v>80000</v>
      </c>
      <c r="K408">
        <v>92000</v>
      </c>
      <c r="L408" s="1" t="s">
        <v>9</v>
      </c>
      <c r="M408" s="1" t="s">
        <v>10</v>
      </c>
      <c r="N408" s="1" t="s">
        <v>11</v>
      </c>
      <c r="O408">
        <v>920000</v>
      </c>
      <c r="P408">
        <v>120000</v>
      </c>
      <c r="Q408">
        <v>13.04</v>
      </c>
    </row>
    <row r="409" spans="1:17" x14ac:dyDescent="0.35">
      <c r="A409" s="1" t="s">
        <v>914</v>
      </c>
      <c r="B409" s="1" t="s">
        <v>111</v>
      </c>
      <c r="C409" s="1" t="s">
        <v>8</v>
      </c>
      <c r="D409" s="1" t="s">
        <v>128</v>
      </c>
      <c r="E409">
        <v>10</v>
      </c>
      <c r="F409" s="2">
        <v>45388</v>
      </c>
      <c r="G409" s="1" t="s">
        <v>1344</v>
      </c>
      <c r="H409" s="1" t="s">
        <v>1311</v>
      </c>
      <c r="I409" s="1" t="s">
        <v>1323</v>
      </c>
      <c r="J409">
        <v>18000000</v>
      </c>
      <c r="K409">
        <v>27603000</v>
      </c>
      <c r="L409" s="1" t="s">
        <v>9</v>
      </c>
      <c r="M409" s="1" t="s">
        <v>10</v>
      </c>
      <c r="N409" s="1" t="s">
        <v>11</v>
      </c>
      <c r="O409">
        <v>276030000</v>
      </c>
      <c r="P409">
        <v>96030000</v>
      </c>
      <c r="Q409">
        <v>34.79</v>
      </c>
    </row>
    <row r="410" spans="1:17" x14ac:dyDescent="0.35">
      <c r="A410" s="1" t="s">
        <v>914</v>
      </c>
      <c r="B410" s="1" t="s">
        <v>113</v>
      </c>
      <c r="C410" s="1" t="s">
        <v>8</v>
      </c>
      <c r="D410" s="1" t="s">
        <v>128</v>
      </c>
      <c r="E410">
        <v>10</v>
      </c>
      <c r="F410" s="2">
        <v>45388</v>
      </c>
      <c r="G410" s="1" t="s">
        <v>1346</v>
      </c>
      <c r="H410" s="1" t="s">
        <v>1311</v>
      </c>
      <c r="I410" s="1" t="s">
        <v>1323</v>
      </c>
      <c r="J410">
        <v>4500000</v>
      </c>
      <c r="K410">
        <v>5522000</v>
      </c>
      <c r="L410" s="1" t="s">
        <v>9</v>
      </c>
      <c r="M410" s="1" t="s">
        <v>10</v>
      </c>
      <c r="N410" s="1" t="s">
        <v>11</v>
      </c>
      <c r="O410">
        <v>55220000</v>
      </c>
      <c r="P410">
        <v>10220000</v>
      </c>
      <c r="Q410">
        <v>18.510000000000002</v>
      </c>
    </row>
    <row r="411" spans="1:17" x14ac:dyDescent="0.35">
      <c r="A411" s="1" t="s">
        <v>914</v>
      </c>
      <c r="B411" s="1" t="s">
        <v>106</v>
      </c>
      <c r="C411" s="1" t="s">
        <v>8</v>
      </c>
      <c r="D411" s="1" t="s">
        <v>128</v>
      </c>
      <c r="E411">
        <v>10</v>
      </c>
      <c r="F411" s="2">
        <v>45388</v>
      </c>
      <c r="G411" s="1" t="s">
        <v>1348</v>
      </c>
      <c r="H411" s="1" t="s">
        <v>1317</v>
      </c>
      <c r="I411" s="1" t="s">
        <v>1323</v>
      </c>
      <c r="J411">
        <v>300000</v>
      </c>
      <c r="K411">
        <v>355000</v>
      </c>
      <c r="L411" s="1" t="s">
        <v>9</v>
      </c>
      <c r="M411" s="1" t="s">
        <v>10</v>
      </c>
      <c r="N411" s="1" t="s">
        <v>11</v>
      </c>
      <c r="O411">
        <v>3550000</v>
      </c>
      <c r="P411">
        <v>550000</v>
      </c>
      <c r="Q411">
        <v>15.49</v>
      </c>
    </row>
    <row r="412" spans="1:17" x14ac:dyDescent="0.35">
      <c r="A412" s="1" t="s">
        <v>914</v>
      </c>
      <c r="B412" s="1" t="s">
        <v>197</v>
      </c>
      <c r="C412" s="1" t="s">
        <v>8</v>
      </c>
      <c r="D412" s="1" t="s">
        <v>128</v>
      </c>
      <c r="E412">
        <v>10</v>
      </c>
      <c r="F412" s="2">
        <v>45388</v>
      </c>
      <c r="G412" s="1" t="s">
        <v>1350</v>
      </c>
      <c r="H412" s="1" t="s">
        <v>1336</v>
      </c>
      <c r="I412" s="1" t="s">
        <v>11</v>
      </c>
      <c r="J412">
        <v>1200000</v>
      </c>
      <c r="K412">
        <v>1375000</v>
      </c>
      <c r="L412" s="1" t="s">
        <v>9</v>
      </c>
      <c r="M412" s="1" t="s">
        <v>10</v>
      </c>
      <c r="N412" s="1" t="s">
        <v>11</v>
      </c>
      <c r="O412">
        <v>13750000</v>
      </c>
      <c r="P412">
        <v>1750000</v>
      </c>
      <c r="Q412">
        <v>12.73</v>
      </c>
    </row>
    <row r="413" spans="1:17" x14ac:dyDescent="0.35">
      <c r="A413" s="1" t="s">
        <v>914</v>
      </c>
      <c r="B413" s="1" t="s">
        <v>116</v>
      </c>
      <c r="C413" s="1" t="s">
        <v>8</v>
      </c>
      <c r="D413" s="1" t="s">
        <v>128</v>
      </c>
      <c r="E413">
        <v>10</v>
      </c>
      <c r="F413" s="2">
        <v>45388</v>
      </c>
      <c r="G413" s="1" t="s">
        <v>1352</v>
      </c>
      <c r="H413" s="1" t="s">
        <v>1330</v>
      </c>
      <c r="I413" s="1" t="s">
        <v>1323</v>
      </c>
      <c r="J413">
        <v>5000000</v>
      </c>
      <c r="K413">
        <v>7546000</v>
      </c>
      <c r="L413" s="1" t="s">
        <v>9</v>
      </c>
      <c r="M413" s="1" t="s">
        <v>10</v>
      </c>
      <c r="N413" s="1" t="s">
        <v>11</v>
      </c>
      <c r="O413">
        <v>75460000</v>
      </c>
      <c r="P413">
        <v>25460000</v>
      </c>
      <c r="Q413">
        <v>33.74</v>
      </c>
    </row>
    <row r="414" spans="1:17" x14ac:dyDescent="0.35">
      <c r="A414" s="1" t="s">
        <v>914</v>
      </c>
      <c r="B414" s="1" t="s">
        <v>133</v>
      </c>
      <c r="C414" s="1" t="s">
        <v>8</v>
      </c>
      <c r="D414" s="1" t="s">
        <v>128</v>
      </c>
      <c r="E414">
        <v>10</v>
      </c>
      <c r="F414" s="2">
        <v>45388</v>
      </c>
      <c r="G414" s="1" t="s">
        <v>1354</v>
      </c>
      <c r="H414" s="1" t="s">
        <v>1330</v>
      </c>
      <c r="I414" s="1" t="s">
        <v>11</v>
      </c>
      <c r="J414">
        <v>2500000</v>
      </c>
      <c r="K414">
        <v>3080000</v>
      </c>
      <c r="L414" s="1" t="s">
        <v>9</v>
      </c>
      <c r="M414" s="1" t="s">
        <v>10</v>
      </c>
      <c r="N414" s="1" t="s">
        <v>11</v>
      </c>
      <c r="O414">
        <v>30800000</v>
      </c>
      <c r="P414">
        <v>5800000</v>
      </c>
      <c r="Q414">
        <v>18.829999999999998</v>
      </c>
    </row>
    <row r="415" spans="1:17" x14ac:dyDescent="0.35">
      <c r="A415" s="1" t="s">
        <v>914</v>
      </c>
      <c r="B415" s="1" t="s">
        <v>141</v>
      </c>
      <c r="C415" s="1" t="s">
        <v>8</v>
      </c>
      <c r="D415" s="1" t="s">
        <v>128</v>
      </c>
      <c r="E415">
        <v>10</v>
      </c>
      <c r="F415" s="2">
        <v>45388</v>
      </c>
      <c r="G415" s="1" t="s">
        <v>1355</v>
      </c>
      <c r="H415" s="1" t="s">
        <v>1330</v>
      </c>
      <c r="I415" s="1" t="s">
        <v>41</v>
      </c>
      <c r="J415">
        <v>400000</v>
      </c>
      <c r="K415">
        <v>623000</v>
      </c>
      <c r="L415" s="1" t="s">
        <v>9</v>
      </c>
      <c r="M415" s="1" t="s">
        <v>10</v>
      </c>
      <c r="N415" s="1" t="s">
        <v>11</v>
      </c>
      <c r="O415">
        <v>6230000</v>
      </c>
      <c r="P415">
        <v>2230000</v>
      </c>
      <c r="Q415">
        <v>35.79</v>
      </c>
    </row>
    <row r="416" spans="1:17" x14ac:dyDescent="0.35">
      <c r="A416" s="1" t="s">
        <v>914</v>
      </c>
      <c r="B416" s="1" t="s">
        <v>109</v>
      </c>
      <c r="C416" s="1" t="s">
        <v>8</v>
      </c>
      <c r="D416" s="1" t="s">
        <v>128</v>
      </c>
      <c r="E416">
        <v>10</v>
      </c>
      <c r="F416" s="2">
        <v>45388</v>
      </c>
      <c r="G416" s="1" t="s">
        <v>1357</v>
      </c>
      <c r="H416" s="1" t="s">
        <v>1358</v>
      </c>
      <c r="I416" s="1" t="s">
        <v>41</v>
      </c>
      <c r="J416">
        <v>2000000</v>
      </c>
      <c r="K416">
        <v>3382000</v>
      </c>
      <c r="L416" s="1" t="s">
        <v>9</v>
      </c>
      <c r="M416" s="1" t="s">
        <v>10</v>
      </c>
      <c r="N416" s="1" t="s">
        <v>11</v>
      </c>
      <c r="O416">
        <v>33820000</v>
      </c>
      <c r="P416">
        <v>13820000</v>
      </c>
      <c r="Q416">
        <v>40.86</v>
      </c>
    </row>
    <row r="417" spans="1:17" x14ac:dyDescent="0.35">
      <c r="A417" s="1" t="s">
        <v>915</v>
      </c>
      <c r="B417" s="1" t="s">
        <v>141</v>
      </c>
      <c r="C417" s="1" t="s">
        <v>51</v>
      </c>
      <c r="D417" s="1" t="s">
        <v>128</v>
      </c>
      <c r="E417">
        <v>6</v>
      </c>
      <c r="F417" s="2">
        <v>45630</v>
      </c>
      <c r="G417" s="1" t="s">
        <v>1355</v>
      </c>
      <c r="H417" s="1" t="s">
        <v>1330</v>
      </c>
      <c r="I417" s="1" t="s">
        <v>41</v>
      </c>
      <c r="J417">
        <v>400000</v>
      </c>
      <c r="K417">
        <v>623000</v>
      </c>
      <c r="L417" s="1" t="s">
        <v>52</v>
      </c>
      <c r="M417" s="1" t="s">
        <v>23</v>
      </c>
      <c r="N417" s="1" t="s">
        <v>53</v>
      </c>
      <c r="O417">
        <v>3738000</v>
      </c>
      <c r="P417">
        <v>1338000</v>
      </c>
      <c r="Q417">
        <v>35.79</v>
      </c>
    </row>
    <row r="418" spans="1:17" x14ac:dyDescent="0.35">
      <c r="A418" s="1" t="s">
        <v>917</v>
      </c>
      <c r="B418" s="1" t="s">
        <v>109</v>
      </c>
      <c r="C418" s="1" t="s">
        <v>57</v>
      </c>
      <c r="D418" s="1" t="s">
        <v>143</v>
      </c>
      <c r="E418">
        <v>3</v>
      </c>
      <c r="F418" s="2">
        <v>45574</v>
      </c>
      <c r="G418" s="1" t="s">
        <v>1357</v>
      </c>
      <c r="H418" s="1" t="s">
        <v>1358</v>
      </c>
      <c r="I418" s="1" t="s">
        <v>41</v>
      </c>
      <c r="J418">
        <v>2000000</v>
      </c>
      <c r="K418">
        <v>3382000</v>
      </c>
      <c r="L418" s="1" t="s">
        <v>58</v>
      </c>
      <c r="M418" s="1" t="s">
        <v>10</v>
      </c>
      <c r="N418" s="1" t="s">
        <v>59</v>
      </c>
      <c r="O418">
        <v>10146000</v>
      </c>
      <c r="P418">
        <v>4146000</v>
      </c>
      <c r="Q418">
        <v>40.86</v>
      </c>
    </row>
    <row r="419" spans="1:17" x14ac:dyDescent="0.35">
      <c r="A419" s="1" t="s">
        <v>919</v>
      </c>
      <c r="B419" s="1" t="s">
        <v>109</v>
      </c>
      <c r="C419" s="1" t="s">
        <v>63</v>
      </c>
      <c r="D419" s="1" t="s">
        <v>171</v>
      </c>
      <c r="E419">
        <v>14</v>
      </c>
      <c r="F419" s="2">
        <v>45341</v>
      </c>
      <c r="G419" s="1" t="s">
        <v>1357</v>
      </c>
      <c r="H419" s="1" t="s">
        <v>1358</v>
      </c>
      <c r="I419" s="1" t="s">
        <v>41</v>
      </c>
      <c r="J419">
        <v>2000000</v>
      </c>
      <c r="K419">
        <v>3382000</v>
      </c>
      <c r="L419" s="1" t="s">
        <v>64</v>
      </c>
      <c r="M419" s="1" t="s">
        <v>23</v>
      </c>
      <c r="N419" s="1" t="s">
        <v>65</v>
      </c>
      <c r="O419">
        <v>47348000</v>
      </c>
      <c r="P419">
        <v>19348000</v>
      </c>
      <c r="Q419">
        <v>40.86</v>
      </c>
    </row>
    <row r="420" spans="1:17" x14ac:dyDescent="0.35">
      <c r="A420" s="1" t="s">
        <v>921</v>
      </c>
      <c r="B420" s="1" t="s">
        <v>106</v>
      </c>
      <c r="C420" s="1" t="s">
        <v>78</v>
      </c>
      <c r="D420" s="1" t="s">
        <v>157</v>
      </c>
      <c r="E420">
        <v>13</v>
      </c>
      <c r="F420" s="2">
        <v>45475</v>
      </c>
      <c r="G420" s="1" t="s">
        <v>1348</v>
      </c>
      <c r="H420" s="1" t="s">
        <v>1317</v>
      </c>
      <c r="I420" s="1" t="s">
        <v>1323</v>
      </c>
      <c r="J420">
        <v>300000</v>
      </c>
      <c r="K420">
        <v>355000</v>
      </c>
      <c r="L420" s="1" t="s">
        <v>79</v>
      </c>
      <c r="M420" s="1" t="s">
        <v>10</v>
      </c>
      <c r="N420" s="1" t="s">
        <v>17</v>
      </c>
      <c r="O420">
        <v>4615000</v>
      </c>
      <c r="P420">
        <v>715000</v>
      </c>
      <c r="Q420">
        <v>15.49</v>
      </c>
    </row>
    <row r="421" spans="1:17" x14ac:dyDescent="0.35">
      <c r="A421" s="1" t="s">
        <v>923</v>
      </c>
      <c r="B421" s="1" t="s">
        <v>173</v>
      </c>
      <c r="C421" s="1" t="s">
        <v>51</v>
      </c>
      <c r="D421" s="1" t="s">
        <v>121</v>
      </c>
      <c r="E421">
        <v>14</v>
      </c>
      <c r="F421" s="2">
        <v>45440</v>
      </c>
      <c r="G421" s="1" t="s">
        <v>1342</v>
      </c>
      <c r="H421" s="1" t="s">
        <v>1317</v>
      </c>
      <c r="I421" s="1" t="s">
        <v>1323</v>
      </c>
      <c r="J421">
        <v>80000</v>
      </c>
      <c r="K421">
        <v>92000</v>
      </c>
      <c r="L421" s="1" t="s">
        <v>52</v>
      </c>
      <c r="M421" s="1" t="s">
        <v>23</v>
      </c>
      <c r="N421" s="1" t="s">
        <v>53</v>
      </c>
      <c r="O421">
        <v>1288000</v>
      </c>
      <c r="P421">
        <v>168000</v>
      </c>
      <c r="Q421">
        <v>13.04</v>
      </c>
    </row>
    <row r="422" spans="1:17" x14ac:dyDescent="0.35">
      <c r="A422" s="1" t="s">
        <v>925</v>
      </c>
      <c r="B422" s="1" t="s">
        <v>106</v>
      </c>
      <c r="C422" s="1" t="s">
        <v>78</v>
      </c>
      <c r="D422" s="1" t="s">
        <v>128</v>
      </c>
      <c r="E422">
        <v>10</v>
      </c>
      <c r="F422" s="2">
        <v>45651</v>
      </c>
      <c r="G422" s="1" t="s">
        <v>1348</v>
      </c>
      <c r="H422" s="1" t="s">
        <v>1317</v>
      </c>
      <c r="I422" s="1" t="s">
        <v>1323</v>
      </c>
      <c r="J422">
        <v>300000</v>
      </c>
      <c r="K422">
        <v>355000</v>
      </c>
      <c r="L422" s="1" t="s">
        <v>79</v>
      </c>
      <c r="M422" s="1" t="s">
        <v>10</v>
      </c>
      <c r="N422" s="1" t="s">
        <v>17</v>
      </c>
      <c r="O422">
        <v>3550000</v>
      </c>
      <c r="P422">
        <v>550000</v>
      </c>
      <c r="Q422">
        <v>15.49</v>
      </c>
    </row>
    <row r="423" spans="1:17" x14ac:dyDescent="0.35">
      <c r="A423" s="1" t="s">
        <v>926</v>
      </c>
      <c r="B423" s="1" t="s">
        <v>133</v>
      </c>
      <c r="C423" s="1" t="s">
        <v>15</v>
      </c>
      <c r="D423" s="1" t="s">
        <v>128</v>
      </c>
      <c r="E423">
        <v>4</v>
      </c>
      <c r="F423" s="2">
        <v>45476</v>
      </c>
      <c r="G423" s="1" t="s">
        <v>1354</v>
      </c>
      <c r="H423" s="1" t="s">
        <v>1330</v>
      </c>
      <c r="I423" s="1" t="s">
        <v>11</v>
      </c>
      <c r="J423">
        <v>2500000</v>
      </c>
      <c r="K423">
        <v>3080000</v>
      </c>
      <c r="L423" s="1" t="s">
        <v>16</v>
      </c>
      <c r="M423" s="1" t="s">
        <v>10</v>
      </c>
      <c r="N423" s="1" t="s">
        <v>17</v>
      </c>
      <c r="O423">
        <v>12320000</v>
      </c>
      <c r="P423">
        <v>2320000</v>
      </c>
      <c r="Q423">
        <v>18.829999999999998</v>
      </c>
    </row>
    <row r="424" spans="1:17" x14ac:dyDescent="0.35">
      <c r="A424" s="1" t="s">
        <v>928</v>
      </c>
      <c r="B424" s="1" t="s">
        <v>141</v>
      </c>
      <c r="C424" s="1" t="s">
        <v>73</v>
      </c>
      <c r="D424" s="1" t="s">
        <v>124</v>
      </c>
      <c r="E424">
        <v>14</v>
      </c>
      <c r="F424" s="2">
        <v>45533</v>
      </c>
      <c r="G424" s="1" t="s">
        <v>1355</v>
      </c>
      <c r="H424" s="1" t="s">
        <v>1330</v>
      </c>
      <c r="I424" s="1" t="s">
        <v>41</v>
      </c>
      <c r="J424">
        <v>400000</v>
      </c>
      <c r="K424">
        <v>623000</v>
      </c>
      <c r="L424" s="1" t="s">
        <v>74</v>
      </c>
      <c r="M424" s="1" t="s">
        <v>23</v>
      </c>
      <c r="N424" s="1" t="s">
        <v>75</v>
      </c>
      <c r="O424">
        <v>8722000</v>
      </c>
      <c r="P424">
        <v>3122000</v>
      </c>
      <c r="Q424">
        <v>35.79</v>
      </c>
    </row>
    <row r="425" spans="1:17" x14ac:dyDescent="0.35">
      <c r="A425" s="1" t="s">
        <v>930</v>
      </c>
      <c r="B425" s="1" t="s">
        <v>191</v>
      </c>
      <c r="C425" s="1" t="s">
        <v>78</v>
      </c>
      <c r="D425" s="1" t="s">
        <v>157</v>
      </c>
      <c r="E425">
        <v>14</v>
      </c>
      <c r="F425" s="2">
        <v>45647</v>
      </c>
      <c r="G425" s="1" t="s">
        <v>1310</v>
      </c>
      <c r="H425" s="1" t="s">
        <v>1311</v>
      </c>
      <c r="I425" s="1" t="s">
        <v>11</v>
      </c>
      <c r="J425">
        <v>12000000</v>
      </c>
      <c r="K425">
        <v>13963000</v>
      </c>
      <c r="L425" s="1" t="s">
        <v>79</v>
      </c>
      <c r="M425" s="1" t="s">
        <v>10</v>
      </c>
      <c r="N425" s="1" t="s">
        <v>17</v>
      </c>
      <c r="O425">
        <v>195482000</v>
      </c>
      <c r="P425">
        <v>27482000</v>
      </c>
      <c r="Q425">
        <v>14.06</v>
      </c>
    </row>
    <row r="426" spans="1:17" x14ac:dyDescent="0.35">
      <c r="A426" s="1" t="s">
        <v>932</v>
      </c>
      <c r="B426" s="1" t="s">
        <v>173</v>
      </c>
      <c r="C426" s="1" t="s">
        <v>63</v>
      </c>
      <c r="D426" s="1" t="s">
        <v>157</v>
      </c>
      <c r="E426">
        <v>3</v>
      </c>
      <c r="F426" s="2">
        <v>45655</v>
      </c>
      <c r="G426" s="1" t="s">
        <v>1342</v>
      </c>
      <c r="H426" s="1" t="s">
        <v>1317</v>
      </c>
      <c r="I426" s="1" t="s">
        <v>1323</v>
      </c>
      <c r="J426">
        <v>80000</v>
      </c>
      <c r="K426">
        <v>92000</v>
      </c>
      <c r="L426" s="1" t="s">
        <v>64</v>
      </c>
      <c r="M426" s="1" t="s">
        <v>23</v>
      </c>
      <c r="N426" s="1" t="s">
        <v>65</v>
      </c>
      <c r="O426">
        <v>276000</v>
      </c>
      <c r="P426">
        <v>36000</v>
      </c>
      <c r="Q426">
        <v>13.04</v>
      </c>
    </row>
    <row r="427" spans="1:17" x14ac:dyDescent="0.35">
      <c r="A427" s="1" t="s">
        <v>934</v>
      </c>
      <c r="B427" s="1" t="s">
        <v>137</v>
      </c>
      <c r="C427" s="1" t="s">
        <v>51</v>
      </c>
      <c r="D427" s="1" t="s">
        <v>157</v>
      </c>
      <c r="E427">
        <v>5</v>
      </c>
      <c r="F427" s="2">
        <v>45429</v>
      </c>
      <c r="G427" s="1" t="s">
        <v>1324</v>
      </c>
      <c r="H427" s="1" t="s">
        <v>1311</v>
      </c>
      <c r="I427" s="1" t="s">
        <v>11</v>
      </c>
      <c r="J427">
        <v>2000000</v>
      </c>
      <c r="K427">
        <v>2533000</v>
      </c>
      <c r="L427" s="1" t="s">
        <v>52</v>
      </c>
      <c r="M427" s="1" t="s">
        <v>23</v>
      </c>
      <c r="N427" s="1" t="s">
        <v>53</v>
      </c>
      <c r="O427">
        <v>12665000</v>
      </c>
      <c r="P427">
        <v>2665000</v>
      </c>
      <c r="Q427">
        <v>21.04</v>
      </c>
    </row>
    <row r="428" spans="1:17" x14ac:dyDescent="0.35">
      <c r="A428" s="1" t="s">
        <v>936</v>
      </c>
      <c r="B428" s="1" t="s">
        <v>106</v>
      </c>
      <c r="C428" s="1" t="s">
        <v>45</v>
      </c>
      <c r="D428" s="1" t="s">
        <v>171</v>
      </c>
      <c r="E428">
        <v>13</v>
      </c>
      <c r="F428" s="2">
        <v>45429</v>
      </c>
      <c r="G428" s="1" t="s">
        <v>1348</v>
      </c>
      <c r="H428" s="1" t="s">
        <v>1317</v>
      </c>
      <c r="I428" s="1" t="s">
        <v>1323</v>
      </c>
      <c r="J428">
        <v>300000</v>
      </c>
      <c r="K428">
        <v>355000</v>
      </c>
      <c r="L428" s="1" t="s">
        <v>46</v>
      </c>
      <c r="M428" s="1" t="s">
        <v>10</v>
      </c>
      <c r="N428" s="1" t="s">
        <v>47</v>
      </c>
      <c r="O428">
        <v>4615000</v>
      </c>
      <c r="P428">
        <v>715000</v>
      </c>
      <c r="Q428">
        <v>15.49</v>
      </c>
    </row>
    <row r="429" spans="1:17" x14ac:dyDescent="0.35">
      <c r="A429" s="1" t="s">
        <v>938</v>
      </c>
      <c r="B429" s="1" t="s">
        <v>164</v>
      </c>
      <c r="C429" s="1" t="s">
        <v>63</v>
      </c>
      <c r="D429" s="1" t="s">
        <v>121</v>
      </c>
      <c r="E429">
        <v>8</v>
      </c>
      <c r="F429" s="2">
        <v>45311</v>
      </c>
      <c r="G429" s="1" t="s">
        <v>1332</v>
      </c>
      <c r="H429" s="1" t="s">
        <v>1330</v>
      </c>
      <c r="I429" s="1" t="s">
        <v>11</v>
      </c>
      <c r="J429">
        <v>750000</v>
      </c>
      <c r="K429">
        <v>971000</v>
      </c>
      <c r="L429" s="1" t="s">
        <v>64</v>
      </c>
      <c r="M429" s="1" t="s">
        <v>23</v>
      </c>
      <c r="N429" s="1" t="s">
        <v>65</v>
      </c>
      <c r="O429">
        <v>7768000</v>
      </c>
      <c r="P429">
        <v>1768000</v>
      </c>
      <c r="Q429">
        <v>22.76</v>
      </c>
    </row>
    <row r="430" spans="1:17" x14ac:dyDescent="0.35">
      <c r="A430" s="1" t="s">
        <v>940</v>
      </c>
      <c r="B430" s="1" t="s">
        <v>176</v>
      </c>
      <c r="C430" s="1" t="s">
        <v>15</v>
      </c>
      <c r="D430" s="1" t="s">
        <v>157</v>
      </c>
      <c r="E430">
        <v>9</v>
      </c>
      <c r="F430" s="2">
        <v>45353</v>
      </c>
      <c r="G430" s="1" t="s">
        <v>1329</v>
      </c>
      <c r="H430" s="1" t="s">
        <v>1330</v>
      </c>
      <c r="I430" s="1" t="s">
        <v>1323</v>
      </c>
      <c r="J430">
        <v>1500000</v>
      </c>
      <c r="K430">
        <v>1772000</v>
      </c>
      <c r="L430" s="1" t="s">
        <v>16</v>
      </c>
      <c r="M430" s="1" t="s">
        <v>10</v>
      </c>
      <c r="N430" s="1" t="s">
        <v>17</v>
      </c>
      <c r="O430">
        <v>15948000</v>
      </c>
      <c r="P430">
        <v>2448000</v>
      </c>
      <c r="Q430">
        <v>15.35</v>
      </c>
    </row>
    <row r="431" spans="1:17" x14ac:dyDescent="0.35">
      <c r="A431" s="1" t="s">
        <v>941</v>
      </c>
      <c r="B431" s="1" t="s">
        <v>272</v>
      </c>
      <c r="C431" s="1" t="s">
        <v>69</v>
      </c>
      <c r="D431" s="1" t="s">
        <v>121</v>
      </c>
      <c r="E431">
        <v>14</v>
      </c>
      <c r="F431" s="2">
        <v>45629</v>
      </c>
      <c r="G431" s="1" t="s">
        <v>1320</v>
      </c>
      <c r="H431" s="1" t="s">
        <v>1317</v>
      </c>
      <c r="I431" s="1" t="s">
        <v>1323</v>
      </c>
      <c r="J431">
        <v>650000</v>
      </c>
      <c r="K431">
        <v>741000</v>
      </c>
      <c r="L431" s="1" t="s">
        <v>70</v>
      </c>
      <c r="M431" s="1" t="s">
        <v>10</v>
      </c>
      <c r="N431" s="1" t="s">
        <v>11</v>
      </c>
      <c r="O431">
        <v>10374000</v>
      </c>
      <c r="P431">
        <v>1274000</v>
      </c>
      <c r="Q431">
        <v>12.28</v>
      </c>
    </row>
    <row r="432" spans="1:17" x14ac:dyDescent="0.35">
      <c r="A432" s="1" t="s">
        <v>943</v>
      </c>
      <c r="B432" s="1" t="s">
        <v>197</v>
      </c>
      <c r="C432" s="1" t="s">
        <v>45</v>
      </c>
      <c r="D432" s="1" t="s">
        <v>143</v>
      </c>
      <c r="E432">
        <v>4</v>
      </c>
      <c r="F432" s="2">
        <v>45505</v>
      </c>
      <c r="G432" s="1" t="s">
        <v>1350</v>
      </c>
      <c r="H432" s="1" t="s">
        <v>1336</v>
      </c>
      <c r="I432" s="1" t="s">
        <v>11</v>
      </c>
      <c r="J432">
        <v>1200000</v>
      </c>
      <c r="K432">
        <v>1375000</v>
      </c>
      <c r="L432" s="1" t="s">
        <v>46</v>
      </c>
      <c r="M432" s="1" t="s">
        <v>10</v>
      </c>
      <c r="N432" s="1" t="s">
        <v>47</v>
      </c>
      <c r="O432">
        <v>5500000</v>
      </c>
      <c r="P432">
        <v>700000</v>
      </c>
      <c r="Q432">
        <v>12.73</v>
      </c>
    </row>
    <row r="433" spans="1:17" x14ac:dyDescent="0.35">
      <c r="A433" s="1" t="s">
        <v>945</v>
      </c>
      <c r="B433" s="1" t="s">
        <v>149</v>
      </c>
      <c r="C433" s="1" t="s">
        <v>39</v>
      </c>
      <c r="D433" s="1" t="s">
        <v>143</v>
      </c>
      <c r="E433">
        <v>4</v>
      </c>
      <c r="F433" s="2">
        <v>45594</v>
      </c>
      <c r="G433" s="1" t="s">
        <v>1316</v>
      </c>
      <c r="H433" s="1" t="s">
        <v>1317</v>
      </c>
      <c r="I433" s="1" t="s">
        <v>41</v>
      </c>
      <c r="J433">
        <v>100000</v>
      </c>
      <c r="K433">
        <v>169000</v>
      </c>
      <c r="L433" s="1" t="s">
        <v>40</v>
      </c>
      <c r="M433" s="1" t="s">
        <v>23</v>
      </c>
      <c r="N433" s="1" t="s">
        <v>41</v>
      </c>
      <c r="O433">
        <v>676000</v>
      </c>
      <c r="P433">
        <v>276000</v>
      </c>
      <c r="Q433">
        <v>40.83</v>
      </c>
    </row>
    <row r="434" spans="1:17" x14ac:dyDescent="0.35">
      <c r="A434" s="1" t="s">
        <v>946</v>
      </c>
      <c r="B434" s="1" t="s">
        <v>188</v>
      </c>
      <c r="C434" s="1" t="s">
        <v>29</v>
      </c>
      <c r="D434" s="1" t="s">
        <v>128</v>
      </c>
      <c r="E434">
        <v>9</v>
      </c>
      <c r="F434" s="2">
        <v>45505</v>
      </c>
      <c r="G434" s="1" t="s">
        <v>1327</v>
      </c>
      <c r="H434" s="1" t="s">
        <v>1311</v>
      </c>
      <c r="I434" s="1" t="s">
        <v>41</v>
      </c>
      <c r="J434">
        <v>2800000</v>
      </c>
      <c r="K434">
        <v>4747000</v>
      </c>
      <c r="L434" s="1" t="s">
        <v>30</v>
      </c>
      <c r="M434" s="1" t="s">
        <v>23</v>
      </c>
      <c r="N434" s="1" t="s">
        <v>31</v>
      </c>
      <c r="O434">
        <v>42723000</v>
      </c>
      <c r="P434">
        <v>17523000</v>
      </c>
      <c r="Q434">
        <v>41.02</v>
      </c>
    </row>
    <row r="435" spans="1:17" x14ac:dyDescent="0.35">
      <c r="A435" s="1" t="s">
        <v>947</v>
      </c>
      <c r="B435" s="1" t="s">
        <v>168</v>
      </c>
      <c r="C435" s="1" t="s">
        <v>21</v>
      </c>
      <c r="D435" s="1" t="s">
        <v>157</v>
      </c>
      <c r="E435">
        <v>11</v>
      </c>
      <c r="F435" s="2">
        <v>45332</v>
      </c>
      <c r="G435" s="1" t="s">
        <v>1338</v>
      </c>
      <c r="H435" s="1" t="s">
        <v>1336</v>
      </c>
      <c r="I435" s="1" t="s">
        <v>41</v>
      </c>
      <c r="J435">
        <v>500000</v>
      </c>
      <c r="K435">
        <v>844000</v>
      </c>
      <c r="L435" s="1" t="s">
        <v>22</v>
      </c>
      <c r="M435" s="1" t="s">
        <v>23</v>
      </c>
      <c r="N435" s="1" t="s">
        <v>24</v>
      </c>
      <c r="O435">
        <v>9284000</v>
      </c>
      <c r="P435">
        <v>3784000</v>
      </c>
      <c r="Q435">
        <v>40.76</v>
      </c>
    </row>
    <row r="436" spans="1:17" x14ac:dyDescent="0.35">
      <c r="A436" s="1" t="s">
        <v>949</v>
      </c>
      <c r="B436" s="1" t="s">
        <v>172</v>
      </c>
      <c r="C436" s="1" t="s">
        <v>63</v>
      </c>
      <c r="D436" s="1" t="s">
        <v>128</v>
      </c>
      <c r="E436">
        <v>2</v>
      </c>
      <c r="F436" s="2">
        <v>45334</v>
      </c>
      <c r="G436" s="1" t="s">
        <v>1340</v>
      </c>
      <c r="H436" s="1" t="s">
        <v>1330</v>
      </c>
      <c r="I436" s="1" t="s">
        <v>41</v>
      </c>
      <c r="J436">
        <v>950000</v>
      </c>
      <c r="K436">
        <v>1649000</v>
      </c>
      <c r="L436" s="1" t="s">
        <v>64</v>
      </c>
      <c r="M436" s="1" t="s">
        <v>23</v>
      </c>
      <c r="N436" s="1" t="s">
        <v>65</v>
      </c>
      <c r="O436">
        <v>3298000</v>
      </c>
      <c r="P436">
        <v>1398000</v>
      </c>
      <c r="Q436">
        <v>42.39</v>
      </c>
    </row>
    <row r="437" spans="1:17" x14ac:dyDescent="0.35">
      <c r="A437" s="1" t="s">
        <v>951</v>
      </c>
      <c r="B437" s="1" t="s">
        <v>172</v>
      </c>
      <c r="C437" s="1" t="s">
        <v>21</v>
      </c>
      <c r="D437" s="1" t="s">
        <v>143</v>
      </c>
      <c r="E437">
        <v>7</v>
      </c>
      <c r="F437" s="2">
        <v>45653</v>
      </c>
      <c r="G437" s="1" t="s">
        <v>1340</v>
      </c>
      <c r="H437" s="1" t="s">
        <v>1330</v>
      </c>
      <c r="I437" s="1" t="s">
        <v>41</v>
      </c>
      <c r="J437">
        <v>950000</v>
      </c>
      <c r="K437">
        <v>1649000</v>
      </c>
      <c r="L437" s="1" t="s">
        <v>22</v>
      </c>
      <c r="M437" s="1" t="s">
        <v>23</v>
      </c>
      <c r="N437" s="1" t="s">
        <v>24</v>
      </c>
      <c r="O437">
        <v>11543000</v>
      </c>
      <c r="P437">
        <v>4893000</v>
      </c>
      <c r="Q437">
        <v>42.39</v>
      </c>
    </row>
    <row r="438" spans="1:17" x14ac:dyDescent="0.35">
      <c r="A438" s="1" t="s">
        <v>953</v>
      </c>
      <c r="B438" s="1" t="s">
        <v>173</v>
      </c>
      <c r="C438" s="1" t="s">
        <v>78</v>
      </c>
      <c r="D438" s="1" t="s">
        <v>128</v>
      </c>
      <c r="E438">
        <v>6</v>
      </c>
      <c r="F438" s="2">
        <v>45554</v>
      </c>
      <c r="G438" s="1" t="s">
        <v>1342</v>
      </c>
      <c r="H438" s="1" t="s">
        <v>1317</v>
      </c>
      <c r="I438" s="1" t="s">
        <v>1323</v>
      </c>
      <c r="J438">
        <v>80000</v>
      </c>
      <c r="K438">
        <v>92000</v>
      </c>
      <c r="L438" s="1" t="s">
        <v>79</v>
      </c>
      <c r="M438" s="1" t="s">
        <v>10</v>
      </c>
      <c r="N438" s="1" t="s">
        <v>17</v>
      </c>
      <c r="O438">
        <v>552000</v>
      </c>
      <c r="P438">
        <v>72000</v>
      </c>
      <c r="Q438">
        <v>13.04</v>
      </c>
    </row>
    <row r="439" spans="1:17" x14ac:dyDescent="0.35">
      <c r="A439" s="1" t="s">
        <v>955</v>
      </c>
      <c r="B439" s="1" t="s">
        <v>141</v>
      </c>
      <c r="C439" s="1" t="s">
        <v>21</v>
      </c>
      <c r="D439" s="1" t="s">
        <v>124</v>
      </c>
      <c r="E439">
        <v>1</v>
      </c>
      <c r="F439" s="2">
        <v>45389</v>
      </c>
      <c r="G439" s="1" t="s">
        <v>1355</v>
      </c>
      <c r="H439" s="1" t="s">
        <v>1330</v>
      </c>
      <c r="I439" s="1" t="s">
        <v>41</v>
      </c>
      <c r="J439">
        <v>400000</v>
      </c>
      <c r="K439">
        <v>623000</v>
      </c>
      <c r="L439" s="1" t="s">
        <v>22</v>
      </c>
      <c r="M439" s="1" t="s">
        <v>23</v>
      </c>
      <c r="N439" s="1" t="s">
        <v>24</v>
      </c>
      <c r="O439">
        <v>623000</v>
      </c>
      <c r="P439">
        <v>223000</v>
      </c>
      <c r="Q439">
        <v>35.79</v>
      </c>
    </row>
    <row r="440" spans="1:17" x14ac:dyDescent="0.35">
      <c r="A440" s="1" t="s">
        <v>957</v>
      </c>
      <c r="B440" s="1" t="s">
        <v>106</v>
      </c>
      <c r="C440" s="1" t="s">
        <v>8</v>
      </c>
      <c r="D440" s="1" t="s">
        <v>143</v>
      </c>
      <c r="E440">
        <v>1</v>
      </c>
      <c r="F440" s="2">
        <v>45324</v>
      </c>
      <c r="G440" s="1" t="s">
        <v>1348</v>
      </c>
      <c r="H440" s="1" t="s">
        <v>1317</v>
      </c>
      <c r="I440" s="1" t="s">
        <v>1323</v>
      </c>
      <c r="J440">
        <v>300000</v>
      </c>
      <c r="K440">
        <v>355000</v>
      </c>
      <c r="L440" s="1" t="s">
        <v>9</v>
      </c>
      <c r="M440" s="1" t="s">
        <v>10</v>
      </c>
      <c r="N440" s="1" t="s">
        <v>11</v>
      </c>
      <c r="O440">
        <v>355000</v>
      </c>
      <c r="P440">
        <v>55000</v>
      </c>
      <c r="Q440">
        <v>15.49</v>
      </c>
    </row>
    <row r="441" spans="1:17" x14ac:dyDescent="0.35">
      <c r="A441" s="1" t="s">
        <v>959</v>
      </c>
      <c r="B441" s="1" t="s">
        <v>248</v>
      </c>
      <c r="C441" s="1" t="s">
        <v>87</v>
      </c>
      <c r="D441" s="1" t="s">
        <v>124</v>
      </c>
      <c r="E441">
        <v>6</v>
      </c>
      <c r="F441" s="2">
        <v>45490</v>
      </c>
      <c r="G441" s="1" t="s">
        <v>1335</v>
      </c>
      <c r="H441" s="1" t="s">
        <v>1336</v>
      </c>
      <c r="I441" s="1" t="s">
        <v>41</v>
      </c>
      <c r="J441">
        <v>250000</v>
      </c>
      <c r="K441">
        <v>354000</v>
      </c>
      <c r="L441" s="1" t="s">
        <v>88</v>
      </c>
      <c r="M441" s="1" t="s">
        <v>10</v>
      </c>
      <c r="N441" s="1" t="s">
        <v>89</v>
      </c>
      <c r="O441">
        <v>2124000</v>
      </c>
      <c r="P441">
        <v>624000</v>
      </c>
      <c r="Q441">
        <v>29.38</v>
      </c>
    </row>
    <row r="442" spans="1:17" x14ac:dyDescent="0.35">
      <c r="A442" s="1" t="s">
        <v>961</v>
      </c>
      <c r="B442" s="1" t="s">
        <v>172</v>
      </c>
      <c r="C442" s="1" t="s">
        <v>39</v>
      </c>
      <c r="D442" s="1" t="s">
        <v>143</v>
      </c>
      <c r="E442">
        <v>8</v>
      </c>
      <c r="F442" s="2">
        <v>45333</v>
      </c>
      <c r="G442" s="1" t="s">
        <v>1340</v>
      </c>
      <c r="H442" s="1" t="s">
        <v>1330</v>
      </c>
      <c r="I442" s="1" t="s">
        <v>41</v>
      </c>
      <c r="J442">
        <v>950000</v>
      </c>
      <c r="K442">
        <v>1649000</v>
      </c>
      <c r="L442" s="1" t="s">
        <v>40</v>
      </c>
      <c r="M442" s="1" t="s">
        <v>23</v>
      </c>
      <c r="N442" s="1" t="s">
        <v>41</v>
      </c>
      <c r="O442">
        <v>13192000</v>
      </c>
      <c r="P442">
        <v>5592000</v>
      </c>
      <c r="Q442">
        <v>42.39</v>
      </c>
    </row>
    <row r="443" spans="1:17" x14ac:dyDescent="0.35">
      <c r="A443" s="1" t="s">
        <v>962</v>
      </c>
      <c r="B443" s="1" t="s">
        <v>113</v>
      </c>
      <c r="C443" s="1" t="s">
        <v>39</v>
      </c>
      <c r="D443" s="1" t="s">
        <v>171</v>
      </c>
      <c r="E443">
        <v>15</v>
      </c>
      <c r="F443" s="2">
        <v>45351</v>
      </c>
      <c r="G443" s="1" t="s">
        <v>1346</v>
      </c>
      <c r="H443" s="1" t="s">
        <v>1311</v>
      </c>
      <c r="I443" s="1" t="s">
        <v>1323</v>
      </c>
      <c r="J443">
        <v>4500000</v>
      </c>
      <c r="K443">
        <v>5522000</v>
      </c>
      <c r="L443" s="1" t="s">
        <v>40</v>
      </c>
      <c r="M443" s="1" t="s">
        <v>23</v>
      </c>
      <c r="N443" s="1" t="s">
        <v>41</v>
      </c>
      <c r="O443">
        <v>82830000</v>
      </c>
      <c r="P443">
        <v>15330000</v>
      </c>
      <c r="Q443">
        <v>18.510000000000002</v>
      </c>
    </row>
    <row r="444" spans="1:17" x14ac:dyDescent="0.35">
      <c r="A444" s="1" t="s">
        <v>964</v>
      </c>
      <c r="B444" s="1" t="s">
        <v>113</v>
      </c>
      <c r="C444" s="1" t="s">
        <v>21</v>
      </c>
      <c r="D444" s="1" t="s">
        <v>171</v>
      </c>
      <c r="E444">
        <v>15</v>
      </c>
      <c r="F444" s="2">
        <v>45384</v>
      </c>
      <c r="G444" s="1" t="s">
        <v>1346</v>
      </c>
      <c r="H444" s="1" t="s">
        <v>1311</v>
      </c>
      <c r="I444" s="1" t="s">
        <v>1323</v>
      </c>
      <c r="J444">
        <v>4500000</v>
      </c>
      <c r="K444">
        <v>5522000</v>
      </c>
      <c r="L444" s="1" t="s">
        <v>22</v>
      </c>
      <c r="M444" s="1" t="s">
        <v>23</v>
      </c>
      <c r="N444" s="1" t="s">
        <v>24</v>
      </c>
      <c r="O444">
        <v>82830000</v>
      </c>
      <c r="P444">
        <v>15330000</v>
      </c>
      <c r="Q444">
        <v>18.510000000000002</v>
      </c>
    </row>
    <row r="445" spans="1:17" x14ac:dyDescent="0.35">
      <c r="A445" s="1" t="s">
        <v>966</v>
      </c>
      <c r="B445" s="1" t="s">
        <v>168</v>
      </c>
      <c r="C445" s="1" t="s">
        <v>78</v>
      </c>
      <c r="D445" s="1" t="s">
        <v>157</v>
      </c>
      <c r="E445">
        <v>10</v>
      </c>
      <c r="F445" s="2">
        <v>45512</v>
      </c>
      <c r="G445" s="1" t="s">
        <v>1338</v>
      </c>
      <c r="H445" s="1" t="s">
        <v>1336</v>
      </c>
      <c r="I445" s="1" t="s">
        <v>41</v>
      </c>
      <c r="J445">
        <v>500000</v>
      </c>
      <c r="K445">
        <v>844000</v>
      </c>
      <c r="L445" s="1" t="s">
        <v>79</v>
      </c>
      <c r="M445" s="1" t="s">
        <v>10</v>
      </c>
      <c r="N445" s="1" t="s">
        <v>17</v>
      </c>
      <c r="O445">
        <v>8440000</v>
      </c>
      <c r="P445">
        <v>3440000</v>
      </c>
      <c r="Q445">
        <v>40.76</v>
      </c>
    </row>
    <row r="446" spans="1:17" x14ac:dyDescent="0.35">
      <c r="A446" s="1" t="s">
        <v>968</v>
      </c>
      <c r="B446" s="1" t="s">
        <v>172</v>
      </c>
      <c r="C446" s="1" t="s">
        <v>29</v>
      </c>
      <c r="D446" s="1" t="s">
        <v>128</v>
      </c>
      <c r="E446">
        <v>12</v>
      </c>
      <c r="F446" s="2">
        <v>45370</v>
      </c>
      <c r="G446" s="1" t="s">
        <v>1340</v>
      </c>
      <c r="H446" s="1" t="s">
        <v>1330</v>
      </c>
      <c r="I446" s="1" t="s">
        <v>41</v>
      </c>
      <c r="J446">
        <v>950000</v>
      </c>
      <c r="K446">
        <v>1649000</v>
      </c>
      <c r="L446" s="1" t="s">
        <v>30</v>
      </c>
      <c r="M446" s="1" t="s">
        <v>23</v>
      </c>
      <c r="N446" s="1" t="s">
        <v>31</v>
      </c>
      <c r="O446">
        <v>19788000</v>
      </c>
      <c r="P446">
        <v>8388000</v>
      </c>
      <c r="Q446">
        <v>42.39</v>
      </c>
    </row>
    <row r="447" spans="1:17" x14ac:dyDescent="0.35">
      <c r="A447" s="1" t="s">
        <v>970</v>
      </c>
      <c r="B447" s="1" t="s">
        <v>106</v>
      </c>
      <c r="C447" s="1" t="s">
        <v>69</v>
      </c>
      <c r="D447" s="1" t="s">
        <v>171</v>
      </c>
      <c r="E447">
        <v>6</v>
      </c>
      <c r="F447" s="2">
        <v>45446</v>
      </c>
      <c r="G447" s="1" t="s">
        <v>1348</v>
      </c>
      <c r="H447" s="1" t="s">
        <v>1317</v>
      </c>
      <c r="I447" s="1" t="s">
        <v>1323</v>
      </c>
      <c r="J447">
        <v>300000</v>
      </c>
      <c r="K447">
        <v>355000</v>
      </c>
      <c r="L447" s="1" t="s">
        <v>70</v>
      </c>
      <c r="M447" s="1" t="s">
        <v>10</v>
      </c>
      <c r="N447" s="1" t="s">
        <v>11</v>
      </c>
      <c r="O447">
        <v>2130000</v>
      </c>
      <c r="P447">
        <v>330000</v>
      </c>
      <c r="Q447">
        <v>15.49</v>
      </c>
    </row>
    <row r="448" spans="1:17" x14ac:dyDescent="0.35">
      <c r="A448" s="1" t="s">
        <v>972</v>
      </c>
      <c r="B448" s="1" t="s">
        <v>106</v>
      </c>
      <c r="C448" s="1" t="s">
        <v>15</v>
      </c>
      <c r="D448" s="1" t="s">
        <v>157</v>
      </c>
      <c r="E448">
        <v>12</v>
      </c>
      <c r="F448" s="2">
        <v>45590</v>
      </c>
      <c r="G448" s="1" t="s">
        <v>1348</v>
      </c>
      <c r="H448" s="1" t="s">
        <v>1317</v>
      </c>
      <c r="I448" s="1" t="s">
        <v>1323</v>
      </c>
      <c r="J448">
        <v>300000</v>
      </c>
      <c r="K448">
        <v>355000</v>
      </c>
      <c r="L448" s="1" t="s">
        <v>16</v>
      </c>
      <c r="M448" s="1" t="s">
        <v>10</v>
      </c>
      <c r="N448" s="1" t="s">
        <v>17</v>
      </c>
      <c r="O448">
        <v>4260000</v>
      </c>
      <c r="P448">
        <v>660000</v>
      </c>
      <c r="Q448">
        <v>15.49</v>
      </c>
    </row>
    <row r="449" spans="1:17" x14ac:dyDescent="0.35">
      <c r="A449" s="1" t="s">
        <v>974</v>
      </c>
      <c r="B449" s="1" t="s">
        <v>248</v>
      </c>
      <c r="C449" s="1" t="s">
        <v>29</v>
      </c>
      <c r="D449" s="1" t="s">
        <v>171</v>
      </c>
      <c r="E449">
        <v>15</v>
      </c>
      <c r="F449" s="2">
        <v>45521</v>
      </c>
      <c r="G449" s="1" t="s">
        <v>1335</v>
      </c>
      <c r="H449" s="1" t="s">
        <v>1336</v>
      </c>
      <c r="I449" s="1" t="s">
        <v>41</v>
      </c>
      <c r="J449">
        <v>250000</v>
      </c>
      <c r="K449">
        <v>354000</v>
      </c>
      <c r="L449" s="1" t="s">
        <v>30</v>
      </c>
      <c r="M449" s="1" t="s">
        <v>23</v>
      </c>
      <c r="N449" s="1" t="s">
        <v>31</v>
      </c>
      <c r="O449">
        <v>5310000</v>
      </c>
      <c r="P449">
        <v>1560000</v>
      </c>
      <c r="Q449">
        <v>29.38</v>
      </c>
    </row>
    <row r="450" spans="1:17" x14ac:dyDescent="0.35">
      <c r="A450" s="1" t="s">
        <v>976</v>
      </c>
      <c r="B450" s="1" t="s">
        <v>141</v>
      </c>
      <c r="C450" s="1" t="s">
        <v>51</v>
      </c>
      <c r="D450" s="1" t="s">
        <v>128</v>
      </c>
      <c r="E450">
        <v>5</v>
      </c>
      <c r="F450" s="2">
        <v>45619</v>
      </c>
      <c r="G450" s="1" t="s">
        <v>1355</v>
      </c>
      <c r="H450" s="1" t="s">
        <v>1330</v>
      </c>
      <c r="I450" s="1" t="s">
        <v>41</v>
      </c>
      <c r="J450">
        <v>400000</v>
      </c>
      <c r="K450">
        <v>623000</v>
      </c>
      <c r="L450" s="1" t="s">
        <v>52</v>
      </c>
      <c r="M450" s="1" t="s">
        <v>23</v>
      </c>
      <c r="N450" s="1" t="s">
        <v>53</v>
      </c>
      <c r="O450">
        <v>3115000</v>
      </c>
      <c r="P450">
        <v>1115000</v>
      </c>
      <c r="Q450">
        <v>35.79</v>
      </c>
    </row>
    <row r="451" spans="1:17" x14ac:dyDescent="0.35">
      <c r="A451" s="1" t="s">
        <v>978</v>
      </c>
      <c r="B451" s="1" t="s">
        <v>133</v>
      </c>
      <c r="C451" s="1" t="s">
        <v>69</v>
      </c>
      <c r="D451" s="1" t="s">
        <v>171</v>
      </c>
      <c r="E451">
        <v>6</v>
      </c>
      <c r="F451" s="2">
        <v>45320</v>
      </c>
      <c r="G451" s="1" t="s">
        <v>1354</v>
      </c>
      <c r="H451" s="1" t="s">
        <v>1330</v>
      </c>
      <c r="I451" s="1" t="s">
        <v>11</v>
      </c>
      <c r="J451">
        <v>2500000</v>
      </c>
      <c r="K451">
        <v>3080000</v>
      </c>
      <c r="L451" s="1" t="s">
        <v>70</v>
      </c>
      <c r="M451" s="1" t="s">
        <v>10</v>
      </c>
      <c r="N451" s="1" t="s">
        <v>11</v>
      </c>
      <c r="O451">
        <v>18480000</v>
      </c>
      <c r="P451">
        <v>3480000</v>
      </c>
      <c r="Q451">
        <v>18.829999999999998</v>
      </c>
    </row>
    <row r="452" spans="1:17" x14ac:dyDescent="0.35">
      <c r="A452" s="1" t="s">
        <v>979</v>
      </c>
      <c r="B452" s="1" t="s">
        <v>111</v>
      </c>
      <c r="C452" s="1" t="s">
        <v>21</v>
      </c>
      <c r="D452" s="1" t="s">
        <v>128</v>
      </c>
      <c r="E452">
        <v>15</v>
      </c>
      <c r="F452" s="2">
        <v>45349</v>
      </c>
      <c r="G452" s="1" t="s">
        <v>1344</v>
      </c>
      <c r="H452" s="1" t="s">
        <v>1311</v>
      </c>
      <c r="I452" s="1" t="s">
        <v>1323</v>
      </c>
      <c r="J452">
        <v>18000000</v>
      </c>
      <c r="K452">
        <v>27603000</v>
      </c>
      <c r="L452" s="1" t="s">
        <v>22</v>
      </c>
      <c r="M452" s="1" t="s">
        <v>23</v>
      </c>
      <c r="N452" s="1" t="s">
        <v>24</v>
      </c>
      <c r="O452">
        <v>414045000</v>
      </c>
      <c r="P452">
        <v>144045000</v>
      </c>
      <c r="Q452">
        <v>34.79</v>
      </c>
    </row>
    <row r="453" spans="1:17" x14ac:dyDescent="0.35">
      <c r="A453" s="1" t="s">
        <v>981</v>
      </c>
      <c r="B453" s="1" t="s">
        <v>109</v>
      </c>
      <c r="C453" s="1" t="s">
        <v>69</v>
      </c>
      <c r="D453" s="1" t="s">
        <v>121</v>
      </c>
      <c r="E453">
        <v>12</v>
      </c>
      <c r="F453" s="2">
        <v>45371</v>
      </c>
      <c r="G453" s="1" t="s">
        <v>1357</v>
      </c>
      <c r="H453" s="1" t="s">
        <v>1358</v>
      </c>
      <c r="I453" s="1" t="s">
        <v>41</v>
      </c>
      <c r="J453">
        <v>2000000</v>
      </c>
      <c r="K453">
        <v>3382000</v>
      </c>
      <c r="L453" s="1" t="s">
        <v>70</v>
      </c>
      <c r="M453" s="1" t="s">
        <v>10</v>
      </c>
      <c r="N453" s="1" t="s">
        <v>11</v>
      </c>
      <c r="O453">
        <v>40584000</v>
      </c>
      <c r="P453">
        <v>16584000</v>
      </c>
      <c r="Q453">
        <v>40.86</v>
      </c>
    </row>
    <row r="454" spans="1:17" x14ac:dyDescent="0.35">
      <c r="A454" s="1" t="s">
        <v>983</v>
      </c>
      <c r="B454" s="1" t="s">
        <v>191</v>
      </c>
      <c r="C454" s="1" t="s">
        <v>73</v>
      </c>
      <c r="D454" s="1" t="s">
        <v>157</v>
      </c>
      <c r="E454">
        <v>4</v>
      </c>
      <c r="F454" s="2">
        <v>45544</v>
      </c>
      <c r="G454" s="1" t="s">
        <v>1310</v>
      </c>
      <c r="H454" s="1" t="s">
        <v>1311</v>
      </c>
      <c r="I454" s="1" t="s">
        <v>11</v>
      </c>
      <c r="J454">
        <v>12000000</v>
      </c>
      <c r="K454">
        <v>13963000</v>
      </c>
      <c r="L454" s="1" t="s">
        <v>74</v>
      </c>
      <c r="M454" s="1" t="s">
        <v>23</v>
      </c>
      <c r="N454" s="1" t="s">
        <v>75</v>
      </c>
      <c r="O454">
        <v>55852000</v>
      </c>
      <c r="P454">
        <v>7852000</v>
      </c>
      <c r="Q454">
        <v>14.06</v>
      </c>
    </row>
    <row r="455" spans="1:17" x14ac:dyDescent="0.35">
      <c r="A455" s="1" t="s">
        <v>985</v>
      </c>
      <c r="B455" s="1" t="s">
        <v>106</v>
      </c>
      <c r="C455" s="1" t="s">
        <v>39</v>
      </c>
      <c r="D455" s="1" t="s">
        <v>128</v>
      </c>
      <c r="E455">
        <v>9</v>
      </c>
      <c r="F455" s="2">
        <v>45460</v>
      </c>
      <c r="G455" s="1" t="s">
        <v>1348</v>
      </c>
      <c r="H455" s="1" t="s">
        <v>1317</v>
      </c>
      <c r="I455" s="1" t="s">
        <v>1323</v>
      </c>
      <c r="J455">
        <v>300000</v>
      </c>
      <c r="K455">
        <v>355000</v>
      </c>
      <c r="L455" s="1" t="s">
        <v>40</v>
      </c>
      <c r="M455" s="1" t="s">
        <v>23</v>
      </c>
      <c r="N455" s="1" t="s">
        <v>41</v>
      </c>
      <c r="O455">
        <v>3195000</v>
      </c>
      <c r="P455">
        <v>495000</v>
      </c>
      <c r="Q455">
        <v>15.49</v>
      </c>
    </row>
    <row r="456" spans="1:17" x14ac:dyDescent="0.35">
      <c r="A456" s="1" t="s">
        <v>987</v>
      </c>
      <c r="B456" s="1" t="s">
        <v>176</v>
      </c>
      <c r="C456" s="1" t="s">
        <v>69</v>
      </c>
      <c r="D456" s="1" t="s">
        <v>143</v>
      </c>
      <c r="E456">
        <v>10</v>
      </c>
      <c r="F456" s="2">
        <v>45361</v>
      </c>
      <c r="G456" s="1" t="s">
        <v>1329</v>
      </c>
      <c r="H456" s="1" t="s">
        <v>1330</v>
      </c>
      <c r="I456" s="1" t="s">
        <v>1323</v>
      </c>
      <c r="J456">
        <v>1500000</v>
      </c>
      <c r="K456">
        <v>1772000</v>
      </c>
      <c r="L456" s="1" t="s">
        <v>70</v>
      </c>
      <c r="M456" s="1" t="s">
        <v>10</v>
      </c>
      <c r="N456" s="1" t="s">
        <v>11</v>
      </c>
      <c r="O456">
        <v>17720000</v>
      </c>
      <c r="P456">
        <v>2720000</v>
      </c>
      <c r="Q456">
        <v>15.35</v>
      </c>
    </row>
    <row r="457" spans="1:17" x14ac:dyDescent="0.35">
      <c r="A457" s="1" t="s">
        <v>989</v>
      </c>
      <c r="B457" s="1" t="s">
        <v>172</v>
      </c>
      <c r="C457" s="1" t="s">
        <v>15</v>
      </c>
      <c r="D457" s="1" t="s">
        <v>124</v>
      </c>
      <c r="E457">
        <v>10</v>
      </c>
      <c r="F457" s="2">
        <v>45432</v>
      </c>
      <c r="G457" s="1" t="s">
        <v>1340</v>
      </c>
      <c r="H457" s="1" t="s">
        <v>1330</v>
      </c>
      <c r="I457" s="1" t="s">
        <v>41</v>
      </c>
      <c r="J457">
        <v>950000</v>
      </c>
      <c r="K457">
        <v>1649000</v>
      </c>
      <c r="L457" s="1" t="s">
        <v>16</v>
      </c>
      <c r="M457" s="1" t="s">
        <v>10</v>
      </c>
      <c r="N457" s="1" t="s">
        <v>17</v>
      </c>
      <c r="O457">
        <v>16490000</v>
      </c>
      <c r="P457">
        <v>6990000</v>
      </c>
      <c r="Q457">
        <v>42.39</v>
      </c>
    </row>
    <row r="458" spans="1:17" x14ac:dyDescent="0.35">
      <c r="A458" s="1" t="s">
        <v>991</v>
      </c>
      <c r="B458" s="1" t="s">
        <v>116</v>
      </c>
      <c r="C458" s="1" t="s">
        <v>82</v>
      </c>
      <c r="D458" s="1" t="s">
        <v>171</v>
      </c>
      <c r="E458">
        <v>8</v>
      </c>
      <c r="F458" s="2">
        <v>45619</v>
      </c>
      <c r="G458" s="1" t="s">
        <v>1352</v>
      </c>
      <c r="H458" s="1" t="s">
        <v>1330</v>
      </c>
      <c r="I458" s="1" t="s">
        <v>1323</v>
      </c>
      <c r="J458">
        <v>5000000</v>
      </c>
      <c r="K458">
        <v>7546000</v>
      </c>
      <c r="L458" s="1" t="s">
        <v>83</v>
      </c>
      <c r="M458" s="1" t="s">
        <v>23</v>
      </c>
      <c r="N458" s="1" t="s">
        <v>84</v>
      </c>
      <c r="O458">
        <v>60368000</v>
      </c>
      <c r="P458">
        <v>20368000</v>
      </c>
      <c r="Q458">
        <v>33.74</v>
      </c>
    </row>
    <row r="459" spans="1:17" x14ac:dyDescent="0.35">
      <c r="A459" s="1" t="s">
        <v>993</v>
      </c>
      <c r="B459" s="1" t="s">
        <v>191</v>
      </c>
      <c r="C459" s="1" t="s">
        <v>45</v>
      </c>
      <c r="D459" s="1" t="s">
        <v>128</v>
      </c>
      <c r="E459">
        <v>2</v>
      </c>
      <c r="F459" s="2">
        <v>45370</v>
      </c>
      <c r="G459" s="1" t="s">
        <v>1310</v>
      </c>
      <c r="H459" s="1" t="s">
        <v>1311</v>
      </c>
      <c r="I459" s="1" t="s">
        <v>11</v>
      </c>
      <c r="J459">
        <v>12000000</v>
      </c>
      <c r="K459">
        <v>13963000</v>
      </c>
      <c r="L459" s="1" t="s">
        <v>46</v>
      </c>
      <c r="M459" s="1" t="s">
        <v>10</v>
      </c>
      <c r="N459" s="1" t="s">
        <v>47</v>
      </c>
      <c r="O459">
        <v>27926000</v>
      </c>
      <c r="P459">
        <v>3926000</v>
      </c>
      <c r="Q459">
        <v>14.06</v>
      </c>
    </row>
    <row r="460" spans="1:17" x14ac:dyDescent="0.35">
      <c r="A460" s="1" t="s">
        <v>995</v>
      </c>
      <c r="B460" s="1" t="s">
        <v>176</v>
      </c>
      <c r="C460" s="1" t="s">
        <v>82</v>
      </c>
      <c r="D460" s="1" t="s">
        <v>128</v>
      </c>
      <c r="E460">
        <v>6</v>
      </c>
      <c r="F460" s="2">
        <v>45399</v>
      </c>
      <c r="G460" s="1" t="s">
        <v>1329</v>
      </c>
      <c r="H460" s="1" t="s">
        <v>1330</v>
      </c>
      <c r="I460" s="1" t="s">
        <v>1323</v>
      </c>
      <c r="J460">
        <v>1500000</v>
      </c>
      <c r="K460">
        <v>1772000</v>
      </c>
      <c r="L460" s="1" t="s">
        <v>83</v>
      </c>
      <c r="M460" s="1" t="s">
        <v>23</v>
      </c>
      <c r="N460" s="1" t="s">
        <v>84</v>
      </c>
      <c r="O460">
        <v>10632000</v>
      </c>
      <c r="P460">
        <v>1632000</v>
      </c>
      <c r="Q460">
        <v>15.35</v>
      </c>
    </row>
    <row r="461" spans="1:17" x14ac:dyDescent="0.35">
      <c r="A461" s="1" t="s">
        <v>997</v>
      </c>
      <c r="B461" s="1" t="s">
        <v>133</v>
      </c>
      <c r="C461" s="1" t="s">
        <v>57</v>
      </c>
      <c r="D461" s="1" t="s">
        <v>124</v>
      </c>
      <c r="E461">
        <v>9</v>
      </c>
      <c r="F461" s="2">
        <v>45365</v>
      </c>
      <c r="G461" s="1" t="s">
        <v>1354</v>
      </c>
      <c r="H461" s="1" t="s">
        <v>1330</v>
      </c>
      <c r="I461" s="1" t="s">
        <v>11</v>
      </c>
      <c r="J461">
        <v>2500000</v>
      </c>
      <c r="K461">
        <v>3080000</v>
      </c>
      <c r="L461" s="1" t="s">
        <v>58</v>
      </c>
      <c r="M461" s="1" t="s">
        <v>10</v>
      </c>
      <c r="N461" s="1" t="s">
        <v>59</v>
      </c>
      <c r="O461">
        <v>27720000</v>
      </c>
      <c r="P461">
        <v>5220000</v>
      </c>
      <c r="Q461">
        <v>18.829999999999998</v>
      </c>
    </row>
    <row r="462" spans="1:17" x14ac:dyDescent="0.35">
      <c r="A462" s="1" t="s">
        <v>999</v>
      </c>
      <c r="B462" s="1" t="s">
        <v>168</v>
      </c>
      <c r="C462" s="1" t="s">
        <v>35</v>
      </c>
      <c r="D462" s="1" t="s">
        <v>124</v>
      </c>
      <c r="E462">
        <v>8</v>
      </c>
      <c r="F462" s="2">
        <v>45621</v>
      </c>
      <c r="G462" s="1" t="s">
        <v>1338</v>
      </c>
      <c r="H462" s="1" t="s">
        <v>1336</v>
      </c>
      <c r="I462" s="1" t="s">
        <v>41</v>
      </c>
      <c r="J462">
        <v>500000</v>
      </c>
      <c r="K462">
        <v>844000</v>
      </c>
      <c r="L462" s="1" t="s">
        <v>36</v>
      </c>
      <c r="M462" s="1" t="s">
        <v>10</v>
      </c>
      <c r="N462" s="1" t="s">
        <v>11</v>
      </c>
      <c r="O462">
        <v>6752000</v>
      </c>
      <c r="P462">
        <v>2752000</v>
      </c>
      <c r="Q462">
        <v>40.76</v>
      </c>
    </row>
    <row r="463" spans="1:17" x14ac:dyDescent="0.35">
      <c r="A463" s="1" t="s">
        <v>1001</v>
      </c>
      <c r="B463" s="1" t="s">
        <v>137</v>
      </c>
      <c r="C463" s="1" t="s">
        <v>63</v>
      </c>
      <c r="D463" s="1" t="s">
        <v>128</v>
      </c>
      <c r="E463">
        <v>14</v>
      </c>
      <c r="F463" s="2">
        <v>45325</v>
      </c>
      <c r="G463" s="1" t="s">
        <v>1324</v>
      </c>
      <c r="H463" s="1" t="s">
        <v>1311</v>
      </c>
      <c r="I463" s="1" t="s">
        <v>11</v>
      </c>
      <c r="J463">
        <v>2000000</v>
      </c>
      <c r="K463">
        <v>2533000</v>
      </c>
      <c r="L463" s="1" t="s">
        <v>64</v>
      </c>
      <c r="M463" s="1" t="s">
        <v>23</v>
      </c>
      <c r="N463" s="1" t="s">
        <v>65</v>
      </c>
      <c r="O463">
        <v>35462000</v>
      </c>
      <c r="P463">
        <v>7462000</v>
      </c>
      <c r="Q463">
        <v>21.04</v>
      </c>
    </row>
    <row r="464" spans="1:17" x14ac:dyDescent="0.35">
      <c r="A464" s="1" t="s">
        <v>1003</v>
      </c>
      <c r="B464" s="1" t="s">
        <v>149</v>
      </c>
      <c r="C464" s="1" t="s">
        <v>57</v>
      </c>
      <c r="D464" s="1" t="s">
        <v>157</v>
      </c>
      <c r="E464">
        <v>12</v>
      </c>
      <c r="F464" s="2">
        <v>45453</v>
      </c>
      <c r="G464" s="1" t="s">
        <v>1316</v>
      </c>
      <c r="H464" s="1" t="s">
        <v>1317</v>
      </c>
      <c r="I464" s="1" t="s">
        <v>41</v>
      </c>
      <c r="J464">
        <v>100000</v>
      </c>
      <c r="K464">
        <v>169000</v>
      </c>
      <c r="L464" s="1" t="s">
        <v>58</v>
      </c>
      <c r="M464" s="1" t="s">
        <v>10</v>
      </c>
      <c r="N464" s="1" t="s">
        <v>59</v>
      </c>
      <c r="O464">
        <v>2028000</v>
      </c>
      <c r="P464">
        <v>828000</v>
      </c>
      <c r="Q464">
        <v>40.83</v>
      </c>
    </row>
    <row r="465" spans="1:17" x14ac:dyDescent="0.35">
      <c r="A465" s="1" t="s">
        <v>1005</v>
      </c>
      <c r="B465" s="1" t="s">
        <v>191</v>
      </c>
      <c r="C465" s="1" t="s">
        <v>87</v>
      </c>
      <c r="D465" s="1" t="s">
        <v>143</v>
      </c>
      <c r="E465">
        <v>1</v>
      </c>
      <c r="F465" s="2">
        <v>45415</v>
      </c>
      <c r="G465" s="1" t="s">
        <v>1310</v>
      </c>
      <c r="H465" s="1" t="s">
        <v>1311</v>
      </c>
      <c r="I465" s="1" t="s">
        <v>11</v>
      </c>
      <c r="J465">
        <v>12000000</v>
      </c>
      <c r="K465">
        <v>13963000</v>
      </c>
      <c r="L465" s="1" t="s">
        <v>88</v>
      </c>
      <c r="M465" s="1" t="s">
        <v>10</v>
      </c>
      <c r="N465" s="1" t="s">
        <v>89</v>
      </c>
      <c r="O465">
        <v>13963000</v>
      </c>
      <c r="P465">
        <v>1963000</v>
      </c>
      <c r="Q465">
        <v>14.06</v>
      </c>
    </row>
    <row r="466" spans="1:17" x14ac:dyDescent="0.35">
      <c r="A466" s="1" t="s">
        <v>1007</v>
      </c>
      <c r="B466" s="1" t="s">
        <v>111</v>
      </c>
      <c r="C466" s="1" t="s">
        <v>15</v>
      </c>
      <c r="D466" s="1" t="s">
        <v>157</v>
      </c>
      <c r="E466">
        <v>5</v>
      </c>
      <c r="F466" s="2">
        <v>45477</v>
      </c>
      <c r="G466" s="1" t="s">
        <v>1344</v>
      </c>
      <c r="H466" s="1" t="s">
        <v>1311</v>
      </c>
      <c r="I466" s="1" t="s">
        <v>1323</v>
      </c>
      <c r="J466">
        <v>18000000</v>
      </c>
      <c r="K466">
        <v>27603000</v>
      </c>
      <c r="L466" s="1" t="s">
        <v>16</v>
      </c>
      <c r="M466" s="1" t="s">
        <v>10</v>
      </c>
      <c r="N466" s="1" t="s">
        <v>17</v>
      </c>
      <c r="O466">
        <v>138015000</v>
      </c>
      <c r="P466">
        <v>48015000</v>
      </c>
      <c r="Q466">
        <v>34.79</v>
      </c>
    </row>
    <row r="467" spans="1:17" x14ac:dyDescent="0.35">
      <c r="A467" s="1" t="s">
        <v>1009</v>
      </c>
      <c r="B467" s="1" t="s">
        <v>116</v>
      </c>
      <c r="C467" s="1" t="s">
        <v>82</v>
      </c>
      <c r="D467" s="1" t="s">
        <v>128</v>
      </c>
      <c r="E467">
        <v>13</v>
      </c>
      <c r="F467" s="2">
        <v>45581</v>
      </c>
      <c r="G467" s="1" t="s">
        <v>1352</v>
      </c>
      <c r="H467" s="1" t="s">
        <v>1330</v>
      </c>
      <c r="I467" s="1" t="s">
        <v>1323</v>
      </c>
      <c r="J467">
        <v>5000000</v>
      </c>
      <c r="K467">
        <v>7546000</v>
      </c>
      <c r="L467" s="1" t="s">
        <v>83</v>
      </c>
      <c r="M467" s="1" t="s">
        <v>23</v>
      </c>
      <c r="N467" s="1" t="s">
        <v>84</v>
      </c>
      <c r="O467">
        <v>98098000</v>
      </c>
      <c r="P467">
        <v>33098000</v>
      </c>
      <c r="Q467">
        <v>33.74</v>
      </c>
    </row>
    <row r="468" spans="1:17" x14ac:dyDescent="0.35">
      <c r="A468" s="1" t="s">
        <v>1011</v>
      </c>
      <c r="B468" s="1" t="s">
        <v>164</v>
      </c>
      <c r="C468" s="1" t="s">
        <v>15</v>
      </c>
      <c r="D468" s="1" t="s">
        <v>143</v>
      </c>
      <c r="E468">
        <v>5</v>
      </c>
      <c r="F468" s="2">
        <v>45486</v>
      </c>
      <c r="G468" s="1" t="s">
        <v>1332</v>
      </c>
      <c r="H468" s="1" t="s">
        <v>1330</v>
      </c>
      <c r="I468" s="1" t="s">
        <v>11</v>
      </c>
      <c r="J468">
        <v>750000</v>
      </c>
      <c r="K468">
        <v>971000</v>
      </c>
      <c r="L468" s="1" t="s">
        <v>16</v>
      </c>
      <c r="M468" s="1" t="s">
        <v>10</v>
      </c>
      <c r="N468" s="1" t="s">
        <v>17</v>
      </c>
      <c r="O468">
        <v>4855000</v>
      </c>
      <c r="P468">
        <v>1105000</v>
      </c>
      <c r="Q468">
        <v>22.76</v>
      </c>
    </row>
    <row r="469" spans="1:17" x14ac:dyDescent="0.35">
      <c r="A469" s="1" t="s">
        <v>1013</v>
      </c>
      <c r="B469" s="1" t="s">
        <v>172</v>
      </c>
      <c r="C469" s="1" t="s">
        <v>15</v>
      </c>
      <c r="D469" s="1" t="s">
        <v>157</v>
      </c>
      <c r="E469">
        <v>5</v>
      </c>
      <c r="F469" s="2">
        <v>45323</v>
      </c>
      <c r="G469" s="1" t="s">
        <v>1340</v>
      </c>
      <c r="H469" s="1" t="s">
        <v>1330</v>
      </c>
      <c r="I469" s="1" t="s">
        <v>41</v>
      </c>
      <c r="J469">
        <v>950000</v>
      </c>
      <c r="K469">
        <v>1649000</v>
      </c>
      <c r="L469" s="1" t="s">
        <v>16</v>
      </c>
      <c r="M469" s="1" t="s">
        <v>10</v>
      </c>
      <c r="N469" s="1" t="s">
        <v>17</v>
      </c>
      <c r="O469">
        <v>8245000</v>
      </c>
      <c r="P469">
        <v>3495000</v>
      </c>
      <c r="Q469">
        <v>42.39</v>
      </c>
    </row>
    <row r="470" spans="1:17" x14ac:dyDescent="0.35">
      <c r="A470" s="1" t="s">
        <v>1014</v>
      </c>
      <c r="B470" s="1" t="s">
        <v>240</v>
      </c>
      <c r="C470" s="1" t="s">
        <v>73</v>
      </c>
      <c r="D470" s="1" t="s">
        <v>171</v>
      </c>
      <c r="E470">
        <v>1</v>
      </c>
      <c r="F470" s="2">
        <v>45439</v>
      </c>
      <c r="G470" s="1" t="s">
        <v>1326</v>
      </c>
      <c r="H470" s="1" t="s">
        <v>1317</v>
      </c>
      <c r="I470" s="1" t="s">
        <v>41</v>
      </c>
      <c r="J470">
        <v>350000</v>
      </c>
      <c r="K470">
        <v>626000</v>
      </c>
      <c r="L470" s="1" t="s">
        <v>74</v>
      </c>
      <c r="M470" s="1" t="s">
        <v>23</v>
      </c>
      <c r="N470" s="1" t="s">
        <v>75</v>
      </c>
      <c r="O470">
        <v>626000</v>
      </c>
      <c r="P470">
        <v>276000</v>
      </c>
      <c r="Q470">
        <v>44.09</v>
      </c>
    </row>
    <row r="471" spans="1:17" x14ac:dyDescent="0.35">
      <c r="A471" s="1" t="s">
        <v>1016</v>
      </c>
      <c r="B471" s="1" t="s">
        <v>109</v>
      </c>
      <c r="C471" s="1" t="s">
        <v>8</v>
      </c>
      <c r="D471" s="1" t="s">
        <v>157</v>
      </c>
      <c r="E471">
        <v>7</v>
      </c>
      <c r="F471" s="2">
        <v>45615</v>
      </c>
      <c r="G471" s="1" t="s">
        <v>1357</v>
      </c>
      <c r="H471" s="1" t="s">
        <v>1358</v>
      </c>
      <c r="I471" s="1" t="s">
        <v>41</v>
      </c>
      <c r="J471">
        <v>2000000</v>
      </c>
      <c r="K471">
        <v>3382000</v>
      </c>
      <c r="L471" s="1" t="s">
        <v>9</v>
      </c>
      <c r="M471" s="1" t="s">
        <v>10</v>
      </c>
      <c r="N471" s="1" t="s">
        <v>11</v>
      </c>
      <c r="O471">
        <v>23674000</v>
      </c>
      <c r="P471">
        <v>9674000</v>
      </c>
      <c r="Q471">
        <v>40.86</v>
      </c>
    </row>
    <row r="472" spans="1:17" x14ac:dyDescent="0.35">
      <c r="A472" s="1" t="s">
        <v>1018</v>
      </c>
      <c r="B472" s="1" t="s">
        <v>197</v>
      </c>
      <c r="C472" s="1" t="s">
        <v>63</v>
      </c>
      <c r="D472" s="1" t="s">
        <v>121</v>
      </c>
      <c r="E472">
        <v>15</v>
      </c>
      <c r="F472" s="2">
        <v>45303</v>
      </c>
      <c r="G472" s="1" t="s">
        <v>1350</v>
      </c>
      <c r="H472" s="1" t="s">
        <v>1336</v>
      </c>
      <c r="I472" s="1" t="s">
        <v>11</v>
      </c>
      <c r="J472">
        <v>1200000</v>
      </c>
      <c r="K472">
        <v>1375000</v>
      </c>
      <c r="L472" s="1" t="s">
        <v>64</v>
      </c>
      <c r="M472" s="1" t="s">
        <v>23</v>
      </c>
      <c r="N472" s="1" t="s">
        <v>65</v>
      </c>
      <c r="O472">
        <v>20625000</v>
      </c>
      <c r="P472">
        <v>2625000</v>
      </c>
      <c r="Q472">
        <v>12.73</v>
      </c>
    </row>
    <row r="473" spans="1:17" x14ac:dyDescent="0.35">
      <c r="A473" s="1" t="s">
        <v>1020</v>
      </c>
      <c r="B473" s="1" t="s">
        <v>111</v>
      </c>
      <c r="C473" s="1" t="s">
        <v>35</v>
      </c>
      <c r="D473" s="1" t="s">
        <v>124</v>
      </c>
      <c r="E473">
        <v>5</v>
      </c>
      <c r="F473" s="2">
        <v>45326</v>
      </c>
      <c r="G473" s="1" t="s">
        <v>1344</v>
      </c>
      <c r="H473" s="1" t="s">
        <v>1311</v>
      </c>
      <c r="I473" s="1" t="s">
        <v>1323</v>
      </c>
      <c r="J473">
        <v>18000000</v>
      </c>
      <c r="K473">
        <v>27603000</v>
      </c>
      <c r="L473" s="1" t="s">
        <v>36</v>
      </c>
      <c r="M473" s="1" t="s">
        <v>10</v>
      </c>
      <c r="N473" s="1" t="s">
        <v>11</v>
      </c>
      <c r="O473">
        <v>138015000</v>
      </c>
      <c r="P473">
        <v>48015000</v>
      </c>
      <c r="Q473">
        <v>34.79</v>
      </c>
    </row>
    <row r="474" spans="1:17" x14ac:dyDescent="0.35">
      <c r="A474" s="1" t="s">
        <v>1022</v>
      </c>
      <c r="B474" s="1" t="s">
        <v>109</v>
      </c>
      <c r="C474" s="1" t="s">
        <v>57</v>
      </c>
      <c r="D474" s="1" t="s">
        <v>124</v>
      </c>
      <c r="E474">
        <v>6</v>
      </c>
      <c r="F474" s="2">
        <v>45555</v>
      </c>
      <c r="G474" s="1" t="s">
        <v>1357</v>
      </c>
      <c r="H474" s="1" t="s">
        <v>1358</v>
      </c>
      <c r="I474" s="1" t="s">
        <v>41</v>
      </c>
      <c r="J474">
        <v>2000000</v>
      </c>
      <c r="K474">
        <v>3382000</v>
      </c>
      <c r="L474" s="1" t="s">
        <v>58</v>
      </c>
      <c r="M474" s="1" t="s">
        <v>10</v>
      </c>
      <c r="N474" s="1" t="s">
        <v>59</v>
      </c>
      <c r="O474">
        <v>20292000</v>
      </c>
      <c r="P474">
        <v>8292000</v>
      </c>
      <c r="Q474">
        <v>40.86</v>
      </c>
    </row>
    <row r="475" spans="1:17" x14ac:dyDescent="0.35">
      <c r="A475" s="1" t="s">
        <v>1024</v>
      </c>
      <c r="B475" s="1" t="s">
        <v>149</v>
      </c>
      <c r="C475" s="1" t="s">
        <v>63</v>
      </c>
      <c r="D475" s="1" t="s">
        <v>157</v>
      </c>
      <c r="E475">
        <v>3</v>
      </c>
      <c r="F475" s="2">
        <v>45614</v>
      </c>
      <c r="G475" s="1" t="s">
        <v>1316</v>
      </c>
      <c r="H475" s="1" t="s">
        <v>1317</v>
      </c>
      <c r="I475" s="1" t="s">
        <v>41</v>
      </c>
      <c r="J475">
        <v>100000</v>
      </c>
      <c r="K475">
        <v>169000</v>
      </c>
      <c r="L475" s="1" t="s">
        <v>64</v>
      </c>
      <c r="M475" s="1" t="s">
        <v>23</v>
      </c>
      <c r="N475" s="1" t="s">
        <v>65</v>
      </c>
      <c r="O475">
        <v>507000</v>
      </c>
      <c r="P475">
        <v>207000</v>
      </c>
      <c r="Q475">
        <v>40.83</v>
      </c>
    </row>
    <row r="476" spans="1:17" x14ac:dyDescent="0.35">
      <c r="A476" s="1" t="s">
        <v>1026</v>
      </c>
      <c r="B476" s="1" t="s">
        <v>168</v>
      </c>
      <c r="C476" s="1" t="s">
        <v>69</v>
      </c>
      <c r="D476" s="1" t="s">
        <v>124</v>
      </c>
      <c r="E476">
        <v>3</v>
      </c>
      <c r="F476" s="2">
        <v>45430</v>
      </c>
      <c r="G476" s="1" t="s">
        <v>1338</v>
      </c>
      <c r="H476" s="1" t="s">
        <v>1336</v>
      </c>
      <c r="I476" s="1" t="s">
        <v>41</v>
      </c>
      <c r="J476">
        <v>500000</v>
      </c>
      <c r="K476">
        <v>844000</v>
      </c>
      <c r="L476" s="1" t="s">
        <v>70</v>
      </c>
      <c r="M476" s="1" t="s">
        <v>10</v>
      </c>
      <c r="N476" s="1" t="s">
        <v>11</v>
      </c>
      <c r="O476">
        <v>2532000</v>
      </c>
      <c r="P476">
        <v>1032000</v>
      </c>
      <c r="Q476">
        <v>40.76</v>
      </c>
    </row>
    <row r="477" spans="1:17" x14ac:dyDescent="0.35">
      <c r="A477" s="1" t="s">
        <v>1028</v>
      </c>
      <c r="B477" s="1" t="s">
        <v>197</v>
      </c>
      <c r="C477" s="1" t="s">
        <v>21</v>
      </c>
      <c r="D477" s="1" t="s">
        <v>157</v>
      </c>
      <c r="E477">
        <v>1</v>
      </c>
      <c r="F477" s="2">
        <v>45439</v>
      </c>
      <c r="G477" s="1" t="s">
        <v>1350</v>
      </c>
      <c r="H477" s="1" t="s">
        <v>1336</v>
      </c>
      <c r="I477" s="1" t="s">
        <v>11</v>
      </c>
      <c r="J477">
        <v>1200000</v>
      </c>
      <c r="K477">
        <v>1375000</v>
      </c>
      <c r="L477" s="1" t="s">
        <v>22</v>
      </c>
      <c r="M477" s="1" t="s">
        <v>23</v>
      </c>
      <c r="N477" s="1" t="s">
        <v>24</v>
      </c>
      <c r="O477">
        <v>1375000</v>
      </c>
      <c r="P477">
        <v>175000</v>
      </c>
      <c r="Q477">
        <v>12.73</v>
      </c>
    </row>
    <row r="478" spans="1:17" x14ac:dyDescent="0.35">
      <c r="A478" s="1" t="s">
        <v>1030</v>
      </c>
      <c r="B478" s="1" t="s">
        <v>137</v>
      </c>
      <c r="C478" s="1" t="s">
        <v>39</v>
      </c>
      <c r="D478" s="1" t="s">
        <v>128</v>
      </c>
      <c r="E478">
        <v>15</v>
      </c>
      <c r="F478" s="2">
        <v>45637</v>
      </c>
      <c r="G478" s="1" t="s">
        <v>1324</v>
      </c>
      <c r="H478" s="1" t="s">
        <v>1311</v>
      </c>
      <c r="I478" s="1" t="s">
        <v>11</v>
      </c>
      <c r="J478">
        <v>2000000</v>
      </c>
      <c r="K478">
        <v>2533000</v>
      </c>
      <c r="L478" s="1" t="s">
        <v>40</v>
      </c>
      <c r="M478" s="1" t="s">
        <v>23</v>
      </c>
      <c r="N478" s="1" t="s">
        <v>41</v>
      </c>
      <c r="O478">
        <v>37995000</v>
      </c>
      <c r="P478">
        <v>7995000</v>
      </c>
      <c r="Q478">
        <v>21.04</v>
      </c>
    </row>
    <row r="479" spans="1:17" x14ac:dyDescent="0.35">
      <c r="A479" s="1" t="s">
        <v>1032</v>
      </c>
      <c r="B479" s="1" t="s">
        <v>272</v>
      </c>
      <c r="C479" s="1" t="s">
        <v>15</v>
      </c>
      <c r="D479" s="1" t="s">
        <v>171</v>
      </c>
      <c r="E479">
        <v>5</v>
      </c>
      <c r="F479" s="2">
        <v>45644</v>
      </c>
      <c r="G479" s="1" t="s">
        <v>1320</v>
      </c>
      <c r="H479" s="1" t="s">
        <v>1317</v>
      </c>
      <c r="I479" s="1" t="s">
        <v>1323</v>
      </c>
      <c r="J479">
        <v>650000</v>
      </c>
      <c r="K479">
        <v>741000</v>
      </c>
      <c r="L479" s="1" t="s">
        <v>16</v>
      </c>
      <c r="M479" s="1" t="s">
        <v>10</v>
      </c>
      <c r="N479" s="1" t="s">
        <v>17</v>
      </c>
      <c r="O479">
        <v>3705000</v>
      </c>
      <c r="P479">
        <v>455000</v>
      </c>
      <c r="Q479">
        <v>12.28</v>
      </c>
    </row>
    <row r="480" spans="1:17" x14ac:dyDescent="0.35">
      <c r="A480" s="1" t="s">
        <v>1034</v>
      </c>
      <c r="B480" s="1" t="s">
        <v>137</v>
      </c>
      <c r="C480" s="1" t="s">
        <v>51</v>
      </c>
      <c r="D480" s="1" t="s">
        <v>171</v>
      </c>
      <c r="E480">
        <v>3</v>
      </c>
      <c r="F480" s="2">
        <v>45368</v>
      </c>
      <c r="G480" s="1" t="s">
        <v>1324</v>
      </c>
      <c r="H480" s="1" t="s">
        <v>1311</v>
      </c>
      <c r="I480" s="1" t="s">
        <v>11</v>
      </c>
      <c r="J480">
        <v>2000000</v>
      </c>
      <c r="K480">
        <v>2533000</v>
      </c>
      <c r="L480" s="1" t="s">
        <v>52</v>
      </c>
      <c r="M480" s="1" t="s">
        <v>23</v>
      </c>
      <c r="N480" s="1" t="s">
        <v>53</v>
      </c>
      <c r="O480">
        <v>7599000</v>
      </c>
      <c r="P480">
        <v>1599000</v>
      </c>
      <c r="Q480">
        <v>21.04</v>
      </c>
    </row>
    <row r="481" spans="1:17" x14ac:dyDescent="0.35">
      <c r="A481" s="1" t="s">
        <v>1036</v>
      </c>
      <c r="B481" s="1" t="s">
        <v>272</v>
      </c>
      <c r="C481" s="1" t="s">
        <v>8</v>
      </c>
      <c r="D481" s="1" t="s">
        <v>124</v>
      </c>
      <c r="E481">
        <v>15</v>
      </c>
      <c r="F481" s="2">
        <v>45329</v>
      </c>
      <c r="G481" s="1" t="s">
        <v>1320</v>
      </c>
      <c r="H481" s="1" t="s">
        <v>1317</v>
      </c>
      <c r="I481" s="1" t="s">
        <v>1323</v>
      </c>
      <c r="J481">
        <v>650000</v>
      </c>
      <c r="K481">
        <v>741000</v>
      </c>
      <c r="L481" s="1" t="s">
        <v>9</v>
      </c>
      <c r="M481" s="1" t="s">
        <v>10</v>
      </c>
      <c r="N481" s="1" t="s">
        <v>11</v>
      </c>
      <c r="O481">
        <v>11115000</v>
      </c>
      <c r="P481">
        <v>1365000</v>
      </c>
      <c r="Q481">
        <v>12.28</v>
      </c>
    </row>
    <row r="482" spans="1:17" x14ac:dyDescent="0.35">
      <c r="A482" s="1" t="s">
        <v>1036</v>
      </c>
      <c r="B482" s="1" t="s">
        <v>137</v>
      </c>
      <c r="C482" s="1" t="s">
        <v>8</v>
      </c>
      <c r="D482" s="1" t="s">
        <v>124</v>
      </c>
      <c r="E482">
        <v>15</v>
      </c>
      <c r="F482" s="2">
        <v>45329</v>
      </c>
      <c r="G482" s="1" t="s">
        <v>1324</v>
      </c>
      <c r="H482" s="1" t="s">
        <v>1311</v>
      </c>
      <c r="I482" s="1" t="s">
        <v>11</v>
      </c>
      <c r="J482">
        <v>2000000</v>
      </c>
      <c r="K482">
        <v>2533000</v>
      </c>
      <c r="L482" s="1" t="s">
        <v>9</v>
      </c>
      <c r="M482" s="1" t="s">
        <v>10</v>
      </c>
      <c r="N482" s="1" t="s">
        <v>11</v>
      </c>
      <c r="O482">
        <v>37995000</v>
      </c>
      <c r="P482">
        <v>7995000</v>
      </c>
      <c r="Q482">
        <v>21.04</v>
      </c>
    </row>
    <row r="483" spans="1:17" x14ac:dyDescent="0.35">
      <c r="A483" s="1" t="s">
        <v>1036</v>
      </c>
      <c r="B483" s="1" t="s">
        <v>240</v>
      </c>
      <c r="C483" s="1" t="s">
        <v>8</v>
      </c>
      <c r="D483" s="1" t="s">
        <v>124</v>
      </c>
      <c r="E483">
        <v>15</v>
      </c>
      <c r="F483" s="2">
        <v>45329</v>
      </c>
      <c r="G483" s="1" t="s">
        <v>1326</v>
      </c>
      <c r="H483" s="1" t="s">
        <v>1317</v>
      </c>
      <c r="I483" s="1" t="s">
        <v>41</v>
      </c>
      <c r="J483">
        <v>350000</v>
      </c>
      <c r="K483">
        <v>626000</v>
      </c>
      <c r="L483" s="1" t="s">
        <v>9</v>
      </c>
      <c r="M483" s="1" t="s">
        <v>10</v>
      </c>
      <c r="N483" s="1" t="s">
        <v>11</v>
      </c>
      <c r="O483">
        <v>9390000</v>
      </c>
      <c r="P483">
        <v>4140000</v>
      </c>
      <c r="Q483">
        <v>44.09</v>
      </c>
    </row>
    <row r="484" spans="1:17" x14ac:dyDescent="0.35">
      <c r="A484" s="1" t="s">
        <v>1038</v>
      </c>
      <c r="B484" s="1" t="s">
        <v>111</v>
      </c>
      <c r="C484" s="1" t="s">
        <v>45</v>
      </c>
      <c r="D484" s="1" t="s">
        <v>157</v>
      </c>
      <c r="E484">
        <v>8</v>
      </c>
      <c r="F484" s="2">
        <v>45295</v>
      </c>
      <c r="G484" s="1" t="s">
        <v>1344</v>
      </c>
      <c r="H484" s="1" t="s">
        <v>1311</v>
      </c>
      <c r="I484" s="1" t="s">
        <v>1323</v>
      </c>
      <c r="J484">
        <v>18000000</v>
      </c>
      <c r="K484">
        <v>27603000</v>
      </c>
      <c r="L484" s="1" t="s">
        <v>46</v>
      </c>
      <c r="M484" s="1" t="s">
        <v>10</v>
      </c>
      <c r="N484" s="1" t="s">
        <v>47</v>
      </c>
      <c r="O484">
        <v>220824000</v>
      </c>
      <c r="P484">
        <v>76824000</v>
      </c>
      <c r="Q484">
        <v>34.79</v>
      </c>
    </row>
    <row r="485" spans="1:17" x14ac:dyDescent="0.35">
      <c r="A485" s="1" t="s">
        <v>1039</v>
      </c>
      <c r="B485" s="1" t="s">
        <v>111</v>
      </c>
      <c r="C485" s="1" t="s">
        <v>39</v>
      </c>
      <c r="D485" s="1" t="s">
        <v>157</v>
      </c>
      <c r="E485">
        <v>3</v>
      </c>
      <c r="F485" s="2">
        <v>45531</v>
      </c>
      <c r="G485" s="1" t="s">
        <v>1344</v>
      </c>
      <c r="H485" s="1" t="s">
        <v>1311</v>
      </c>
      <c r="I485" s="1" t="s">
        <v>1323</v>
      </c>
      <c r="J485">
        <v>18000000</v>
      </c>
      <c r="K485">
        <v>27603000</v>
      </c>
      <c r="L485" s="1" t="s">
        <v>40</v>
      </c>
      <c r="M485" s="1" t="s">
        <v>23</v>
      </c>
      <c r="N485" s="1" t="s">
        <v>41</v>
      </c>
      <c r="O485">
        <v>82809000</v>
      </c>
      <c r="P485">
        <v>28809000</v>
      </c>
      <c r="Q485">
        <v>34.79</v>
      </c>
    </row>
    <row r="486" spans="1:17" x14ac:dyDescent="0.35">
      <c r="A486" s="1" t="s">
        <v>1041</v>
      </c>
      <c r="B486" s="1" t="s">
        <v>188</v>
      </c>
      <c r="C486" s="1" t="s">
        <v>87</v>
      </c>
      <c r="D486" s="1" t="s">
        <v>143</v>
      </c>
      <c r="E486">
        <v>3</v>
      </c>
      <c r="F486" s="2">
        <v>45525</v>
      </c>
      <c r="G486" s="1" t="s">
        <v>1327</v>
      </c>
      <c r="H486" s="1" t="s">
        <v>1311</v>
      </c>
      <c r="I486" s="1" t="s">
        <v>41</v>
      </c>
      <c r="J486">
        <v>2800000</v>
      </c>
      <c r="K486">
        <v>4747000</v>
      </c>
      <c r="L486" s="1" t="s">
        <v>88</v>
      </c>
      <c r="M486" s="1" t="s">
        <v>10</v>
      </c>
      <c r="N486" s="1" t="s">
        <v>89</v>
      </c>
      <c r="O486">
        <v>14241000</v>
      </c>
      <c r="P486">
        <v>5841000</v>
      </c>
      <c r="Q486">
        <v>41.02</v>
      </c>
    </row>
    <row r="487" spans="1:17" x14ac:dyDescent="0.35">
      <c r="A487" s="1" t="s">
        <v>1043</v>
      </c>
      <c r="B487" s="1" t="s">
        <v>173</v>
      </c>
      <c r="C487" s="1" t="s">
        <v>35</v>
      </c>
      <c r="D487" s="1" t="s">
        <v>124</v>
      </c>
      <c r="E487">
        <v>10</v>
      </c>
      <c r="F487" s="2">
        <v>45648</v>
      </c>
      <c r="G487" s="1" t="s">
        <v>1342</v>
      </c>
      <c r="H487" s="1" t="s">
        <v>1317</v>
      </c>
      <c r="I487" s="1" t="s">
        <v>1323</v>
      </c>
      <c r="J487">
        <v>80000</v>
      </c>
      <c r="K487">
        <v>92000</v>
      </c>
      <c r="L487" s="1" t="s">
        <v>36</v>
      </c>
      <c r="M487" s="1" t="s">
        <v>10</v>
      </c>
      <c r="N487" s="1" t="s">
        <v>11</v>
      </c>
      <c r="O487">
        <v>920000</v>
      </c>
      <c r="P487">
        <v>120000</v>
      </c>
      <c r="Q487">
        <v>13.04</v>
      </c>
    </row>
    <row r="488" spans="1:17" x14ac:dyDescent="0.35">
      <c r="A488" s="1" t="s">
        <v>1044</v>
      </c>
      <c r="B488" s="1" t="s">
        <v>240</v>
      </c>
      <c r="C488" s="1" t="s">
        <v>29</v>
      </c>
      <c r="D488" s="1" t="s">
        <v>171</v>
      </c>
      <c r="E488">
        <v>1</v>
      </c>
      <c r="F488" s="2">
        <v>45469</v>
      </c>
      <c r="G488" s="1" t="s">
        <v>1326</v>
      </c>
      <c r="H488" s="1" t="s">
        <v>1317</v>
      </c>
      <c r="I488" s="1" t="s">
        <v>41</v>
      </c>
      <c r="J488">
        <v>350000</v>
      </c>
      <c r="K488">
        <v>626000</v>
      </c>
      <c r="L488" s="1" t="s">
        <v>30</v>
      </c>
      <c r="M488" s="1" t="s">
        <v>23</v>
      </c>
      <c r="N488" s="1" t="s">
        <v>31</v>
      </c>
      <c r="O488">
        <v>626000</v>
      </c>
      <c r="P488">
        <v>276000</v>
      </c>
      <c r="Q488">
        <v>44.09</v>
      </c>
    </row>
    <row r="489" spans="1:17" x14ac:dyDescent="0.35">
      <c r="A489" s="1" t="s">
        <v>1046</v>
      </c>
      <c r="B489" s="1" t="s">
        <v>149</v>
      </c>
      <c r="C489" s="1" t="s">
        <v>8</v>
      </c>
      <c r="D489" s="1" t="s">
        <v>121</v>
      </c>
      <c r="E489">
        <v>8</v>
      </c>
      <c r="F489" s="2">
        <v>45476</v>
      </c>
      <c r="G489" s="1" t="s">
        <v>1316</v>
      </c>
      <c r="H489" s="1" t="s">
        <v>1317</v>
      </c>
      <c r="I489" s="1" t="s">
        <v>41</v>
      </c>
      <c r="J489">
        <v>100000</v>
      </c>
      <c r="K489">
        <v>169000</v>
      </c>
      <c r="L489" s="1" t="s">
        <v>9</v>
      </c>
      <c r="M489" s="1" t="s">
        <v>10</v>
      </c>
      <c r="N489" s="1" t="s">
        <v>11</v>
      </c>
      <c r="O489">
        <v>1352000</v>
      </c>
      <c r="P489">
        <v>552000</v>
      </c>
      <c r="Q489">
        <v>40.83</v>
      </c>
    </row>
    <row r="490" spans="1:17" x14ac:dyDescent="0.35">
      <c r="A490" s="1" t="s">
        <v>1048</v>
      </c>
      <c r="B490" s="1" t="s">
        <v>240</v>
      </c>
      <c r="C490" s="1" t="s">
        <v>57</v>
      </c>
      <c r="D490" s="1" t="s">
        <v>157</v>
      </c>
      <c r="E490">
        <v>13</v>
      </c>
      <c r="F490" s="2">
        <v>45639</v>
      </c>
      <c r="G490" s="1" t="s">
        <v>1326</v>
      </c>
      <c r="H490" s="1" t="s">
        <v>1317</v>
      </c>
      <c r="I490" s="1" t="s">
        <v>41</v>
      </c>
      <c r="J490">
        <v>350000</v>
      </c>
      <c r="K490">
        <v>626000</v>
      </c>
      <c r="L490" s="1" t="s">
        <v>58</v>
      </c>
      <c r="M490" s="1" t="s">
        <v>10</v>
      </c>
      <c r="N490" s="1" t="s">
        <v>59</v>
      </c>
      <c r="O490">
        <v>8138000</v>
      </c>
      <c r="P490">
        <v>3588000</v>
      </c>
      <c r="Q490">
        <v>44.09</v>
      </c>
    </row>
    <row r="491" spans="1:17" x14ac:dyDescent="0.35">
      <c r="A491" s="1" t="s">
        <v>1050</v>
      </c>
      <c r="B491" s="1" t="s">
        <v>116</v>
      </c>
      <c r="C491" s="1" t="s">
        <v>45</v>
      </c>
      <c r="D491" s="1" t="s">
        <v>157</v>
      </c>
      <c r="E491">
        <v>5</v>
      </c>
      <c r="F491" s="2">
        <v>45476</v>
      </c>
      <c r="G491" s="1" t="s">
        <v>1352</v>
      </c>
      <c r="H491" s="1" t="s">
        <v>1330</v>
      </c>
      <c r="I491" s="1" t="s">
        <v>1323</v>
      </c>
      <c r="J491">
        <v>5000000</v>
      </c>
      <c r="K491">
        <v>7546000</v>
      </c>
      <c r="L491" s="1" t="s">
        <v>46</v>
      </c>
      <c r="M491" s="1" t="s">
        <v>10</v>
      </c>
      <c r="N491" s="1" t="s">
        <v>47</v>
      </c>
      <c r="O491">
        <v>37730000</v>
      </c>
      <c r="P491">
        <v>12730000</v>
      </c>
      <c r="Q491">
        <v>33.74</v>
      </c>
    </row>
    <row r="492" spans="1:17" x14ac:dyDescent="0.35">
      <c r="A492" s="1" t="s">
        <v>1052</v>
      </c>
      <c r="B492" s="1" t="s">
        <v>172</v>
      </c>
      <c r="C492" s="1" t="s">
        <v>73</v>
      </c>
      <c r="D492" s="1" t="s">
        <v>128</v>
      </c>
      <c r="E492">
        <v>3</v>
      </c>
      <c r="F492" s="2">
        <v>45298</v>
      </c>
      <c r="G492" s="1" t="s">
        <v>1340</v>
      </c>
      <c r="H492" s="1" t="s">
        <v>1330</v>
      </c>
      <c r="I492" s="1" t="s">
        <v>41</v>
      </c>
      <c r="J492">
        <v>950000</v>
      </c>
      <c r="K492">
        <v>1649000</v>
      </c>
      <c r="L492" s="1" t="s">
        <v>74</v>
      </c>
      <c r="M492" s="1" t="s">
        <v>23</v>
      </c>
      <c r="N492" s="1" t="s">
        <v>75</v>
      </c>
      <c r="O492">
        <v>4947000</v>
      </c>
      <c r="P492">
        <v>2097000</v>
      </c>
      <c r="Q492">
        <v>42.39</v>
      </c>
    </row>
    <row r="493" spans="1:17" x14ac:dyDescent="0.35">
      <c r="A493" s="1" t="s">
        <v>1054</v>
      </c>
      <c r="B493" s="1" t="s">
        <v>164</v>
      </c>
      <c r="C493" s="1" t="s">
        <v>69</v>
      </c>
      <c r="D493" s="1" t="s">
        <v>124</v>
      </c>
      <c r="E493">
        <v>12</v>
      </c>
      <c r="F493" s="2">
        <v>45503</v>
      </c>
      <c r="G493" s="1" t="s">
        <v>1332</v>
      </c>
      <c r="H493" s="1" t="s">
        <v>1330</v>
      </c>
      <c r="I493" s="1" t="s">
        <v>11</v>
      </c>
      <c r="J493">
        <v>750000</v>
      </c>
      <c r="K493">
        <v>971000</v>
      </c>
      <c r="L493" s="1" t="s">
        <v>70</v>
      </c>
      <c r="M493" s="1" t="s">
        <v>10</v>
      </c>
      <c r="N493" s="1" t="s">
        <v>11</v>
      </c>
      <c r="O493">
        <v>11652000</v>
      </c>
      <c r="P493">
        <v>2652000</v>
      </c>
      <c r="Q493">
        <v>22.76</v>
      </c>
    </row>
    <row r="494" spans="1:17" x14ac:dyDescent="0.35">
      <c r="A494" s="1" t="s">
        <v>1055</v>
      </c>
      <c r="B494" s="1" t="s">
        <v>133</v>
      </c>
      <c r="C494" s="1" t="s">
        <v>29</v>
      </c>
      <c r="D494" s="1" t="s">
        <v>128</v>
      </c>
      <c r="E494">
        <v>3</v>
      </c>
      <c r="F494" s="2">
        <v>45639</v>
      </c>
      <c r="G494" s="1" t="s">
        <v>1354</v>
      </c>
      <c r="H494" s="1" t="s">
        <v>1330</v>
      </c>
      <c r="I494" s="1" t="s">
        <v>11</v>
      </c>
      <c r="J494">
        <v>2500000</v>
      </c>
      <c r="K494">
        <v>3080000</v>
      </c>
      <c r="L494" s="1" t="s">
        <v>30</v>
      </c>
      <c r="M494" s="1" t="s">
        <v>23</v>
      </c>
      <c r="N494" s="1" t="s">
        <v>31</v>
      </c>
      <c r="O494">
        <v>9240000</v>
      </c>
      <c r="P494">
        <v>1740000</v>
      </c>
      <c r="Q494">
        <v>18.829999999999998</v>
      </c>
    </row>
    <row r="495" spans="1:17" x14ac:dyDescent="0.35">
      <c r="A495" s="1" t="s">
        <v>1057</v>
      </c>
      <c r="B495" s="1" t="s">
        <v>172</v>
      </c>
      <c r="C495" s="1" t="s">
        <v>8</v>
      </c>
      <c r="D495" s="1" t="s">
        <v>143</v>
      </c>
      <c r="E495">
        <v>7</v>
      </c>
      <c r="F495" s="2">
        <v>45651</v>
      </c>
      <c r="G495" s="1" t="s">
        <v>1340</v>
      </c>
      <c r="H495" s="1" t="s">
        <v>1330</v>
      </c>
      <c r="I495" s="1" t="s">
        <v>41</v>
      </c>
      <c r="J495">
        <v>950000</v>
      </c>
      <c r="K495">
        <v>1649000</v>
      </c>
      <c r="L495" s="1" t="s">
        <v>9</v>
      </c>
      <c r="M495" s="1" t="s">
        <v>10</v>
      </c>
      <c r="N495" s="1" t="s">
        <v>11</v>
      </c>
      <c r="O495">
        <v>11543000</v>
      </c>
      <c r="P495">
        <v>4893000</v>
      </c>
      <c r="Q495">
        <v>42.39</v>
      </c>
    </row>
    <row r="496" spans="1:17" x14ac:dyDescent="0.35">
      <c r="A496" s="1" t="s">
        <v>1059</v>
      </c>
      <c r="B496" s="1" t="s">
        <v>141</v>
      </c>
      <c r="C496" s="1" t="s">
        <v>15</v>
      </c>
      <c r="D496" s="1" t="s">
        <v>157</v>
      </c>
      <c r="E496">
        <v>3</v>
      </c>
      <c r="F496" s="2">
        <v>45646</v>
      </c>
      <c r="G496" s="1" t="s">
        <v>1355</v>
      </c>
      <c r="H496" s="1" t="s">
        <v>1330</v>
      </c>
      <c r="I496" s="1" t="s">
        <v>41</v>
      </c>
      <c r="J496">
        <v>400000</v>
      </c>
      <c r="K496">
        <v>623000</v>
      </c>
      <c r="L496" s="1" t="s">
        <v>16</v>
      </c>
      <c r="M496" s="1" t="s">
        <v>10</v>
      </c>
      <c r="N496" s="1" t="s">
        <v>17</v>
      </c>
      <c r="O496">
        <v>1869000</v>
      </c>
      <c r="P496">
        <v>669000</v>
      </c>
      <c r="Q496">
        <v>35.79</v>
      </c>
    </row>
    <row r="497" spans="1:17" x14ac:dyDescent="0.35">
      <c r="A497" s="1" t="s">
        <v>1061</v>
      </c>
      <c r="B497" s="1" t="s">
        <v>106</v>
      </c>
      <c r="C497" s="1" t="s">
        <v>21</v>
      </c>
      <c r="D497" s="1" t="s">
        <v>143</v>
      </c>
      <c r="E497">
        <v>11</v>
      </c>
      <c r="F497" s="2">
        <v>45590</v>
      </c>
      <c r="G497" s="1" t="s">
        <v>1348</v>
      </c>
      <c r="H497" s="1" t="s">
        <v>1317</v>
      </c>
      <c r="I497" s="1" t="s">
        <v>1323</v>
      </c>
      <c r="J497">
        <v>300000</v>
      </c>
      <c r="K497">
        <v>355000</v>
      </c>
      <c r="L497" s="1" t="s">
        <v>22</v>
      </c>
      <c r="M497" s="1" t="s">
        <v>23</v>
      </c>
      <c r="N497" s="1" t="s">
        <v>24</v>
      </c>
      <c r="O497">
        <v>3905000</v>
      </c>
      <c r="P497">
        <v>605000</v>
      </c>
      <c r="Q497">
        <v>15.49</v>
      </c>
    </row>
    <row r="498" spans="1:17" x14ac:dyDescent="0.35">
      <c r="A498" s="1" t="s">
        <v>1063</v>
      </c>
      <c r="B498" s="1" t="s">
        <v>168</v>
      </c>
      <c r="C498" s="1" t="s">
        <v>69</v>
      </c>
      <c r="D498" s="1" t="s">
        <v>128</v>
      </c>
      <c r="E498">
        <v>7</v>
      </c>
      <c r="F498" s="2">
        <v>45617</v>
      </c>
      <c r="G498" s="1" t="s">
        <v>1338</v>
      </c>
      <c r="H498" s="1" t="s">
        <v>1336</v>
      </c>
      <c r="I498" s="1" t="s">
        <v>41</v>
      </c>
      <c r="J498">
        <v>500000</v>
      </c>
      <c r="K498">
        <v>844000</v>
      </c>
      <c r="L498" s="1" t="s">
        <v>70</v>
      </c>
      <c r="M498" s="1" t="s">
        <v>10</v>
      </c>
      <c r="N498" s="1" t="s">
        <v>11</v>
      </c>
      <c r="O498">
        <v>5908000</v>
      </c>
      <c r="P498">
        <v>2408000</v>
      </c>
      <c r="Q498">
        <v>40.76</v>
      </c>
    </row>
    <row r="499" spans="1:17" x14ac:dyDescent="0.35">
      <c r="A499" s="1" t="s">
        <v>1065</v>
      </c>
      <c r="B499" s="1" t="s">
        <v>137</v>
      </c>
      <c r="C499" s="1" t="s">
        <v>51</v>
      </c>
      <c r="D499" s="1" t="s">
        <v>157</v>
      </c>
      <c r="E499">
        <v>1</v>
      </c>
      <c r="F499" s="2">
        <v>45442</v>
      </c>
      <c r="G499" s="1" t="s">
        <v>1324</v>
      </c>
      <c r="H499" s="1" t="s">
        <v>1311</v>
      </c>
      <c r="I499" s="1" t="s">
        <v>11</v>
      </c>
      <c r="J499">
        <v>2000000</v>
      </c>
      <c r="K499">
        <v>2533000</v>
      </c>
      <c r="L499" s="1" t="s">
        <v>52</v>
      </c>
      <c r="M499" s="1" t="s">
        <v>23</v>
      </c>
      <c r="N499" s="1" t="s">
        <v>53</v>
      </c>
      <c r="O499">
        <v>2533000</v>
      </c>
      <c r="P499">
        <v>533000</v>
      </c>
      <c r="Q499">
        <v>21.04</v>
      </c>
    </row>
    <row r="500" spans="1:17" x14ac:dyDescent="0.35">
      <c r="A500" s="1" t="s">
        <v>1067</v>
      </c>
      <c r="B500" s="1" t="s">
        <v>176</v>
      </c>
      <c r="C500" s="1" t="s">
        <v>69</v>
      </c>
      <c r="D500" s="1" t="s">
        <v>121</v>
      </c>
      <c r="E500">
        <v>4</v>
      </c>
      <c r="F500" s="2">
        <v>45318</v>
      </c>
      <c r="G500" s="1" t="s">
        <v>1329</v>
      </c>
      <c r="H500" s="1" t="s">
        <v>1330</v>
      </c>
      <c r="I500" s="1" t="s">
        <v>1323</v>
      </c>
      <c r="J500">
        <v>1500000</v>
      </c>
      <c r="K500">
        <v>1772000</v>
      </c>
      <c r="L500" s="1" t="s">
        <v>70</v>
      </c>
      <c r="M500" s="1" t="s">
        <v>10</v>
      </c>
      <c r="N500" s="1" t="s">
        <v>11</v>
      </c>
      <c r="O500">
        <v>7088000</v>
      </c>
      <c r="P500">
        <v>1088000</v>
      </c>
      <c r="Q500">
        <v>15.35</v>
      </c>
    </row>
    <row r="501" spans="1:17" x14ac:dyDescent="0.35">
      <c r="A501" s="1" t="s">
        <v>1069</v>
      </c>
      <c r="B501" s="1" t="s">
        <v>188</v>
      </c>
      <c r="C501" s="1" t="s">
        <v>15</v>
      </c>
      <c r="D501" s="1" t="s">
        <v>121</v>
      </c>
      <c r="E501">
        <v>11</v>
      </c>
      <c r="F501" s="2">
        <v>45637</v>
      </c>
      <c r="G501" s="1" t="s">
        <v>1327</v>
      </c>
      <c r="H501" s="1" t="s">
        <v>1311</v>
      </c>
      <c r="I501" s="1" t="s">
        <v>41</v>
      </c>
      <c r="J501">
        <v>2800000</v>
      </c>
      <c r="K501">
        <v>4747000</v>
      </c>
      <c r="L501" s="1" t="s">
        <v>16</v>
      </c>
      <c r="M501" s="1" t="s">
        <v>10</v>
      </c>
      <c r="N501" s="1" t="s">
        <v>17</v>
      </c>
      <c r="O501">
        <v>52217000</v>
      </c>
      <c r="P501">
        <v>21417000</v>
      </c>
      <c r="Q501">
        <v>41.02</v>
      </c>
    </row>
    <row r="502" spans="1:17" x14ac:dyDescent="0.35">
      <c r="A502" s="1" t="s">
        <v>1070</v>
      </c>
      <c r="B502" s="1" t="s">
        <v>172</v>
      </c>
      <c r="C502" s="1" t="s">
        <v>69</v>
      </c>
      <c r="D502" s="1" t="s">
        <v>171</v>
      </c>
      <c r="E502">
        <v>11</v>
      </c>
      <c r="F502" s="2">
        <v>45403</v>
      </c>
      <c r="G502" s="1" t="s">
        <v>1340</v>
      </c>
      <c r="H502" s="1" t="s">
        <v>1330</v>
      </c>
      <c r="I502" s="1" t="s">
        <v>41</v>
      </c>
      <c r="J502">
        <v>950000</v>
      </c>
      <c r="K502">
        <v>1649000</v>
      </c>
      <c r="L502" s="1" t="s">
        <v>70</v>
      </c>
      <c r="M502" s="1" t="s">
        <v>10</v>
      </c>
      <c r="N502" s="1" t="s">
        <v>11</v>
      </c>
      <c r="O502">
        <v>18139000</v>
      </c>
      <c r="P502">
        <v>7689000</v>
      </c>
      <c r="Q502">
        <v>42.39</v>
      </c>
    </row>
    <row r="503" spans="1:17" x14ac:dyDescent="0.35">
      <c r="A503" s="1" t="s">
        <v>1072</v>
      </c>
      <c r="B503" s="1" t="s">
        <v>272</v>
      </c>
      <c r="C503" s="1" t="s">
        <v>8</v>
      </c>
      <c r="D503" s="1" t="s">
        <v>124</v>
      </c>
      <c r="E503">
        <v>2</v>
      </c>
      <c r="F503" s="2">
        <v>45434</v>
      </c>
      <c r="G503" s="1" t="s">
        <v>1320</v>
      </c>
      <c r="H503" s="1" t="s">
        <v>1317</v>
      </c>
      <c r="I503" s="1" t="s">
        <v>1323</v>
      </c>
      <c r="J503">
        <v>650000</v>
      </c>
      <c r="K503">
        <v>741000</v>
      </c>
      <c r="L503" s="1" t="s">
        <v>9</v>
      </c>
      <c r="M503" s="1" t="s">
        <v>10</v>
      </c>
      <c r="N503" s="1" t="s">
        <v>11</v>
      </c>
      <c r="O503">
        <v>1482000</v>
      </c>
      <c r="P503">
        <v>182000</v>
      </c>
      <c r="Q503">
        <v>12.28</v>
      </c>
    </row>
    <row r="504" spans="1:17" x14ac:dyDescent="0.35">
      <c r="A504" s="1" t="s">
        <v>1073</v>
      </c>
      <c r="B504" s="1" t="s">
        <v>133</v>
      </c>
      <c r="C504" s="1" t="s">
        <v>15</v>
      </c>
      <c r="D504" s="1" t="s">
        <v>143</v>
      </c>
      <c r="E504">
        <v>11</v>
      </c>
      <c r="F504" s="2">
        <v>45557</v>
      </c>
      <c r="G504" s="1" t="s">
        <v>1354</v>
      </c>
      <c r="H504" s="1" t="s">
        <v>1330</v>
      </c>
      <c r="I504" s="1" t="s">
        <v>11</v>
      </c>
      <c r="J504">
        <v>2500000</v>
      </c>
      <c r="K504">
        <v>3080000</v>
      </c>
      <c r="L504" s="1" t="s">
        <v>16</v>
      </c>
      <c r="M504" s="1" t="s">
        <v>10</v>
      </c>
      <c r="N504" s="1" t="s">
        <v>17</v>
      </c>
      <c r="O504">
        <v>33880000</v>
      </c>
      <c r="P504">
        <v>6380000</v>
      </c>
      <c r="Q504">
        <v>18.829999999999998</v>
      </c>
    </row>
    <row r="505" spans="1:17" x14ac:dyDescent="0.35">
      <c r="A505" s="1" t="s">
        <v>1075</v>
      </c>
      <c r="B505" s="1" t="s">
        <v>141</v>
      </c>
      <c r="C505" s="1" t="s">
        <v>51</v>
      </c>
      <c r="D505" s="1" t="s">
        <v>157</v>
      </c>
      <c r="E505">
        <v>3</v>
      </c>
      <c r="F505" s="2">
        <v>45586</v>
      </c>
      <c r="G505" s="1" t="s">
        <v>1355</v>
      </c>
      <c r="H505" s="1" t="s">
        <v>1330</v>
      </c>
      <c r="I505" s="1" t="s">
        <v>41</v>
      </c>
      <c r="J505">
        <v>400000</v>
      </c>
      <c r="K505">
        <v>623000</v>
      </c>
      <c r="L505" s="1" t="s">
        <v>52</v>
      </c>
      <c r="M505" s="1" t="s">
        <v>23</v>
      </c>
      <c r="N505" s="1" t="s">
        <v>53</v>
      </c>
      <c r="O505">
        <v>1869000</v>
      </c>
      <c r="P505">
        <v>669000</v>
      </c>
      <c r="Q505">
        <v>35.79</v>
      </c>
    </row>
    <row r="506" spans="1:17" x14ac:dyDescent="0.35">
      <c r="A506" s="1" t="s">
        <v>1077</v>
      </c>
      <c r="B506" s="1" t="s">
        <v>109</v>
      </c>
      <c r="C506" s="1" t="s">
        <v>29</v>
      </c>
      <c r="D506" s="1" t="s">
        <v>143</v>
      </c>
      <c r="E506">
        <v>9</v>
      </c>
      <c r="F506" s="2">
        <v>45580</v>
      </c>
      <c r="G506" s="1" t="s">
        <v>1357</v>
      </c>
      <c r="H506" s="1" t="s">
        <v>1358</v>
      </c>
      <c r="I506" s="1" t="s">
        <v>41</v>
      </c>
      <c r="J506">
        <v>2000000</v>
      </c>
      <c r="K506">
        <v>3382000</v>
      </c>
      <c r="L506" s="1" t="s">
        <v>30</v>
      </c>
      <c r="M506" s="1" t="s">
        <v>23</v>
      </c>
      <c r="N506" s="1" t="s">
        <v>31</v>
      </c>
      <c r="O506">
        <v>30438000</v>
      </c>
      <c r="P506">
        <v>12438000</v>
      </c>
      <c r="Q506">
        <v>40.86</v>
      </c>
    </row>
    <row r="507" spans="1:17" x14ac:dyDescent="0.35">
      <c r="A507" s="1" t="s">
        <v>1079</v>
      </c>
      <c r="B507" s="1" t="s">
        <v>240</v>
      </c>
      <c r="C507" s="1" t="s">
        <v>63</v>
      </c>
      <c r="D507" s="1" t="s">
        <v>124</v>
      </c>
      <c r="E507">
        <v>9</v>
      </c>
      <c r="F507" s="2">
        <v>45643</v>
      </c>
      <c r="G507" s="1" t="s">
        <v>1326</v>
      </c>
      <c r="H507" s="1" t="s">
        <v>1317</v>
      </c>
      <c r="I507" s="1" t="s">
        <v>41</v>
      </c>
      <c r="J507">
        <v>350000</v>
      </c>
      <c r="K507">
        <v>626000</v>
      </c>
      <c r="L507" s="1" t="s">
        <v>64</v>
      </c>
      <c r="M507" s="1" t="s">
        <v>23</v>
      </c>
      <c r="N507" s="1" t="s">
        <v>65</v>
      </c>
      <c r="O507">
        <v>5634000</v>
      </c>
      <c r="P507">
        <v>2484000</v>
      </c>
      <c r="Q507">
        <v>44.09</v>
      </c>
    </row>
    <row r="508" spans="1:17" x14ac:dyDescent="0.35">
      <c r="A508" s="1" t="s">
        <v>1081</v>
      </c>
      <c r="B508" s="1" t="s">
        <v>137</v>
      </c>
      <c r="C508" s="1" t="s">
        <v>15</v>
      </c>
      <c r="D508" s="1" t="s">
        <v>171</v>
      </c>
      <c r="E508">
        <v>7</v>
      </c>
      <c r="F508" s="2">
        <v>45590</v>
      </c>
      <c r="G508" s="1" t="s">
        <v>1324</v>
      </c>
      <c r="H508" s="1" t="s">
        <v>1311</v>
      </c>
      <c r="I508" s="1" t="s">
        <v>11</v>
      </c>
      <c r="J508">
        <v>2000000</v>
      </c>
      <c r="K508">
        <v>2533000</v>
      </c>
      <c r="L508" s="1" t="s">
        <v>16</v>
      </c>
      <c r="M508" s="1" t="s">
        <v>10</v>
      </c>
      <c r="N508" s="1" t="s">
        <v>17</v>
      </c>
      <c r="O508">
        <v>17731000</v>
      </c>
      <c r="P508">
        <v>3731000</v>
      </c>
      <c r="Q508">
        <v>21.04</v>
      </c>
    </row>
    <row r="509" spans="1:17" x14ac:dyDescent="0.35">
      <c r="A509" s="1" t="s">
        <v>1083</v>
      </c>
      <c r="B509" s="1" t="s">
        <v>240</v>
      </c>
      <c r="C509" s="1" t="s">
        <v>21</v>
      </c>
      <c r="D509" s="1" t="s">
        <v>121</v>
      </c>
      <c r="E509">
        <v>1</v>
      </c>
      <c r="F509" s="2">
        <v>45348</v>
      </c>
      <c r="G509" s="1" t="s">
        <v>1326</v>
      </c>
      <c r="H509" s="1" t="s">
        <v>1317</v>
      </c>
      <c r="I509" s="1" t="s">
        <v>41</v>
      </c>
      <c r="J509">
        <v>350000</v>
      </c>
      <c r="K509">
        <v>626000</v>
      </c>
      <c r="L509" s="1" t="s">
        <v>22</v>
      </c>
      <c r="M509" s="1" t="s">
        <v>23</v>
      </c>
      <c r="N509" s="1" t="s">
        <v>24</v>
      </c>
      <c r="O509">
        <v>626000</v>
      </c>
      <c r="P509">
        <v>276000</v>
      </c>
      <c r="Q509">
        <v>44.09</v>
      </c>
    </row>
    <row r="510" spans="1:17" x14ac:dyDescent="0.35">
      <c r="A510" s="1" t="s">
        <v>1084</v>
      </c>
      <c r="B510" s="1" t="s">
        <v>106</v>
      </c>
      <c r="C510" s="1" t="s">
        <v>21</v>
      </c>
      <c r="D510" s="1" t="s">
        <v>121</v>
      </c>
      <c r="E510">
        <v>14</v>
      </c>
      <c r="F510" s="2">
        <v>45534</v>
      </c>
      <c r="G510" s="1" t="s">
        <v>1348</v>
      </c>
      <c r="H510" s="1" t="s">
        <v>1317</v>
      </c>
      <c r="I510" s="1" t="s">
        <v>1323</v>
      </c>
      <c r="J510">
        <v>300000</v>
      </c>
      <c r="K510">
        <v>355000</v>
      </c>
      <c r="L510" s="1" t="s">
        <v>22</v>
      </c>
      <c r="M510" s="1" t="s">
        <v>23</v>
      </c>
      <c r="N510" s="1" t="s">
        <v>24</v>
      </c>
      <c r="O510">
        <v>4970000</v>
      </c>
      <c r="P510">
        <v>770000</v>
      </c>
      <c r="Q510">
        <v>15.49</v>
      </c>
    </row>
    <row r="511" spans="1:17" x14ac:dyDescent="0.35">
      <c r="A511" s="1" t="s">
        <v>1086</v>
      </c>
      <c r="B511" s="1" t="s">
        <v>141</v>
      </c>
      <c r="C511" s="1" t="s">
        <v>51</v>
      </c>
      <c r="D511" s="1" t="s">
        <v>143</v>
      </c>
      <c r="E511">
        <v>15</v>
      </c>
      <c r="F511" s="2">
        <v>45538</v>
      </c>
      <c r="G511" s="1" t="s">
        <v>1355</v>
      </c>
      <c r="H511" s="1" t="s">
        <v>1330</v>
      </c>
      <c r="I511" s="1" t="s">
        <v>41</v>
      </c>
      <c r="J511">
        <v>400000</v>
      </c>
      <c r="K511">
        <v>623000</v>
      </c>
      <c r="L511" s="1" t="s">
        <v>52</v>
      </c>
      <c r="M511" s="1" t="s">
        <v>23</v>
      </c>
      <c r="N511" s="1" t="s">
        <v>53</v>
      </c>
      <c r="O511">
        <v>9345000</v>
      </c>
      <c r="P511">
        <v>3345000</v>
      </c>
      <c r="Q511">
        <v>35.79</v>
      </c>
    </row>
    <row r="512" spans="1:17" x14ac:dyDescent="0.35">
      <c r="A512" s="1" t="s">
        <v>1088</v>
      </c>
      <c r="B512" s="1" t="s">
        <v>116</v>
      </c>
      <c r="C512" s="1" t="s">
        <v>73</v>
      </c>
      <c r="D512" s="1" t="s">
        <v>143</v>
      </c>
      <c r="E512">
        <v>2</v>
      </c>
      <c r="F512" s="2">
        <v>45360</v>
      </c>
      <c r="G512" s="1" t="s">
        <v>1352</v>
      </c>
      <c r="H512" s="1" t="s">
        <v>1330</v>
      </c>
      <c r="I512" s="1" t="s">
        <v>1323</v>
      </c>
      <c r="J512">
        <v>5000000</v>
      </c>
      <c r="K512">
        <v>7546000</v>
      </c>
      <c r="L512" s="1" t="s">
        <v>74</v>
      </c>
      <c r="M512" s="1" t="s">
        <v>23</v>
      </c>
      <c r="N512" s="1" t="s">
        <v>75</v>
      </c>
      <c r="O512">
        <v>15092000</v>
      </c>
      <c r="P512">
        <v>5092000</v>
      </c>
      <c r="Q512">
        <v>33.74</v>
      </c>
    </row>
    <row r="513" spans="1:17" x14ac:dyDescent="0.35">
      <c r="A513" s="1" t="s">
        <v>1090</v>
      </c>
      <c r="B513" s="1" t="s">
        <v>109</v>
      </c>
      <c r="C513" s="1" t="s">
        <v>15</v>
      </c>
      <c r="D513" s="1" t="s">
        <v>128</v>
      </c>
      <c r="E513">
        <v>3</v>
      </c>
      <c r="F513" s="2">
        <v>45572</v>
      </c>
      <c r="G513" s="1" t="s">
        <v>1357</v>
      </c>
      <c r="H513" s="1" t="s">
        <v>1358</v>
      </c>
      <c r="I513" s="1" t="s">
        <v>41</v>
      </c>
      <c r="J513">
        <v>2000000</v>
      </c>
      <c r="K513">
        <v>3382000</v>
      </c>
      <c r="L513" s="1" t="s">
        <v>16</v>
      </c>
      <c r="M513" s="1" t="s">
        <v>10</v>
      </c>
      <c r="N513" s="1" t="s">
        <v>17</v>
      </c>
      <c r="O513">
        <v>10146000</v>
      </c>
      <c r="P513">
        <v>4146000</v>
      </c>
      <c r="Q513">
        <v>40.86</v>
      </c>
    </row>
    <row r="514" spans="1:17" x14ac:dyDescent="0.35">
      <c r="A514" s="1" t="s">
        <v>1092</v>
      </c>
      <c r="B514" s="1" t="s">
        <v>172</v>
      </c>
      <c r="C514" s="1" t="s">
        <v>35</v>
      </c>
      <c r="D514" s="1" t="s">
        <v>121</v>
      </c>
      <c r="E514">
        <v>11</v>
      </c>
      <c r="F514" s="2">
        <v>45627</v>
      </c>
      <c r="G514" s="1" t="s">
        <v>1340</v>
      </c>
      <c r="H514" s="1" t="s">
        <v>1330</v>
      </c>
      <c r="I514" s="1" t="s">
        <v>41</v>
      </c>
      <c r="J514">
        <v>950000</v>
      </c>
      <c r="K514">
        <v>1649000</v>
      </c>
      <c r="L514" s="1" t="s">
        <v>36</v>
      </c>
      <c r="M514" s="1" t="s">
        <v>10</v>
      </c>
      <c r="N514" s="1" t="s">
        <v>11</v>
      </c>
      <c r="O514">
        <v>18139000</v>
      </c>
      <c r="P514">
        <v>7689000</v>
      </c>
      <c r="Q514">
        <v>42.39</v>
      </c>
    </row>
    <row r="515" spans="1:17" x14ac:dyDescent="0.35">
      <c r="A515" s="1" t="s">
        <v>1093</v>
      </c>
      <c r="B515" s="1" t="s">
        <v>173</v>
      </c>
      <c r="C515" s="1" t="s">
        <v>45</v>
      </c>
      <c r="D515" s="1" t="s">
        <v>124</v>
      </c>
      <c r="E515">
        <v>8</v>
      </c>
      <c r="F515" s="2">
        <v>45504</v>
      </c>
      <c r="G515" s="1" t="s">
        <v>1342</v>
      </c>
      <c r="H515" s="1" t="s">
        <v>1317</v>
      </c>
      <c r="I515" s="1" t="s">
        <v>1323</v>
      </c>
      <c r="J515">
        <v>80000</v>
      </c>
      <c r="K515">
        <v>92000</v>
      </c>
      <c r="L515" s="1" t="s">
        <v>46</v>
      </c>
      <c r="M515" s="1" t="s">
        <v>10</v>
      </c>
      <c r="N515" s="1" t="s">
        <v>47</v>
      </c>
      <c r="O515">
        <v>736000</v>
      </c>
      <c r="P515">
        <v>96000</v>
      </c>
      <c r="Q515">
        <v>13.04</v>
      </c>
    </row>
    <row r="516" spans="1:17" x14ac:dyDescent="0.35">
      <c r="A516" s="1" t="s">
        <v>1094</v>
      </c>
      <c r="B516" s="1" t="s">
        <v>248</v>
      </c>
      <c r="C516" s="1" t="s">
        <v>82</v>
      </c>
      <c r="D516" s="1" t="s">
        <v>171</v>
      </c>
      <c r="E516">
        <v>7</v>
      </c>
      <c r="F516" s="2">
        <v>45385</v>
      </c>
      <c r="G516" s="1" t="s">
        <v>1335</v>
      </c>
      <c r="H516" s="1" t="s">
        <v>1336</v>
      </c>
      <c r="I516" s="1" t="s">
        <v>41</v>
      </c>
      <c r="J516">
        <v>250000</v>
      </c>
      <c r="K516">
        <v>354000</v>
      </c>
      <c r="L516" s="1" t="s">
        <v>83</v>
      </c>
      <c r="M516" s="1" t="s">
        <v>23</v>
      </c>
      <c r="N516" s="1" t="s">
        <v>84</v>
      </c>
      <c r="O516">
        <v>2478000</v>
      </c>
      <c r="P516">
        <v>728000</v>
      </c>
      <c r="Q516">
        <v>29.38</v>
      </c>
    </row>
    <row r="517" spans="1:17" x14ac:dyDescent="0.35">
      <c r="A517" s="1" t="s">
        <v>1096</v>
      </c>
      <c r="B517" s="1" t="s">
        <v>191</v>
      </c>
      <c r="C517" s="1" t="s">
        <v>63</v>
      </c>
      <c r="D517" s="1" t="s">
        <v>171</v>
      </c>
      <c r="E517">
        <v>5</v>
      </c>
      <c r="F517" s="2">
        <v>45570</v>
      </c>
      <c r="G517" s="1" t="s">
        <v>1310</v>
      </c>
      <c r="H517" s="1" t="s">
        <v>1311</v>
      </c>
      <c r="I517" s="1" t="s">
        <v>11</v>
      </c>
      <c r="J517">
        <v>12000000</v>
      </c>
      <c r="K517">
        <v>13963000</v>
      </c>
      <c r="L517" s="1" t="s">
        <v>64</v>
      </c>
      <c r="M517" s="1" t="s">
        <v>23</v>
      </c>
      <c r="N517" s="1" t="s">
        <v>65</v>
      </c>
      <c r="O517">
        <v>69815000</v>
      </c>
      <c r="P517">
        <v>9815000</v>
      </c>
      <c r="Q517">
        <v>14.06</v>
      </c>
    </row>
    <row r="518" spans="1:17" x14ac:dyDescent="0.35">
      <c r="A518" s="1" t="s">
        <v>1098</v>
      </c>
      <c r="B518" s="1" t="s">
        <v>141</v>
      </c>
      <c r="C518" s="1" t="s">
        <v>39</v>
      </c>
      <c r="D518" s="1" t="s">
        <v>171</v>
      </c>
      <c r="E518">
        <v>15</v>
      </c>
      <c r="F518" s="2">
        <v>45509</v>
      </c>
      <c r="G518" s="1" t="s">
        <v>1355</v>
      </c>
      <c r="H518" s="1" t="s">
        <v>1330</v>
      </c>
      <c r="I518" s="1" t="s">
        <v>41</v>
      </c>
      <c r="J518">
        <v>400000</v>
      </c>
      <c r="K518">
        <v>623000</v>
      </c>
      <c r="L518" s="1" t="s">
        <v>40</v>
      </c>
      <c r="M518" s="1" t="s">
        <v>23</v>
      </c>
      <c r="N518" s="1" t="s">
        <v>41</v>
      </c>
      <c r="O518">
        <v>9345000</v>
      </c>
      <c r="P518">
        <v>3345000</v>
      </c>
      <c r="Q518">
        <v>35.79</v>
      </c>
    </row>
    <row r="519" spans="1:17" x14ac:dyDescent="0.35">
      <c r="A519" s="1" t="s">
        <v>1100</v>
      </c>
      <c r="B519" s="1" t="s">
        <v>133</v>
      </c>
      <c r="C519" s="1" t="s">
        <v>51</v>
      </c>
      <c r="D519" s="1" t="s">
        <v>124</v>
      </c>
      <c r="E519">
        <v>4</v>
      </c>
      <c r="F519" s="2">
        <v>45312</v>
      </c>
      <c r="G519" s="1" t="s">
        <v>1354</v>
      </c>
      <c r="H519" s="1" t="s">
        <v>1330</v>
      </c>
      <c r="I519" s="1" t="s">
        <v>11</v>
      </c>
      <c r="J519">
        <v>2500000</v>
      </c>
      <c r="K519">
        <v>3080000</v>
      </c>
      <c r="L519" s="1" t="s">
        <v>52</v>
      </c>
      <c r="M519" s="1" t="s">
        <v>23</v>
      </c>
      <c r="N519" s="1" t="s">
        <v>53</v>
      </c>
      <c r="O519">
        <v>12320000</v>
      </c>
      <c r="P519">
        <v>2320000</v>
      </c>
      <c r="Q519">
        <v>18.829999999999998</v>
      </c>
    </row>
    <row r="520" spans="1:17" x14ac:dyDescent="0.35">
      <c r="A520" s="1" t="s">
        <v>1102</v>
      </c>
      <c r="B520" s="1" t="s">
        <v>173</v>
      </c>
      <c r="C520" s="1" t="s">
        <v>82</v>
      </c>
      <c r="D520" s="1" t="s">
        <v>121</v>
      </c>
      <c r="E520">
        <v>15</v>
      </c>
      <c r="F520" s="2">
        <v>45385</v>
      </c>
      <c r="G520" s="1" t="s">
        <v>1342</v>
      </c>
      <c r="H520" s="1" t="s">
        <v>1317</v>
      </c>
      <c r="I520" s="1" t="s">
        <v>1323</v>
      </c>
      <c r="J520">
        <v>80000</v>
      </c>
      <c r="K520">
        <v>92000</v>
      </c>
      <c r="L520" s="1" t="s">
        <v>83</v>
      </c>
      <c r="M520" s="1" t="s">
        <v>23</v>
      </c>
      <c r="N520" s="1" t="s">
        <v>84</v>
      </c>
      <c r="O520">
        <v>1380000</v>
      </c>
      <c r="P520">
        <v>180000</v>
      </c>
      <c r="Q520">
        <v>13.04</v>
      </c>
    </row>
    <row r="521" spans="1:17" x14ac:dyDescent="0.35">
      <c r="A521" s="1" t="s">
        <v>1104</v>
      </c>
      <c r="B521" s="1" t="s">
        <v>164</v>
      </c>
      <c r="C521" s="1" t="s">
        <v>21</v>
      </c>
      <c r="D521" s="1" t="s">
        <v>171</v>
      </c>
      <c r="E521">
        <v>6</v>
      </c>
      <c r="F521" s="2">
        <v>45517</v>
      </c>
      <c r="G521" s="1" t="s">
        <v>1332</v>
      </c>
      <c r="H521" s="1" t="s">
        <v>1330</v>
      </c>
      <c r="I521" s="1" t="s">
        <v>11</v>
      </c>
      <c r="J521">
        <v>750000</v>
      </c>
      <c r="K521">
        <v>971000</v>
      </c>
      <c r="L521" s="1" t="s">
        <v>22</v>
      </c>
      <c r="M521" s="1" t="s">
        <v>23</v>
      </c>
      <c r="N521" s="1" t="s">
        <v>24</v>
      </c>
      <c r="O521">
        <v>5826000</v>
      </c>
      <c r="P521">
        <v>1326000</v>
      </c>
      <c r="Q521">
        <v>22.76</v>
      </c>
    </row>
    <row r="522" spans="1:17" x14ac:dyDescent="0.35">
      <c r="A522" s="1" t="s">
        <v>1106</v>
      </c>
      <c r="B522" s="1" t="s">
        <v>106</v>
      </c>
      <c r="C522" s="1" t="s">
        <v>21</v>
      </c>
      <c r="D522" s="1" t="s">
        <v>171</v>
      </c>
      <c r="E522">
        <v>2</v>
      </c>
      <c r="F522" s="2">
        <v>45503</v>
      </c>
      <c r="G522" s="1" t="s">
        <v>1348</v>
      </c>
      <c r="H522" s="1" t="s">
        <v>1317</v>
      </c>
      <c r="I522" s="1" t="s">
        <v>1323</v>
      </c>
      <c r="J522">
        <v>300000</v>
      </c>
      <c r="K522">
        <v>355000</v>
      </c>
      <c r="L522" s="1" t="s">
        <v>22</v>
      </c>
      <c r="M522" s="1" t="s">
        <v>23</v>
      </c>
      <c r="N522" s="1" t="s">
        <v>24</v>
      </c>
      <c r="O522">
        <v>710000</v>
      </c>
      <c r="P522">
        <v>110000</v>
      </c>
      <c r="Q522">
        <v>15.49</v>
      </c>
    </row>
    <row r="523" spans="1:17" x14ac:dyDescent="0.35">
      <c r="A523" s="1" t="s">
        <v>1108</v>
      </c>
      <c r="B523" s="1" t="s">
        <v>197</v>
      </c>
      <c r="C523" s="1" t="s">
        <v>82</v>
      </c>
      <c r="D523" s="1" t="s">
        <v>157</v>
      </c>
      <c r="E523">
        <v>1</v>
      </c>
      <c r="F523" s="2">
        <v>45413</v>
      </c>
      <c r="G523" s="1" t="s">
        <v>1350</v>
      </c>
      <c r="H523" s="1" t="s">
        <v>1336</v>
      </c>
      <c r="I523" s="1" t="s">
        <v>11</v>
      </c>
      <c r="J523">
        <v>1200000</v>
      </c>
      <c r="K523">
        <v>1375000</v>
      </c>
      <c r="L523" s="1" t="s">
        <v>83</v>
      </c>
      <c r="M523" s="1" t="s">
        <v>23</v>
      </c>
      <c r="N523" s="1" t="s">
        <v>84</v>
      </c>
      <c r="O523">
        <v>1375000</v>
      </c>
      <c r="P523">
        <v>175000</v>
      </c>
      <c r="Q523">
        <v>12.73</v>
      </c>
    </row>
    <row r="524" spans="1:17" x14ac:dyDescent="0.35">
      <c r="A524" s="1" t="s">
        <v>1110</v>
      </c>
      <c r="B524" s="1" t="s">
        <v>248</v>
      </c>
      <c r="C524" s="1" t="s">
        <v>87</v>
      </c>
      <c r="D524" s="1" t="s">
        <v>157</v>
      </c>
      <c r="E524">
        <v>14</v>
      </c>
      <c r="F524" s="2">
        <v>45313</v>
      </c>
      <c r="G524" s="1" t="s">
        <v>1335</v>
      </c>
      <c r="H524" s="1" t="s">
        <v>1336</v>
      </c>
      <c r="I524" s="1" t="s">
        <v>41</v>
      </c>
      <c r="J524">
        <v>250000</v>
      </c>
      <c r="K524">
        <v>354000</v>
      </c>
      <c r="L524" s="1" t="s">
        <v>88</v>
      </c>
      <c r="M524" s="1" t="s">
        <v>10</v>
      </c>
      <c r="N524" s="1" t="s">
        <v>89</v>
      </c>
      <c r="O524">
        <v>4956000</v>
      </c>
      <c r="P524">
        <v>1456000</v>
      </c>
      <c r="Q524">
        <v>29.38</v>
      </c>
    </row>
    <row r="525" spans="1:17" x14ac:dyDescent="0.35">
      <c r="A525" s="1" t="s">
        <v>1112</v>
      </c>
      <c r="B525" s="1" t="s">
        <v>173</v>
      </c>
      <c r="C525" s="1" t="s">
        <v>63</v>
      </c>
      <c r="D525" s="1" t="s">
        <v>121</v>
      </c>
      <c r="E525">
        <v>4</v>
      </c>
      <c r="F525" s="2">
        <v>45642</v>
      </c>
      <c r="G525" s="1" t="s">
        <v>1342</v>
      </c>
      <c r="H525" s="1" t="s">
        <v>1317</v>
      </c>
      <c r="I525" s="1" t="s">
        <v>1323</v>
      </c>
      <c r="J525">
        <v>80000</v>
      </c>
      <c r="K525">
        <v>92000</v>
      </c>
      <c r="L525" s="1" t="s">
        <v>64</v>
      </c>
      <c r="M525" s="1" t="s">
        <v>23</v>
      </c>
      <c r="N525" s="1" t="s">
        <v>65</v>
      </c>
      <c r="O525">
        <v>368000</v>
      </c>
      <c r="P525">
        <v>48000</v>
      </c>
      <c r="Q525">
        <v>13.04</v>
      </c>
    </row>
    <row r="526" spans="1:17" x14ac:dyDescent="0.35">
      <c r="A526" s="1" t="s">
        <v>1114</v>
      </c>
      <c r="B526" s="1" t="s">
        <v>111</v>
      </c>
      <c r="C526" s="1" t="s">
        <v>45</v>
      </c>
      <c r="D526" s="1" t="s">
        <v>157</v>
      </c>
      <c r="E526">
        <v>15</v>
      </c>
      <c r="F526" s="2">
        <v>45575</v>
      </c>
      <c r="G526" s="1" t="s">
        <v>1344</v>
      </c>
      <c r="H526" s="1" t="s">
        <v>1311</v>
      </c>
      <c r="I526" s="1" t="s">
        <v>1323</v>
      </c>
      <c r="J526">
        <v>18000000</v>
      </c>
      <c r="K526">
        <v>27603000</v>
      </c>
      <c r="L526" s="1" t="s">
        <v>46</v>
      </c>
      <c r="M526" s="1" t="s">
        <v>10</v>
      </c>
      <c r="N526" s="1" t="s">
        <v>47</v>
      </c>
      <c r="O526">
        <v>414045000</v>
      </c>
      <c r="P526">
        <v>144045000</v>
      </c>
      <c r="Q526">
        <v>34.79</v>
      </c>
    </row>
    <row r="527" spans="1:17" x14ac:dyDescent="0.35">
      <c r="A527" s="1" t="s">
        <v>1116</v>
      </c>
      <c r="B527" s="1" t="s">
        <v>176</v>
      </c>
      <c r="C527" s="1" t="s">
        <v>63</v>
      </c>
      <c r="D527" s="1" t="s">
        <v>143</v>
      </c>
      <c r="E527">
        <v>9</v>
      </c>
      <c r="F527" s="2">
        <v>45515</v>
      </c>
      <c r="G527" s="1" t="s">
        <v>1329</v>
      </c>
      <c r="H527" s="1" t="s">
        <v>1330</v>
      </c>
      <c r="I527" s="1" t="s">
        <v>1323</v>
      </c>
      <c r="J527">
        <v>1500000</v>
      </c>
      <c r="K527">
        <v>1772000</v>
      </c>
      <c r="L527" s="1" t="s">
        <v>64</v>
      </c>
      <c r="M527" s="1" t="s">
        <v>23</v>
      </c>
      <c r="N527" s="1" t="s">
        <v>65</v>
      </c>
      <c r="O527">
        <v>15948000</v>
      </c>
      <c r="P527">
        <v>2448000</v>
      </c>
      <c r="Q527">
        <v>15.35</v>
      </c>
    </row>
    <row r="528" spans="1:17" x14ac:dyDescent="0.35">
      <c r="A528" s="1" t="s">
        <v>1118</v>
      </c>
      <c r="B528" s="1" t="s">
        <v>106</v>
      </c>
      <c r="C528" s="1" t="s">
        <v>15</v>
      </c>
      <c r="D528" s="1" t="s">
        <v>171</v>
      </c>
      <c r="E528">
        <v>12</v>
      </c>
      <c r="F528" s="2">
        <v>45616</v>
      </c>
      <c r="G528" s="1" t="s">
        <v>1348</v>
      </c>
      <c r="H528" s="1" t="s">
        <v>1317</v>
      </c>
      <c r="I528" s="1" t="s">
        <v>1323</v>
      </c>
      <c r="J528">
        <v>300000</v>
      </c>
      <c r="K528">
        <v>355000</v>
      </c>
      <c r="L528" s="1" t="s">
        <v>16</v>
      </c>
      <c r="M528" s="1" t="s">
        <v>10</v>
      </c>
      <c r="N528" s="1" t="s">
        <v>17</v>
      </c>
      <c r="O528">
        <v>4260000</v>
      </c>
      <c r="P528">
        <v>660000</v>
      </c>
      <c r="Q528">
        <v>15.49</v>
      </c>
    </row>
    <row r="529" spans="1:17" x14ac:dyDescent="0.35">
      <c r="A529" s="1" t="s">
        <v>1120</v>
      </c>
      <c r="B529" s="1" t="s">
        <v>168</v>
      </c>
      <c r="C529" s="1" t="s">
        <v>39</v>
      </c>
      <c r="D529" s="1" t="s">
        <v>171</v>
      </c>
      <c r="E529">
        <v>8</v>
      </c>
      <c r="F529" s="2">
        <v>45396</v>
      </c>
      <c r="G529" s="1" t="s">
        <v>1338</v>
      </c>
      <c r="H529" s="1" t="s">
        <v>1336</v>
      </c>
      <c r="I529" s="1" t="s">
        <v>41</v>
      </c>
      <c r="J529">
        <v>500000</v>
      </c>
      <c r="K529">
        <v>844000</v>
      </c>
      <c r="L529" s="1" t="s">
        <v>40</v>
      </c>
      <c r="M529" s="1" t="s">
        <v>23</v>
      </c>
      <c r="N529" s="1" t="s">
        <v>41</v>
      </c>
      <c r="O529">
        <v>6752000</v>
      </c>
      <c r="P529">
        <v>2752000</v>
      </c>
      <c r="Q529">
        <v>40.76</v>
      </c>
    </row>
    <row r="530" spans="1:17" x14ac:dyDescent="0.35">
      <c r="A530" s="1" t="s">
        <v>1122</v>
      </c>
      <c r="B530" s="1" t="s">
        <v>106</v>
      </c>
      <c r="C530" s="1" t="s">
        <v>82</v>
      </c>
      <c r="D530" s="1" t="s">
        <v>124</v>
      </c>
      <c r="E530">
        <v>15</v>
      </c>
      <c r="F530" s="2">
        <v>45383</v>
      </c>
      <c r="G530" s="1" t="s">
        <v>1348</v>
      </c>
      <c r="H530" s="1" t="s">
        <v>1317</v>
      </c>
      <c r="I530" s="1" t="s">
        <v>1323</v>
      </c>
      <c r="J530">
        <v>300000</v>
      </c>
      <c r="K530">
        <v>355000</v>
      </c>
      <c r="L530" s="1" t="s">
        <v>83</v>
      </c>
      <c r="M530" s="1" t="s">
        <v>23</v>
      </c>
      <c r="N530" s="1" t="s">
        <v>84</v>
      </c>
      <c r="O530">
        <v>5325000</v>
      </c>
      <c r="P530">
        <v>825000</v>
      </c>
      <c r="Q530">
        <v>15.49</v>
      </c>
    </row>
    <row r="531" spans="1:17" x14ac:dyDescent="0.35">
      <c r="A531" s="1" t="s">
        <v>1124</v>
      </c>
      <c r="B531" s="1" t="s">
        <v>109</v>
      </c>
      <c r="C531" s="1" t="s">
        <v>69</v>
      </c>
      <c r="D531" s="1" t="s">
        <v>121</v>
      </c>
      <c r="E531">
        <v>1</v>
      </c>
      <c r="F531" s="2">
        <v>45636</v>
      </c>
      <c r="G531" s="1" t="s">
        <v>1357</v>
      </c>
      <c r="H531" s="1" t="s">
        <v>1358</v>
      </c>
      <c r="I531" s="1" t="s">
        <v>41</v>
      </c>
      <c r="J531">
        <v>2000000</v>
      </c>
      <c r="K531">
        <v>3382000</v>
      </c>
      <c r="L531" s="1" t="s">
        <v>70</v>
      </c>
      <c r="M531" s="1" t="s">
        <v>10</v>
      </c>
      <c r="N531" s="1" t="s">
        <v>11</v>
      </c>
      <c r="O531">
        <v>3382000</v>
      </c>
      <c r="P531">
        <v>1382000</v>
      </c>
      <c r="Q531">
        <v>40.86</v>
      </c>
    </row>
    <row r="532" spans="1:17" x14ac:dyDescent="0.35">
      <c r="A532" s="1" t="s">
        <v>1126</v>
      </c>
      <c r="B532" s="1" t="s">
        <v>191</v>
      </c>
      <c r="C532" s="1" t="s">
        <v>78</v>
      </c>
      <c r="D532" s="1" t="s">
        <v>128</v>
      </c>
      <c r="E532">
        <v>15</v>
      </c>
      <c r="F532" s="2">
        <v>45327</v>
      </c>
      <c r="G532" s="1" t="s">
        <v>1310</v>
      </c>
      <c r="H532" s="1" t="s">
        <v>1311</v>
      </c>
      <c r="I532" s="1" t="s">
        <v>11</v>
      </c>
      <c r="J532">
        <v>12000000</v>
      </c>
      <c r="K532">
        <v>13963000</v>
      </c>
      <c r="L532" s="1" t="s">
        <v>79</v>
      </c>
      <c r="M532" s="1" t="s">
        <v>10</v>
      </c>
      <c r="N532" s="1" t="s">
        <v>17</v>
      </c>
      <c r="O532">
        <v>209445000</v>
      </c>
      <c r="P532">
        <v>29445000</v>
      </c>
      <c r="Q532">
        <v>14.06</v>
      </c>
    </row>
    <row r="533" spans="1:17" x14ac:dyDescent="0.35">
      <c r="A533" s="1" t="s">
        <v>1128</v>
      </c>
      <c r="B533" s="1" t="s">
        <v>141</v>
      </c>
      <c r="C533" s="1" t="s">
        <v>45</v>
      </c>
      <c r="D533" s="1" t="s">
        <v>157</v>
      </c>
      <c r="E533">
        <v>4</v>
      </c>
      <c r="F533" s="2">
        <v>45648</v>
      </c>
      <c r="G533" s="1" t="s">
        <v>1355</v>
      </c>
      <c r="H533" s="1" t="s">
        <v>1330</v>
      </c>
      <c r="I533" s="1" t="s">
        <v>41</v>
      </c>
      <c r="J533">
        <v>400000</v>
      </c>
      <c r="K533">
        <v>623000</v>
      </c>
      <c r="L533" s="1" t="s">
        <v>46</v>
      </c>
      <c r="M533" s="1" t="s">
        <v>10</v>
      </c>
      <c r="N533" s="1" t="s">
        <v>47</v>
      </c>
      <c r="O533">
        <v>2492000</v>
      </c>
      <c r="P533">
        <v>892000</v>
      </c>
      <c r="Q533">
        <v>35.79</v>
      </c>
    </row>
    <row r="534" spans="1:17" x14ac:dyDescent="0.35">
      <c r="A534" s="1" t="s">
        <v>1130</v>
      </c>
      <c r="B534" s="1" t="s">
        <v>176</v>
      </c>
      <c r="C534" s="1" t="s">
        <v>21</v>
      </c>
      <c r="D534" s="1" t="s">
        <v>121</v>
      </c>
      <c r="E534">
        <v>14</v>
      </c>
      <c r="F534" s="2">
        <v>45530</v>
      </c>
      <c r="G534" s="1" t="s">
        <v>1329</v>
      </c>
      <c r="H534" s="1" t="s">
        <v>1330</v>
      </c>
      <c r="I534" s="1" t="s">
        <v>1323</v>
      </c>
      <c r="J534">
        <v>1500000</v>
      </c>
      <c r="K534">
        <v>1772000</v>
      </c>
      <c r="L534" s="1" t="s">
        <v>22</v>
      </c>
      <c r="M534" s="1" t="s">
        <v>23</v>
      </c>
      <c r="N534" s="1" t="s">
        <v>24</v>
      </c>
      <c r="O534">
        <v>24808000</v>
      </c>
      <c r="P534">
        <v>3808000</v>
      </c>
      <c r="Q534">
        <v>15.35</v>
      </c>
    </row>
    <row r="535" spans="1:17" x14ac:dyDescent="0.35">
      <c r="A535" s="1" t="s">
        <v>1132</v>
      </c>
      <c r="B535" s="1" t="s">
        <v>109</v>
      </c>
      <c r="C535" s="1" t="s">
        <v>21</v>
      </c>
      <c r="D535" s="1" t="s">
        <v>128</v>
      </c>
      <c r="E535">
        <v>15</v>
      </c>
      <c r="F535" s="2">
        <v>45331</v>
      </c>
      <c r="G535" s="1" t="s">
        <v>1357</v>
      </c>
      <c r="H535" s="1" t="s">
        <v>1358</v>
      </c>
      <c r="I535" s="1" t="s">
        <v>41</v>
      </c>
      <c r="J535">
        <v>2000000</v>
      </c>
      <c r="K535">
        <v>3382000</v>
      </c>
      <c r="L535" s="1" t="s">
        <v>22</v>
      </c>
      <c r="M535" s="1" t="s">
        <v>23</v>
      </c>
      <c r="N535" s="1" t="s">
        <v>24</v>
      </c>
      <c r="O535">
        <v>50730000</v>
      </c>
      <c r="P535">
        <v>20730000</v>
      </c>
      <c r="Q535">
        <v>40.86</v>
      </c>
    </row>
    <row r="536" spans="1:17" x14ac:dyDescent="0.35">
      <c r="A536" s="1" t="s">
        <v>1134</v>
      </c>
      <c r="B536" s="1" t="s">
        <v>197</v>
      </c>
      <c r="C536" s="1" t="s">
        <v>45</v>
      </c>
      <c r="D536" s="1" t="s">
        <v>121</v>
      </c>
      <c r="E536">
        <v>11</v>
      </c>
      <c r="F536" s="2">
        <v>45394</v>
      </c>
      <c r="G536" s="1" t="s">
        <v>1350</v>
      </c>
      <c r="H536" s="1" t="s">
        <v>1336</v>
      </c>
      <c r="I536" s="1" t="s">
        <v>11</v>
      </c>
      <c r="J536">
        <v>1200000</v>
      </c>
      <c r="K536">
        <v>1375000</v>
      </c>
      <c r="L536" s="1" t="s">
        <v>46</v>
      </c>
      <c r="M536" s="1" t="s">
        <v>10</v>
      </c>
      <c r="N536" s="1" t="s">
        <v>47</v>
      </c>
      <c r="O536">
        <v>15125000</v>
      </c>
      <c r="P536">
        <v>1925000</v>
      </c>
      <c r="Q536">
        <v>12.73</v>
      </c>
    </row>
    <row r="537" spans="1:17" x14ac:dyDescent="0.35">
      <c r="A537" s="1" t="s">
        <v>1135</v>
      </c>
      <c r="B537" s="1" t="s">
        <v>272</v>
      </c>
      <c r="C537" s="1" t="s">
        <v>45</v>
      </c>
      <c r="D537" s="1" t="s">
        <v>143</v>
      </c>
      <c r="E537">
        <v>5</v>
      </c>
      <c r="F537" s="2">
        <v>45434</v>
      </c>
      <c r="G537" s="1" t="s">
        <v>1320</v>
      </c>
      <c r="H537" s="1" t="s">
        <v>1317</v>
      </c>
      <c r="I537" s="1" t="s">
        <v>1323</v>
      </c>
      <c r="J537">
        <v>650000</v>
      </c>
      <c r="K537">
        <v>741000</v>
      </c>
      <c r="L537" s="1" t="s">
        <v>46</v>
      </c>
      <c r="M537" s="1" t="s">
        <v>10</v>
      </c>
      <c r="N537" s="1" t="s">
        <v>47</v>
      </c>
      <c r="O537">
        <v>3705000</v>
      </c>
      <c r="P537">
        <v>455000</v>
      </c>
      <c r="Q537">
        <v>12.28</v>
      </c>
    </row>
    <row r="538" spans="1:17" x14ac:dyDescent="0.35">
      <c r="A538" s="1" t="s">
        <v>1137</v>
      </c>
      <c r="B538" s="1" t="s">
        <v>272</v>
      </c>
      <c r="C538" s="1" t="s">
        <v>78</v>
      </c>
      <c r="D538" s="1" t="s">
        <v>157</v>
      </c>
      <c r="E538">
        <v>9</v>
      </c>
      <c r="F538" s="2">
        <v>45557</v>
      </c>
      <c r="G538" s="1" t="s">
        <v>1320</v>
      </c>
      <c r="H538" s="1" t="s">
        <v>1317</v>
      </c>
      <c r="I538" s="1" t="s">
        <v>1323</v>
      </c>
      <c r="J538">
        <v>650000</v>
      </c>
      <c r="K538">
        <v>741000</v>
      </c>
      <c r="L538" s="1" t="s">
        <v>79</v>
      </c>
      <c r="M538" s="1" t="s">
        <v>10</v>
      </c>
      <c r="N538" s="1" t="s">
        <v>17</v>
      </c>
      <c r="O538">
        <v>6669000</v>
      </c>
      <c r="P538">
        <v>819000</v>
      </c>
      <c r="Q538">
        <v>12.28</v>
      </c>
    </row>
    <row r="539" spans="1:17" x14ac:dyDescent="0.35">
      <c r="A539" s="1" t="s">
        <v>1138</v>
      </c>
      <c r="B539" s="1" t="s">
        <v>248</v>
      </c>
      <c r="C539" s="1" t="s">
        <v>82</v>
      </c>
      <c r="D539" s="1" t="s">
        <v>143</v>
      </c>
      <c r="E539">
        <v>2</v>
      </c>
      <c r="F539" s="2">
        <v>45581</v>
      </c>
      <c r="G539" s="1" t="s">
        <v>1335</v>
      </c>
      <c r="H539" s="1" t="s">
        <v>1336</v>
      </c>
      <c r="I539" s="1" t="s">
        <v>41</v>
      </c>
      <c r="J539">
        <v>250000</v>
      </c>
      <c r="K539">
        <v>354000</v>
      </c>
      <c r="L539" s="1" t="s">
        <v>83</v>
      </c>
      <c r="M539" s="1" t="s">
        <v>23</v>
      </c>
      <c r="N539" s="1" t="s">
        <v>84</v>
      </c>
      <c r="O539">
        <v>708000</v>
      </c>
      <c r="P539">
        <v>208000</v>
      </c>
      <c r="Q539">
        <v>29.38</v>
      </c>
    </row>
    <row r="540" spans="1:17" x14ac:dyDescent="0.35">
      <c r="A540" s="1" t="s">
        <v>1140</v>
      </c>
      <c r="B540" s="1" t="s">
        <v>172</v>
      </c>
      <c r="C540" s="1" t="s">
        <v>39</v>
      </c>
      <c r="D540" s="1" t="s">
        <v>128</v>
      </c>
      <c r="E540">
        <v>1</v>
      </c>
      <c r="F540" s="2">
        <v>45352</v>
      </c>
      <c r="G540" s="1" t="s">
        <v>1340</v>
      </c>
      <c r="H540" s="1" t="s">
        <v>1330</v>
      </c>
      <c r="I540" s="1" t="s">
        <v>41</v>
      </c>
      <c r="J540">
        <v>950000</v>
      </c>
      <c r="K540">
        <v>1649000</v>
      </c>
      <c r="L540" s="1" t="s">
        <v>40</v>
      </c>
      <c r="M540" s="1" t="s">
        <v>23</v>
      </c>
      <c r="N540" s="1" t="s">
        <v>41</v>
      </c>
      <c r="O540">
        <v>1649000</v>
      </c>
      <c r="P540">
        <v>699000</v>
      </c>
      <c r="Q540">
        <v>42.39</v>
      </c>
    </row>
    <row r="541" spans="1:17" x14ac:dyDescent="0.35">
      <c r="A541" s="1" t="s">
        <v>1142</v>
      </c>
      <c r="B541" s="1" t="s">
        <v>133</v>
      </c>
      <c r="C541" s="1" t="s">
        <v>82</v>
      </c>
      <c r="D541" s="1" t="s">
        <v>128</v>
      </c>
      <c r="E541">
        <v>11</v>
      </c>
      <c r="F541" s="2">
        <v>45456</v>
      </c>
      <c r="G541" s="1" t="s">
        <v>1354</v>
      </c>
      <c r="H541" s="1" t="s">
        <v>1330</v>
      </c>
      <c r="I541" s="1" t="s">
        <v>11</v>
      </c>
      <c r="J541">
        <v>2500000</v>
      </c>
      <c r="K541">
        <v>3080000</v>
      </c>
      <c r="L541" s="1" t="s">
        <v>83</v>
      </c>
      <c r="M541" s="1" t="s">
        <v>23</v>
      </c>
      <c r="N541" s="1" t="s">
        <v>84</v>
      </c>
      <c r="O541">
        <v>33880000</v>
      </c>
      <c r="P541">
        <v>6380000</v>
      </c>
      <c r="Q541">
        <v>18.829999999999998</v>
      </c>
    </row>
    <row r="542" spans="1:17" x14ac:dyDescent="0.35">
      <c r="A542" s="1" t="s">
        <v>1144</v>
      </c>
      <c r="B542" s="1" t="s">
        <v>272</v>
      </c>
      <c r="C542" s="1" t="s">
        <v>39</v>
      </c>
      <c r="D542" s="1" t="s">
        <v>157</v>
      </c>
      <c r="E542">
        <v>2</v>
      </c>
      <c r="F542" s="2">
        <v>45419</v>
      </c>
      <c r="G542" s="1" t="s">
        <v>1320</v>
      </c>
      <c r="H542" s="1" t="s">
        <v>1317</v>
      </c>
      <c r="I542" s="1" t="s">
        <v>1323</v>
      </c>
      <c r="J542">
        <v>650000</v>
      </c>
      <c r="K542">
        <v>741000</v>
      </c>
      <c r="L542" s="1" t="s">
        <v>40</v>
      </c>
      <c r="M542" s="1" t="s">
        <v>23</v>
      </c>
      <c r="N542" s="1" t="s">
        <v>41</v>
      </c>
      <c r="O542">
        <v>1482000</v>
      </c>
      <c r="P542">
        <v>182000</v>
      </c>
      <c r="Q542">
        <v>12.28</v>
      </c>
    </row>
    <row r="543" spans="1:17" x14ac:dyDescent="0.35">
      <c r="A543" s="1" t="s">
        <v>1146</v>
      </c>
      <c r="B543" s="1" t="s">
        <v>197</v>
      </c>
      <c r="C543" s="1" t="s">
        <v>69</v>
      </c>
      <c r="D543" s="1" t="s">
        <v>157</v>
      </c>
      <c r="E543">
        <v>4</v>
      </c>
      <c r="F543" s="2">
        <v>45494</v>
      </c>
      <c r="G543" s="1" t="s">
        <v>1350</v>
      </c>
      <c r="H543" s="1" t="s">
        <v>1336</v>
      </c>
      <c r="I543" s="1" t="s">
        <v>11</v>
      </c>
      <c r="J543">
        <v>1200000</v>
      </c>
      <c r="K543">
        <v>1375000</v>
      </c>
      <c r="L543" s="1" t="s">
        <v>70</v>
      </c>
      <c r="M543" s="1" t="s">
        <v>10</v>
      </c>
      <c r="N543" s="1" t="s">
        <v>11</v>
      </c>
      <c r="O543">
        <v>5500000</v>
      </c>
      <c r="P543">
        <v>700000</v>
      </c>
      <c r="Q543">
        <v>12.73</v>
      </c>
    </row>
    <row r="544" spans="1:17" x14ac:dyDescent="0.35">
      <c r="A544" s="1" t="s">
        <v>1148</v>
      </c>
      <c r="B544" s="1" t="s">
        <v>106</v>
      </c>
      <c r="C544" s="1" t="s">
        <v>69</v>
      </c>
      <c r="D544" s="1" t="s">
        <v>171</v>
      </c>
      <c r="E544">
        <v>3</v>
      </c>
      <c r="F544" s="2">
        <v>45505</v>
      </c>
      <c r="G544" s="1" t="s">
        <v>1348</v>
      </c>
      <c r="H544" s="1" t="s">
        <v>1317</v>
      </c>
      <c r="I544" s="1" t="s">
        <v>1323</v>
      </c>
      <c r="J544">
        <v>300000</v>
      </c>
      <c r="K544">
        <v>355000</v>
      </c>
      <c r="L544" s="1" t="s">
        <v>70</v>
      </c>
      <c r="M544" s="1" t="s">
        <v>10</v>
      </c>
      <c r="N544" s="1" t="s">
        <v>11</v>
      </c>
      <c r="O544">
        <v>1065000</v>
      </c>
      <c r="P544">
        <v>165000</v>
      </c>
      <c r="Q544">
        <v>15.49</v>
      </c>
    </row>
    <row r="545" spans="1:17" x14ac:dyDescent="0.35">
      <c r="A545" s="1" t="s">
        <v>1149</v>
      </c>
      <c r="B545" s="1" t="s">
        <v>149</v>
      </c>
      <c r="C545" s="1" t="s">
        <v>39</v>
      </c>
      <c r="D545" s="1" t="s">
        <v>157</v>
      </c>
      <c r="E545">
        <v>14</v>
      </c>
      <c r="F545" s="2">
        <v>45611</v>
      </c>
      <c r="G545" s="1" t="s">
        <v>1316</v>
      </c>
      <c r="H545" s="1" t="s">
        <v>1317</v>
      </c>
      <c r="I545" s="1" t="s">
        <v>41</v>
      </c>
      <c r="J545">
        <v>100000</v>
      </c>
      <c r="K545">
        <v>169000</v>
      </c>
      <c r="L545" s="1" t="s">
        <v>40</v>
      </c>
      <c r="M545" s="1" t="s">
        <v>23</v>
      </c>
      <c r="N545" s="1" t="s">
        <v>41</v>
      </c>
      <c r="O545">
        <v>2366000</v>
      </c>
      <c r="P545">
        <v>966000</v>
      </c>
      <c r="Q545">
        <v>40.83</v>
      </c>
    </row>
    <row r="546" spans="1:17" x14ac:dyDescent="0.35">
      <c r="A546" s="1" t="s">
        <v>1151</v>
      </c>
      <c r="B546" s="1" t="s">
        <v>188</v>
      </c>
      <c r="C546" s="1" t="s">
        <v>35</v>
      </c>
      <c r="D546" s="1" t="s">
        <v>128</v>
      </c>
      <c r="E546">
        <v>10</v>
      </c>
      <c r="F546" s="2">
        <v>45566</v>
      </c>
      <c r="G546" s="1" t="s">
        <v>1327</v>
      </c>
      <c r="H546" s="1" t="s">
        <v>1311</v>
      </c>
      <c r="I546" s="1" t="s">
        <v>41</v>
      </c>
      <c r="J546">
        <v>2800000</v>
      </c>
      <c r="K546">
        <v>4747000</v>
      </c>
      <c r="L546" s="1" t="s">
        <v>36</v>
      </c>
      <c r="M546" s="1" t="s">
        <v>10</v>
      </c>
      <c r="N546" s="1" t="s">
        <v>11</v>
      </c>
      <c r="O546">
        <v>47470000</v>
      </c>
      <c r="P546">
        <v>19470000</v>
      </c>
      <c r="Q546">
        <v>41.02</v>
      </c>
    </row>
    <row r="547" spans="1:17" x14ac:dyDescent="0.35">
      <c r="A547" s="1" t="s">
        <v>1153</v>
      </c>
      <c r="B547" s="1" t="s">
        <v>173</v>
      </c>
      <c r="C547" s="1" t="s">
        <v>45</v>
      </c>
      <c r="D547" s="1" t="s">
        <v>157</v>
      </c>
      <c r="E547">
        <v>13</v>
      </c>
      <c r="F547" s="2">
        <v>45570</v>
      </c>
      <c r="G547" s="1" t="s">
        <v>1342</v>
      </c>
      <c r="H547" s="1" t="s">
        <v>1317</v>
      </c>
      <c r="I547" s="1" t="s">
        <v>1323</v>
      </c>
      <c r="J547">
        <v>80000</v>
      </c>
      <c r="K547">
        <v>92000</v>
      </c>
      <c r="L547" s="1" t="s">
        <v>46</v>
      </c>
      <c r="M547" s="1" t="s">
        <v>10</v>
      </c>
      <c r="N547" s="1" t="s">
        <v>47</v>
      </c>
      <c r="O547">
        <v>1196000</v>
      </c>
      <c r="P547">
        <v>156000</v>
      </c>
      <c r="Q547">
        <v>13.04</v>
      </c>
    </row>
    <row r="548" spans="1:17" x14ac:dyDescent="0.35">
      <c r="A548" s="1" t="s">
        <v>1155</v>
      </c>
      <c r="B548" s="1" t="s">
        <v>176</v>
      </c>
      <c r="C548" s="1" t="s">
        <v>45</v>
      </c>
      <c r="D548" s="1" t="s">
        <v>171</v>
      </c>
      <c r="E548">
        <v>10</v>
      </c>
      <c r="F548" s="2">
        <v>45582</v>
      </c>
      <c r="G548" s="1" t="s">
        <v>1329</v>
      </c>
      <c r="H548" s="1" t="s">
        <v>1330</v>
      </c>
      <c r="I548" s="1" t="s">
        <v>1323</v>
      </c>
      <c r="J548">
        <v>1500000</v>
      </c>
      <c r="K548">
        <v>1772000</v>
      </c>
      <c r="L548" s="1" t="s">
        <v>46</v>
      </c>
      <c r="M548" s="1" t="s">
        <v>10</v>
      </c>
      <c r="N548" s="1" t="s">
        <v>47</v>
      </c>
      <c r="O548">
        <v>17720000</v>
      </c>
      <c r="P548">
        <v>2720000</v>
      </c>
      <c r="Q548">
        <v>15.35</v>
      </c>
    </row>
    <row r="549" spans="1:17" x14ac:dyDescent="0.35">
      <c r="A549" s="1" t="s">
        <v>1157</v>
      </c>
      <c r="B549" s="1" t="s">
        <v>188</v>
      </c>
      <c r="C549" s="1" t="s">
        <v>57</v>
      </c>
      <c r="D549" s="1" t="s">
        <v>157</v>
      </c>
      <c r="E549">
        <v>1</v>
      </c>
      <c r="F549" s="2">
        <v>45611</v>
      </c>
      <c r="G549" s="1" t="s">
        <v>1327</v>
      </c>
      <c r="H549" s="1" t="s">
        <v>1311</v>
      </c>
      <c r="I549" s="1" t="s">
        <v>41</v>
      </c>
      <c r="J549">
        <v>2800000</v>
      </c>
      <c r="K549">
        <v>4747000</v>
      </c>
      <c r="L549" s="1" t="s">
        <v>58</v>
      </c>
      <c r="M549" s="1" t="s">
        <v>10</v>
      </c>
      <c r="N549" s="1" t="s">
        <v>59</v>
      </c>
      <c r="O549">
        <v>4747000</v>
      </c>
      <c r="P549">
        <v>1947000</v>
      </c>
      <c r="Q549">
        <v>41.02</v>
      </c>
    </row>
    <row r="550" spans="1:17" x14ac:dyDescent="0.35">
      <c r="A550" s="1" t="s">
        <v>1159</v>
      </c>
      <c r="B550" s="1" t="s">
        <v>116</v>
      </c>
      <c r="C550" s="1" t="s">
        <v>73</v>
      </c>
      <c r="D550" s="1" t="s">
        <v>121</v>
      </c>
      <c r="E550">
        <v>9</v>
      </c>
      <c r="F550" s="2">
        <v>45496</v>
      </c>
      <c r="G550" s="1" t="s">
        <v>1352</v>
      </c>
      <c r="H550" s="1" t="s">
        <v>1330</v>
      </c>
      <c r="I550" s="1" t="s">
        <v>1323</v>
      </c>
      <c r="J550">
        <v>5000000</v>
      </c>
      <c r="K550">
        <v>7546000</v>
      </c>
      <c r="L550" s="1" t="s">
        <v>74</v>
      </c>
      <c r="M550" s="1" t="s">
        <v>23</v>
      </c>
      <c r="N550" s="1" t="s">
        <v>75</v>
      </c>
      <c r="O550">
        <v>67914000</v>
      </c>
      <c r="P550">
        <v>22914000</v>
      </c>
      <c r="Q550">
        <v>33.74</v>
      </c>
    </row>
    <row r="551" spans="1:17" x14ac:dyDescent="0.35">
      <c r="A551" s="1" t="s">
        <v>1161</v>
      </c>
      <c r="B551" s="1" t="s">
        <v>141</v>
      </c>
      <c r="C551" s="1" t="s">
        <v>39</v>
      </c>
      <c r="D551" s="1" t="s">
        <v>124</v>
      </c>
      <c r="E551">
        <v>5</v>
      </c>
      <c r="F551" s="2">
        <v>45532</v>
      </c>
      <c r="G551" s="1" t="s">
        <v>1355</v>
      </c>
      <c r="H551" s="1" t="s">
        <v>1330</v>
      </c>
      <c r="I551" s="1" t="s">
        <v>41</v>
      </c>
      <c r="J551">
        <v>400000</v>
      </c>
      <c r="K551">
        <v>623000</v>
      </c>
      <c r="L551" s="1" t="s">
        <v>40</v>
      </c>
      <c r="M551" s="1" t="s">
        <v>23</v>
      </c>
      <c r="N551" s="1" t="s">
        <v>41</v>
      </c>
      <c r="O551">
        <v>3115000</v>
      </c>
      <c r="P551">
        <v>1115000</v>
      </c>
      <c r="Q551">
        <v>35.79</v>
      </c>
    </row>
    <row r="552" spans="1:17" x14ac:dyDescent="0.35">
      <c r="A552" s="1" t="s">
        <v>1163</v>
      </c>
      <c r="B552" s="1" t="s">
        <v>176</v>
      </c>
      <c r="C552" s="1" t="s">
        <v>82</v>
      </c>
      <c r="D552" s="1" t="s">
        <v>143</v>
      </c>
      <c r="E552">
        <v>8</v>
      </c>
      <c r="F552" s="2">
        <v>45475</v>
      </c>
      <c r="G552" s="1" t="s">
        <v>1329</v>
      </c>
      <c r="H552" s="1" t="s">
        <v>1330</v>
      </c>
      <c r="I552" s="1" t="s">
        <v>1323</v>
      </c>
      <c r="J552">
        <v>1500000</v>
      </c>
      <c r="K552">
        <v>1772000</v>
      </c>
      <c r="L552" s="1" t="s">
        <v>83</v>
      </c>
      <c r="M552" s="1" t="s">
        <v>23</v>
      </c>
      <c r="N552" s="1" t="s">
        <v>84</v>
      </c>
      <c r="O552">
        <v>14176000</v>
      </c>
      <c r="P552">
        <v>2176000</v>
      </c>
      <c r="Q552">
        <v>15.35</v>
      </c>
    </row>
    <row r="553" spans="1:17" x14ac:dyDescent="0.35">
      <c r="A553" s="1" t="s">
        <v>1163</v>
      </c>
      <c r="B553" s="1" t="s">
        <v>164</v>
      </c>
      <c r="C553" s="1" t="s">
        <v>82</v>
      </c>
      <c r="D553" s="1" t="s">
        <v>143</v>
      </c>
      <c r="E553">
        <v>8</v>
      </c>
      <c r="F553" s="2">
        <v>45475</v>
      </c>
      <c r="G553" s="1" t="s">
        <v>1332</v>
      </c>
      <c r="H553" s="1" t="s">
        <v>1330</v>
      </c>
      <c r="I553" s="1" t="s">
        <v>11</v>
      </c>
      <c r="J553">
        <v>750000</v>
      </c>
      <c r="K553">
        <v>971000</v>
      </c>
      <c r="L553" s="1" t="s">
        <v>83</v>
      </c>
      <c r="M553" s="1" t="s">
        <v>23</v>
      </c>
      <c r="N553" s="1" t="s">
        <v>84</v>
      </c>
      <c r="O553">
        <v>7768000</v>
      </c>
      <c r="P553">
        <v>1768000</v>
      </c>
      <c r="Q553">
        <v>22.76</v>
      </c>
    </row>
    <row r="554" spans="1:17" x14ac:dyDescent="0.35">
      <c r="A554" s="1" t="s">
        <v>1163</v>
      </c>
      <c r="B554" s="1" t="s">
        <v>113</v>
      </c>
      <c r="C554" s="1" t="s">
        <v>82</v>
      </c>
      <c r="D554" s="1" t="s">
        <v>143</v>
      </c>
      <c r="E554">
        <v>16</v>
      </c>
      <c r="F554" s="2">
        <v>45475</v>
      </c>
      <c r="G554" s="1" t="s">
        <v>1346</v>
      </c>
      <c r="H554" s="1" t="s">
        <v>1311</v>
      </c>
      <c r="I554" s="1" t="s">
        <v>1323</v>
      </c>
      <c r="J554">
        <v>4500000</v>
      </c>
      <c r="K554">
        <v>5522000</v>
      </c>
      <c r="L554" s="1" t="s">
        <v>83</v>
      </c>
      <c r="M554" s="1" t="s">
        <v>23</v>
      </c>
      <c r="N554" s="1" t="s">
        <v>84</v>
      </c>
      <c r="O554">
        <v>88352000</v>
      </c>
      <c r="P554">
        <v>16352000</v>
      </c>
      <c r="Q554">
        <v>18.510000000000002</v>
      </c>
    </row>
    <row r="555" spans="1:17" x14ac:dyDescent="0.35">
      <c r="A555" s="1" t="s">
        <v>1163</v>
      </c>
      <c r="B555" s="1" t="s">
        <v>106</v>
      </c>
      <c r="C555" s="1" t="s">
        <v>82</v>
      </c>
      <c r="D555" s="1" t="s">
        <v>143</v>
      </c>
      <c r="E555">
        <v>8</v>
      </c>
      <c r="F555" s="2">
        <v>45475</v>
      </c>
      <c r="G555" s="1" t="s">
        <v>1348</v>
      </c>
      <c r="H555" s="1" t="s">
        <v>1317</v>
      </c>
      <c r="I555" s="1" t="s">
        <v>1323</v>
      </c>
      <c r="J555">
        <v>300000</v>
      </c>
      <c r="K555">
        <v>355000</v>
      </c>
      <c r="L555" s="1" t="s">
        <v>83</v>
      </c>
      <c r="M555" s="1" t="s">
        <v>23</v>
      </c>
      <c r="N555" s="1" t="s">
        <v>84</v>
      </c>
      <c r="O555">
        <v>2840000</v>
      </c>
      <c r="P555">
        <v>440000</v>
      </c>
      <c r="Q555">
        <v>15.49</v>
      </c>
    </row>
    <row r="556" spans="1:17" x14ac:dyDescent="0.35">
      <c r="A556" s="1" t="s">
        <v>1165</v>
      </c>
      <c r="B556" s="1" t="s">
        <v>141</v>
      </c>
      <c r="C556" s="1" t="s">
        <v>87</v>
      </c>
      <c r="D556" s="1" t="s">
        <v>124</v>
      </c>
      <c r="E556">
        <v>11</v>
      </c>
      <c r="F556" s="2">
        <v>45640</v>
      </c>
      <c r="G556" s="1" t="s">
        <v>1355</v>
      </c>
      <c r="H556" s="1" t="s">
        <v>1330</v>
      </c>
      <c r="I556" s="1" t="s">
        <v>41</v>
      </c>
      <c r="J556">
        <v>400000</v>
      </c>
      <c r="K556">
        <v>623000</v>
      </c>
      <c r="L556" s="1" t="s">
        <v>88</v>
      </c>
      <c r="M556" s="1" t="s">
        <v>10</v>
      </c>
      <c r="N556" s="1" t="s">
        <v>89</v>
      </c>
      <c r="O556">
        <v>6853000</v>
      </c>
      <c r="P556">
        <v>2453000</v>
      </c>
      <c r="Q556">
        <v>35.79</v>
      </c>
    </row>
    <row r="557" spans="1:17" x14ac:dyDescent="0.35">
      <c r="A557" s="1" t="s">
        <v>1167</v>
      </c>
      <c r="B557" s="1" t="s">
        <v>109</v>
      </c>
      <c r="C557" s="1" t="s">
        <v>63</v>
      </c>
      <c r="D557" s="1" t="s">
        <v>121</v>
      </c>
      <c r="E557">
        <v>15</v>
      </c>
      <c r="F557" s="2">
        <v>45517</v>
      </c>
      <c r="G557" s="1" t="s">
        <v>1357</v>
      </c>
      <c r="H557" s="1" t="s">
        <v>1358</v>
      </c>
      <c r="I557" s="1" t="s">
        <v>41</v>
      </c>
      <c r="J557">
        <v>2000000</v>
      </c>
      <c r="K557">
        <v>3382000</v>
      </c>
      <c r="L557" s="1" t="s">
        <v>64</v>
      </c>
      <c r="M557" s="1" t="s">
        <v>23</v>
      </c>
      <c r="N557" s="1" t="s">
        <v>65</v>
      </c>
      <c r="O557">
        <v>50730000</v>
      </c>
      <c r="P557">
        <v>20730000</v>
      </c>
      <c r="Q557">
        <v>40.86</v>
      </c>
    </row>
    <row r="558" spans="1:17" x14ac:dyDescent="0.35">
      <c r="A558" s="1" t="s">
        <v>1169</v>
      </c>
      <c r="B558" s="1" t="s">
        <v>248</v>
      </c>
      <c r="C558" s="1" t="s">
        <v>21</v>
      </c>
      <c r="D558" s="1" t="s">
        <v>124</v>
      </c>
      <c r="E558">
        <v>14</v>
      </c>
      <c r="F558" s="2">
        <v>45373</v>
      </c>
      <c r="G558" s="1" t="s">
        <v>1335</v>
      </c>
      <c r="H558" s="1" t="s">
        <v>1336</v>
      </c>
      <c r="I558" s="1" t="s">
        <v>41</v>
      </c>
      <c r="J558">
        <v>250000</v>
      </c>
      <c r="K558">
        <v>354000</v>
      </c>
      <c r="L558" s="1" t="s">
        <v>22</v>
      </c>
      <c r="M558" s="1" t="s">
        <v>23</v>
      </c>
      <c r="N558" s="1" t="s">
        <v>24</v>
      </c>
      <c r="O558">
        <v>4956000</v>
      </c>
      <c r="P558">
        <v>1456000</v>
      </c>
      <c r="Q558">
        <v>29.38</v>
      </c>
    </row>
    <row r="559" spans="1:17" x14ac:dyDescent="0.35">
      <c r="A559" s="1" t="s">
        <v>1171</v>
      </c>
      <c r="B559" s="1" t="s">
        <v>141</v>
      </c>
      <c r="C559" s="1" t="s">
        <v>15</v>
      </c>
      <c r="D559" s="1" t="s">
        <v>157</v>
      </c>
      <c r="E559">
        <v>6</v>
      </c>
      <c r="F559" s="2">
        <v>45642</v>
      </c>
      <c r="G559" s="1" t="s">
        <v>1355</v>
      </c>
      <c r="H559" s="1" t="s">
        <v>1330</v>
      </c>
      <c r="I559" s="1" t="s">
        <v>41</v>
      </c>
      <c r="J559">
        <v>400000</v>
      </c>
      <c r="K559">
        <v>623000</v>
      </c>
      <c r="L559" s="1" t="s">
        <v>16</v>
      </c>
      <c r="M559" s="1" t="s">
        <v>10</v>
      </c>
      <c r="N559" s="1" t="s">
        <v>17</v>
      </c>
      <c r="O559">
        <v>3738000</v>
      </c>
      <c r="P559">
        <v>1338000</v>
      </c>
      <c r="Q559">
        <v>35.79</v>
      </c>
    </row>
    <row r="560" spans="1:17" x14ac:dyDescent="0.35">
      <c r="A560" s="1" t="s">
        <v>1173</v>
      </c>
      <c r="B560" s="1" t="s">
        <v>188</v>
      </c>
      <c r="C560" s="1" t="s">
        <v>8</v>
      </c>
      <c r="D560" s="1" t="s">
        <v>157</v>
      </c>
      <c r="E560">
        <v>1</v>
      </c>
      <c r="F560" s="2">
        <v>45444</v>
      </c>
      <c r="G560" s="1" t="s">
        <v>1327</v>
      </c>
      <c r="H560" s="1" t="s">
        <v>1311</v>
      </c>
      <c r="I560" s="1" t="s">
        <v>41</v>
      </c>
      <c r="J560">
        <v>2800000</v>
      </c>
      <c r="K560">
        <v>4747000</v>
      </c>
      <c r="L560" s="1" t="s">
        <v>9</v>
      </c>
      <c r="M560" s="1" t="s">
        <v>10</v>
      </c>
      <c r="N560" s="1" t="s">
        <v>11</v>
      </c>
      <c r="O560">
        <v>4747000</v>
      </c>
      <c r="P560">
        <v>1947000</v>
      </c>
      <c r="Q560">
        <v>41.02</v>
      </c>
    </row>
    <row r="561" spans="1:17" x14ac:dyDescent="0.35">
      <c r="A561" s="1" t="s">
        <v>1175</v>
      </c>
      <c r="B561" s="1" t="s">
        <v>197</v>
      </c>
      <c r="C561" s="1" t="s">
        <v>87</v>
      </c>
      <c r="D561" s="1" t="s">
        <v>171</v>
      </c>
      <c r="E561">
        <v>12</v>
      </c>
      <c r="F561" s="2">
        <v>45631</v>
      </c>
      <c r="G561" s="1" t="s">
        <v>1350</v>
      </c>
      <c r="H561" s="1" t="s">
        <v>1336</v>
      </c>
      <c r="I561" s="1" t="s">
        <v>11</v>
      </c>
      <c r="J561">
        <v>1200000</v>
      </c>
      <c r="K561">
        <v>1375000</v>
      </c>
      <c r="L561" s="1" t="s">
        <v>88</v>
      </c>
      <c r="M561" s="1" t="s">
        <v>10</v>
      </c>
      <c r="N561" s="1" t="s">
        <v>89</v>
      </c>
      <c r="O561">
        <v>16500000</v>
      </c>
      <c r="P561">
        <v>2100000</v>
      </c>
      <c r="Q561">
        <v>12.73</v>
      </c>
    </row>
    <row r="562" spans="1:17" x14ac:dyDescent="0.35">
      <c r="A562" s="1" t="s">
        <v>1177</v>
      </c>
      <c r="B562" s="1" t="s">
        <v>116</v>
      </c>
      <c r="C562" s="1" t="s">
        <v>8</v>
      </c>
      <c r="D562" s="1" t="s">
        <v>143</v>
      </c>
      <c r="E562">
        <v>8</v>
      </c>
      <c r="F562" s="2">
        <v>45482</v>
      </c>
      <c r="G562" s="1" t="s">
        <v>1352</v>
      </c>
      <c r="H562" s="1" t="s">
        <v>1330</v>
      </c>
      <c r="I562" s="1" t="s">
        <v>1323</v>
      </c>
      <c r="J562">
        <v>5000000</v>
      </c>
      <c r="K562">
        <v>7546000</v>
      </c>
      <c r="L562" s="1" t="s">
        <v>9</v>
      </c>
      <c r="M562" s="1" t="s">
        <v>10</v>
      </c>
      <c r="N562" s="1" t="s">
        <v>11</v>
      </c>
      <c r="O562">
        <v>60368000</v>
      </c>
      <c r="P562">
        <v>20368000</v>
      </c>
      <c r="Q562">
        <v>33.74</v>
      </c>
    </row>
    <row r="563" spans="1:17" x14ac:dyDescent="0.35">
      <c r="A563" s="1" t="s">
        <v>1179</v>
      </c>
      <c r="B563" s="1" t="s">
        <v>172</v>
      </c>
      <c r="C563" s="1" t="s">
        <v>45</v>
      </c>
      <c r="D563" s="1" t="s">
        <v>128</v>
      </c>
      <c r="E563">
        <v>15</v>
      </c>
      <c r="F563" s="2">
        <v>45605</v>
      </c>
      <c r="G563" s="1" t="s">
        <v>1340</v>
      </c>
      <c r="H563" s="1" t="s">
        <v>1330</v>
      </c>
      <c r="I563" s="1" t="s">
        <v>41</v>
      </c>
      <c r="J563">
        <v>950000</v>
      </c>
      <c r="K563">
        <v>1649000</v>
      </c>
      <c r="L563" s="1" t="s">
        <v>46</v>
      </c>
      <c r="M563" s="1" t="s">
        <v>10</v>
      </c>
      <c r="N563" s="1" t="s">
        <v>47</v>
      </c>
      <c r="O563">
        <v>24735000</v>
      </c>
      <c r="P563">
        <v>10485000</v>
      </c>
      <c r="Q563">
        <v>42.39</v>
      </c>
    </row>
    <row r="564" spans="1:17" x14ac:dyDescent="0.35">
      <c r="A564" s="1" t="s">
        <v>1181</v>
      </c>
      <c r="B564" s="1" t="s">
        <v>133</v>
      </c>
      <c r="C564" s="1" t="s">
        <v>63</v>
      </c>
      <c r="D564" s="1" t="s">
        <v>157</v>
      </c>
      <c r="E564">
        <v>11</v>
      </c>
      <c r="F564" s="2">
        <v>45293</v>
      </c>
      <c r="G564" s="1" t="s">
        <v>1354</v>
      </c>
      <c r="H564" s="1" t="s">
        <v>1330</v>
      </c>
      <c r="I564" s="1" t="s">
        <v>11</v>
      </c>
      <c r="J564">
        <v>2500000</v>
      </c>
      <c r="K564">
        <v>3080000</v>
      </c>
      <c r="L564" s="1" t="s">
        <v>64</v>
      </c>
      <c r="M564" s="1" t="s">
        <v>23</v>
      </c>
      <c r="N564" s="1" t="s">
        <v>65</v>
      </c>
      <c r="O564">
        <v>33880000</v>
      </c>
      <c r="P564">
        <v>6380000</v>
      </c>
      <c r="Q564">
        <v>18.829999999999998</v>
      </c>
    </row>
    <row r="565" spans="1:17" x14ac:dyDescent="0.35">
      <c r="A565" s="1" t="s">
        <v>1183</v>
      </c>
      <c r="B565" s="1" t="s">
        <v>133</v>
      </c>
      <c r="C565" s="1" t="s">
        <v>78</v>
      </c>
      <c r="D565" s="1" t="s">
        <v>171</v>
      </c>
      <c r="E565">
        <v>10</v>
      </c>
      <c r="F565" s="2">
        <v>45451</v>
      </c>
      <c r="G565" s="1" t="s">
        <v>1354</v>
      </c>
      <c r="H565" s="1" t="s">
        <v>1330</v>
      </c>
      <c r="I565" s="1" t="s">
        <v>11</v>
      </c>
      <c r="J565">
        <v>2500000</v>
      </c>
      <c r="K565">
        <v>3080000</v>
      </c>
      <c r="L565" s="1" t="s">
        <v>79</v>
      </c>
      <c r="M565" s="1" t="s">
        <v>10</v>
      </c>
      <c r="N565" s="1" t="s">
        <v>17</v>
      </c>
      <c r="O565">
        <v>30800000</v>
      </c>
      <c r="P565">
        <v>5800000</v>
      </c>
      <c r="Q565">
        <v>18.829999999999998</v>
      </c>
    </row>
    <row r="566" spans="1:17" x14ac:dyDescent="0.35">
      <c r="A566" s="1" t="s">
        <v>1184</v>
      </c>
      <c r="B566" s="1" t="s">
        <v>272</v>
      </c>
      <c r="C566" s="1" t="s">
        <v>8</v>
      </c>
      <c r="D566" s="1" t="s">
        <v>171</v>
      </c>
      <c r="E566">
        <v>12</v>
      </c>
      <c r="F566" s="2">
        <v>45396</v>
      </c>
      <c r="G566" s="1" t="s">
        <v>1320</v>
      </c>
      <c r="H566" s="1" t="s">
        <v>1317</v>
      </c>
      <c r="I566" s="1" t="s">
        <v>1323</v>
      </c>
      <c r="J566">
        <v>650000</v>
      </c>
      <c r="K566">
        <v>741000</v>
      </c>
      <c r="L566" s="1" t="s">
        <v>9</v>
      </c>
      <c r="M566" s="1" t="s">
        <v>10</v>
      </c>
      <c r="N566" s="1" t="s">
        <v>11</v>
      </c>
      <c r="O566">
        <v>8892000</v>
      </c>
      <c r="P566">
        <v>1092000</v>
      </c>
      <c r="Q566">
        <v>12.28</v>
      </c>
    </row>
    <row r="567" spans="1:17" x14ac:dyDescent="0.35">
      <c r="A567" s="1" t="s">
        <v>1185</v>
      </c>
      <c r="B567" s="1" t="s">
        <v>164</v>
      </c>
      <c r="C567" s="1" t="s">
        <v>39</v>
      </c>
      <c r="D567" s="1" t="s">
        <v>157</v>
      </c>
      <c r="E567">
        <v>10</v>
      </c>
      <c r="F567" s="2">
        <v>45331</v>
      </c>
      <c r="G567" s="1" t="s">
        <v>1332</v>
      </c>
      <c r="H567" s="1" t="s">
        <v>1330</v>
      </c>
      <c r="I567" s="1" t="s">
        <v>11</v>
      </c>
      <c r="J567">
        <v>750000</v>
      </c>
      <c r="K567">
        <v>971000</v>
      </c>
      <c r="L567" s="1" t="s">
        <v>40</v>
      </c>
      <c r="M567" s="1" t="s">
        <v>23</v>
      </c>
      <c r="N567" s="1" t="s">
        <v>41</v>
      </c>
      <c r="O567">
        <v>9710000</v>
      </c>
      <c r="P567">
        <v>2210000</v>
      </c>
      <c r="Q567">
        <v>22.76</v>
      </c>
    </row>
    <row r="568" spans="1:17" x14ac:dyDescent="0.35">
      <c r="A568" s="1" t="s">
        <v>1187</v>
      </c>
      <c r="B568" s="1" t="s">
        <v>168</v>
      </c>
      <c r="C568" s="1" t="s">
        <v>29</v>
      </c>
      <c r="D568" s="1" t="s">
        <v>121</v>
      </c>
      <c r="E568">
        <v>4</v>
      </c>
      <c r="F568" s="2">
        <v>45481</v>
      </c>
      <c r="G568" s="1" t="s">
        <v>1338</v>
      </c>
      <c r="H568" s="1" t="s">
        <v>1336</v>
      </c>
      <c r="I568" s="1" t="s">
        <v>41</v>
      </c>
      <c r="J568">
        <v>500000</v>
      </c>
      <c r="K568">
        <v>844000</v>
      </c>
      <c r="L568" s="1" t="s">
        <v>30</v>
      </c>
      <c r="M568" s="1" t="s">
        <v>23</v>
      </c>
      <c r="N568" s="1" t="s">
        <v>31</v>
      </c>
      <c r="O568">
        <v>3376000</v>
      </c>
      <c r="P568">
        <v>1376000</v>
      </c>
      <c r="Q568">
        <v>40.76</v>
      </c>
    </row>
    <row r="569" spans="1:17" x14ac:dyDescent="0.35">
      <c r="A569" s="1" t="s">
        <v>1188</v>
      </c>
      <c r="B569" s="1" t="s">
        <v>164</v>
      </c>
      <c r="C569" s="1" t="s">
        <v>73</v>
      </c>
      <c r="D569" s="1" t="s">
        <v>124</v>
      </c>
      <c r="E569">
        <v>13</v>
      </c>
      <c r="F569" s="2">
        <v>45424</v>
      </c>
      <c r="G569" s="1" t="s">
        <v>1332</v>
      </c>
      <c r="H569" s="1" t="s">
        <v>1330</v>
      </c>
      <c r="I569" s="1" t="s">
        <v>11</v>
      </c>
      <c r="J569">
        <v>750000</v>
      </c>
      <c r="K569">
        <v>971000</v>
      </c>
      <c r="L569" s="1" t="s">
        <v>74</v>
      </c>
      <c r="M569" s="1" t="s">
        <v>23</v>
      </c>
      <c r="N569" s="1" t="s">
        <v>75</v>
      </c>
      <c r="O569">
        <v>12623000</v>
      </c>
      <c r="P569">
        <v>2873000</v>
      </c>
      <c r="Q569">
        <v>22.76</v>
      </c>
    </row>
    <row r="570" spans="1:17" x14ac:dyDescent="0.35">
      <c r="A570" s="1" t="s">
        <v>1190</v>
      </c>
      <c r="B570" s="1" t="s">
        <v>248</v>
      </c>
      <c r="C570" s="1" t="s">
        <v>73</v>
      </c>
      <c r="D570" s="1" t="s">
        <v>121</v>
      </c>
      <c r="E570">
        <v>12</v>
      </c>
      <c r="F570" s="2">
        <v>45458</v>
      </c>
      <c r="G570" s="1" t="s">
        <v>1335</v>
      </c>
      <c r="H570" s="1" t="s">
        <v>1336</v>
      </c>
      <c r="I570" s="1" t="s">
        <v>41</v>
      </c>
      <c r="J570">
        <v>250000</v>
      </c>
      <c r="K570">
        <v>354000</v>
      </c>
      <c r="L570" s="1" t="s">
        <v>74</v>
      </c>
      <c r="M570" s="1" t="s">
        <v>23</v>
      </c>
      <c r="N570" s="1" t="s">
        <v>75</v>
      </c>
      <c r="O570">
        <v>4248000</v>
      </c>
      <c r="P570">
        <v>1248000</v>
      </c>
      <c r="Q570">
        <v>29.38</v>
      </c>
    </row>
    <row r="571" spans="1:17" x14ac:dyDescent="0.35">
      <c r="A571" s="1" t="s">
        <v>1192</v>
      </c>
      <c r="B571" s="1" t="s">
        <v>272</v>
      </c>
      <c r="C571" s="1" t="s">
        <v>73</v>
      </c>
      <c r="D571" s="1" t="s">
        <v>128</v>
      </c>
      <c r="E571">
        <v>14</v>
      </c>
      <c r="F571" s="2">
        <v>45412</v>
      </c>
      <c r="G571" s="1" t="s">
        <v>1320</v>
      </c>
      <c r="H571" s="1" t="s">
        <v>1317</v>
      </c>
      <c r="I571" s="1" t="s">
        <v>1323</v>
      </c>
      <c r="J571">
        <v>650000</v>
      </c>
      <c r="K571">
        <v>741000</v>
      </c>
      <c r="L571" s="1" t="s">
        <v>74</v>
      </c>
      <c r="M571" s="1" t="s">
        <v>23</v>
      </c>
      <c r="N571" s="1" t="s">
        <v>75</v>
      </c>
      <c r="O571">
        <v>10374000</v>
      </c>
      <c r="P571">
        <v>1274000</v>
      </c>
      <c r="Q571">
        <v>12.28</v>
      </c>
    </row>
    <row r="572" spans="1:17" x14ac:dyDescent="0.35">
      <c r="A572" s="1" t="s">
        <v>1194</v>
      </c>
      <c r="B572" s="1" t="s">
        <v>191</v>
      </c>
      <c r="C572" s="1" t="s">
        <v>57</v>
      </c>
      <c r="D572" s="1" t="s">
        <v>171</v>
      </c>
      <c r="E572">
        <v>11</v>
      </c>
      <c r="F572" s="2">
        <v>45371</v>
      </c>
      <c r="G572" s="1" t="s">
        <v>1310</v>
      </c>
      <c r="H572" s="1" t="s">
        <v>1311</v>
      </c>
      <c r="I572" s="1" t="s">
        <v>11</v>
      </c>
      <c r="J572">
        <v>12000000</v>
      </c>
      <c r="K572">
        <v>13963000</v>
      </c>
      <c r="L572" s="1" t="s">
        <v>58</v>
      </c>
      <c r="M572" s="1" t="s">
        <v>10</v>
      </c>
      <c r="N572" s="1" t="s">
        <v>59</v>
      </c>
      <c r="O572">
        <v>153593000</v>
      </c>
      <c r="P572">
        <v>21593000</v>
      </c>
      <c r="Q572">
        <v>14.06</v>
      </c>
    </row>
    <row r="573" spans="1:17" x14ac:dyDescent="0.35">
      <c r="A573" s="1" t="s">
        <v>1195</v>
      </c>
      <c r="B573" s="1" t="s">
        <v>176</v>
      </c>
      <c r="C573" s="1" t="s">
        <v>8</v>
      </c>
      <c r="D573" s="1" t="s">
        <v>124</v>
      </c>
      <c r="E573">
        <v>12</v>
      </c>
      <c r="F573" s="2">
        <v>45523</v>
      </c>
      <c r="G573" s="1" t="s">
        <v>1329</v>
      </c>
      <c r="H573" s="1" t="s">
        <v>1330</v>
      </c>
      <c r="I573" s="1" t="s">
        <v>1323</v>
      </c>
      <c r="J573">
        <v>1500000</v>
      </c>
      <c r="K573">
        <v>1772000</v>
      </c>
      <c r="L573" s="1" t="s">
        <v>9</v>
      </c>
      <c r="M573" s="1" t="s">
        <v>10</v>
      </c>
      <c r="N573" s="1" t="s">
        <v>11</v>
      </c>
      <c r="O573">
        <v>21264000</v>
      </c>
      <c r="P573">
        <v>3264000</v>
      </c>
      <c r="Q573">
        <v>15.35</v>
      </c>
    </row>
    <row r="574" spans="1:17" x14ac:dyDescent="0.35">
      <c r="A574" s="1" t="s">
        <v>1196</v>
      </c>
      <c r="B574" s="1" t="s">
        <v>111</v>
      </c>
      <c r="C574" s="1" t="s">
        <v>69</v>
      </c>
      <c r="D574" s="1" t="s">
        <v>157</v>
      </c>
      <c r="E574">
        <v>3</v>
      </c>
      <c r="F574" s="2">
        <v>45352</v>
      </c>
      <c r="G574" s="1" t="s">
        <v>1344</v>
      </c>
      <c r="H574" s="1" t="s">
        <v>1311</v>
      </c>
      <c r="I574" s="1" t="s">
        <v>1323</v>
      </c>
      <c r="J574">
        <v>18000000</v>
      </c>
      <c r="K574">
        <v>27603000</v>
      </c>
      <c r="L574" s="1" t="s">
        <v>70</v>
      </c>
      <c r="M574" s="1" t="s">
        <v>10</v>
      </c>
      <c r="N574" s="1" t="s">
        <v>11</v>
      </c>
      <c r="O574">
        <v>82809000</v>
      </c>
      <c r="P574">
        <v>28809000</v>
      </c>
      <c r="Q574">
        <v>34.79</v>
      </c>
    </row>
    <row r="575" spans="1:17" x14ac:dyDescent="0.35">
      <c r="A575" s="1" t="s">
        <v>1198</v>
      </c>
      <c r="B575" s="1" t="s">
        <v>116</v>
      </c>
      <c r="C575" s="1" t="s">
        <v>29</v>
      </c>
      <c r="D575" s="1" t="s">
        <v>171</v>
      </c>
      <c r="E575">
        <v>14</v>
      </c>
      <c r="F575" s="2">
        <v>45482</v>
      </c>
      <c r="G575" s="1" t="s">
        <v>1352</v>
      </c>
      <c r="H575" s="1" t="s">
        <v>1330</v>
      </c>
      <c r="I575" s="1" t="s">
        <v>1323</v>
      </c>
      <c r="J575">
        <v>5000000</v>
      </c>
      <c r="K575">
        <v>7546000</v>
      </c>
      <c r="L575" s="1" t="s">
        <v>30</v>
      </c>
      <c r="M575" s="1" t="s">
        <v>23</v>
      </c>
      <c r="N575" s="1" t="s">
        <v>31</v>
      </c>
      <c r="O575">
        <v>105644000</v>
      </c>
      <c r="P575">
        <v>35644000</v>
      </c>
      <c r="Q575">
        <v>33.74</v>
      </c>
    </row>
    <row r="576" spans="1:17" x14ac:dyDescent="0.35">
      <c r="A576" s="1" t="s">
        <v>1200</v>
      </c>
      <c r="B576" s="1" t="s">
        <v>272</v>
      </c>
      <c r="C576" s="1" t="s">
        <v>8</v>
      </c>
      <c r="D576" s="1" t="s">
        <v>124</v>
      </c>
      <c r="E576">
        <v>12</v>
      </c>
      <c r="F576" s="2">
        <v>45429</v>
      </c>
      <c r="G576" s="1" t="s">
        <v>1320</v>
      </c>
      <c r="H576" s="1" t="s">
        <v>1317</v>
      </c>
      <c r="I576" s="1" t="s">
        <v>1323</v>
      </c>
      <c r="J576">
        <v>650000</v>
      </c>
      <c r="K576">
        <v>741000</v>
      </c>
      <c r="L576" s="1" t="s">
        <v>9</v>
      </c>
      <c r="M576" s="1" t="s">
        <v>10</v>
      </c>
      <c r="N576" s="1" t="s">
        <v>11</v>
      </c>
      <c r="O576">
        <v>8892000</v>
      </c>
      <c r="P576">
        <v>1092000</v>
      </c>
      <c r="Q576">
        <v>12.28</v>
      </c>
    </row>
    <row r="577" spans="1:17" x14ac:dyDescent="0.35">
      <c r="A577" s="1" t="s">
        <v>1201</v>
      </c>
      <c r="B577" s="1" t="s">
        <v>149</v>
      </c>
      <c r="C577" s="1" t="s">
        <v>51</v>
      </c>
      <c r="D577" s="1" t="s">
        <v>124</v>
      </c>
      <c r="E577">
        <v>10</v>
      </c>
      <c r="F577" s="2">
        <v>45380</v>
      </c>
      <c r="G577" s="1" t="s">
        <v>1316</v>
      </c>
      <c r="H577" s="1" t="s">
        <v>1317</v>
      </c>
      <c r="I577" s="1" t="s">
        <v>41</v>
      </c>
      <c r="J577">
        <v>100000</v>
      </c>
      <c r="K577">
        <v>169000</v>
      </c>
      <c r="L577" s="1" t="s">
        <v>52</v>
      </c>
      <c r="M577" s="1" t="s">
        <v>23</v>
      </c>
      <c r="N577" s="1" t="s">
        <v>53</v>
      </c>
      <c r="O577">
        <v>1690000</v>
      </c>
      <c r="P577">
        <v>690000</v>
      </c>
      <c r="Q577">
        <v>40.83</v>
      </c>
    </row>
    <row r="578" spans="1:17" x14ac:dyDescent="0.35">
      <c r="A578" s="1" t="s">
        <v>1203</v>
      </c>
      <c r="B578" s="1" t="s">
        <v>188</v>
      </c>
      <c r="C578" s="1" t="s">
        <v>87</v>
      </c>
      <c r="D578" s="1" t="s">
        <v>157</v>
      </c>
      <c r="E578">
        <v>3</v>
      </c>
      <c r="F578" s="2">
        <v>45346</v>
      </c>
      <c r="G578" s="1" t="s">
        <v>1327</v>
      </c>
      <c r="H578" s="1" t="s">
        <v>1311</v>
      </c>
      <c r="I578" s="1" t="s">
        <v>41</v>
      </c>
      <c r="J578">
        <v>2800000</v>
      </c>
      <c r="K578">
        <v>4747000</v>
      </c>
      <c r="L578" s="1" t="s">
        <v>88</v>
      </c>
      <c r="M578" s="1" t="s">
        <v>10</v>
      </c>
      <c r="N578" s="1" t="s">
        <v>89</v>
      </c>
      <c r="O578">
        <v>14241000</v>
      </c>
      <c r="P578">
        <v>5841000</v>
      </c>
      <c r="Q578">
        <v>41.02</v>
      </c>
    </row>
    <row r="579" spans="1:17" x14ac:dyDescent="0.35">
      <c r="A579" s="1" t="s">
        <v>1205</v>
      </c>
      <c r="B579" s="1" t="s">
        <v>137</v>
      </c>
      <c r="C579" s="1" t="s">
        <v>35</v>
      </c>
      <c r="D579" s="1" t="s">
        <v>128</v>
      </c>
      <c r="E579">
        <v>2</v>
      </c>
      <c r="F579" s="2">
        <v>45391</v>
      </c>
      <c r="G579" s="1" t="s">
        <v>1324</v>
      </c>
      <c r="H579" s="1" t="s">
        <v>1311</v>
      </c>
      <c r="I579" s="1" t="s">
        <v>11</v>
      </c>
      <c r="J579">
        <v>2000000</v>
      </c>
      <c r="K579">
        <v>2533000</v>
      </c>
      <c r="L579" s="1" t="s">
        <v>36</v>
      </c>
      <c r="M579" s="1" t="s">
        <v>10</v>
      </c>
      <c r="N579" s="1" t="s">
        <v>11</v>
      </c>
      <c r="O579">
        <v>5066000</v>
      </c>
      <c r="P579">
        <v>1066000</v>
      </c>
      <c r="Q579">
        <v>21.04</v>
      </c>
    </row>
    <row r="580" spans="1:17" x14ac:dyDescent="0.35">
      <c r="A580" s="1" t="s">
        <v>1207</v>
      </c>
      <c r="B580" s="1" t="s">
        <v>188</v>
      </c>
      <c r="C580" s="1" t="s">
        <v>21</v>
      </c>
      <c r="D580" s="1" t="s">
        <v>121</v>
      </c>
      <c r="E580">
        <v>1</v>
      </c>
      <c r="F580" s="2">
        <v>45624</v>
      </c>
      <c r="G580" s="1" t="s">
        <v>1327</v>
      </c>
      <c r="H580" s="1" t="s">
        <v>1311</v>
      </c>
      <c r="I580" s="1" t="s">
        <v>41</v>
      </c>
      <c r="J580">
        <v>2800000</v>
      </c>
      <c r="K580">
        <v>4747000</v>
      </c>
      <c r="L580" s="1" t="s">
        <v>22</v>
      </c>
      <c r="M580" s="1" t="s">
        <v>23</v>
      </c>
      <c r="N580" s="1" t="s">
        <v>24</v>
      </c>
      <c r="O580">
        <v>4747000</v>
      </c>
      <c r="P580">
        <v>1947000</v>
      </c>
      <c r="Q580">
        <v>41.02</v>
      </c>
    </row>
    <row r="581" spans="1:17" x14ac:dyDescent="0.35">
      <c r="A581" s="1" t="s">
        <v>1208</v>
      </c>
      <c r="B581" s="1" t="s">
        <v>113</v>
      </c>
      <c r="C581" s="1" t="s">
        <v>73</v>
      </c>
      <c r="D581" s="1" t="s">
        <v>157</v>
      </c>
      <c r="E581">
        <v>6</v>
      </c>
      <c r="F581" s="2">
        <v>45529</v>
      </c>
      <c r="G581" s="1" t="s">
        <v>1346</v>
      </c>
      <c r="H581" s="1" t="s">
        <v>1311</v>
      </c>
      <c r="I581" s="1" t="s">
        <v>1323</v>
      </c>
      <c r="J581">
        <v>4500000</v>
      </c>
      <c r="K581">
        <v>5522000</v>
      </c>
      <c r="L581" s="1" t="s">
        <v>74</v>
      </c>
      <c r="M581" s="1" t="s">
        <v>23</v>
      </c>
      <c r="N581" s="1" t="s">
        <v>75</v>
      </c>
      <c r="O581">
        <v>33132000</v>
      </c>
      <c r="P581">
        <v>6132000</v>
      </c>
      <c r="Q581">
        <v>18.510000000000002</v>
      </c>
    </row>
    <row r="582" spans="1:17" x14ac:dyDescent="0.35">
      <c r="A582" s="1" t="s">
        <v>1209</v>
      </c>
      <c r="B582" s="1" t="s">
        <v>106</v>
      </c>
      <c r="C582" s="1" t="s">
        <v>35</v>
      </c>
      <c r="D582" s="1" t="s">
        <v>171</v>
      </c>
      <c r="E582">
        <v>4</v>
      </c>
      <c r="F582" s="2">
        <v>45491</v>
      </c>
      <c r="G582" s="1" t="s">
        <v>1348</v>
      </c>
      <c r="H582" s="1" t="s">
        <v>1317</v>
      </c>
      <c r="I582" s="1" t="s">
        <v>1323</v>
      </c>
      <c r="J582">
        <v>300000</v>
      </c>
      <c r="K582">
        <v>355000</v>
      </c>
      <c r="L582" s="1" t="s">
        <v>36</v>
      </c>
      <c r="M582" s="1" t="s">
        <v>10</v>
      </c>
      <c r="N582" s="1" t="s">
        <v>11</v>
      </c>
      <c r="O582">
        <v>1420000</v>
      </c>
      <c r="P582">
        <v>220000</v>
      </c>
      <c r="Q582">
        <v>15.49</v>
      </c>
    </row>
    <row r="583" spans="1:17" x14ac:dyDescent="0.35">
      <c r="A583" s="1" t="s">
        <v>1211</v>
      </c>
      <c r="B583" s="1" t="s">
        <v>172</v>
      </c>
      <c r="C583" s="1" t="s">
        <v>45</v>
      </c>
      <c r="D583" s="1" t="s">
        <v>128</v>
      </c>
      <c r="E583">
        <v>1</v>
      </c>
      <c r="F583" s="2">
        <v>45418</v>
      </c>
      <c r="G583" s="1" t="s">
        <v>1340</v>
      </c>
      <c r="H583" s="1" t="s">
        <v>1330</v>
      </c>
      <c r="I583" s="1" t="s">
        <v>41</v>
      </c>
      <c r="J583">
        <v>950000</v>
      </c>
      <c r="K583">
        <v>1649000</v>
      </c>
      <c r="L583" s="1" t="s">
        <v>46</v>
      </c>
      <c r="M583" s="1" t="s">
        <v>10</v>
      </c>
      <c r="N583" s="1" t="s">
        <v>47</v>
      </c>
      <c r="O583">
        <v>1649000</v>
      </c>
      <c r="P583">
        <v>699000</v>
      </c>
      <c r="Q583">
        <v>42.39</v>
      </c>
    </row>
    <row r="584" spans="1:17" x14ac:dyDescent="0.35">
      <c r="A584" s="1" t="s">
        <v>1213</v>
      </c>
      <c r="B584" s="1" t="s">
        <v>113</v>
      </c>
      <c r="C584" s="1" t="s">
        <v>39</v>
      </c>
      <c r="D584" s="1" t="s">
        <v>143</v>
      </c>
      <c r="E584">
        <v>7</v>
      </c>
      <c r="F584" s="2">
        <v>45427</v>
      </c>
      <c r="G584" s="1" t="s">
        <v>1346</v>
      </c>
      <c r="H584" s="1" t="s">
        <v>1311</v>
      </c>
      <c r="I584" s="1" t="s">
        <v>1323</v>
      </c>
      <c r="J584">
        <v>4500000</v>
      </c>
      <c r="K584">
        <v>5522000</v>
      </c>
      <c r="L584" s="1" t="s">
        <v>40</v>
      </c>
      <c r="M584" s="1" t="s">
        <v>23</v>
      </c>
      <c r="N584" s="1" t="s">
        <v>41</v>
      </c>
      <c r="O584">
        <v>38654000</v>
      </c>
      <c r="P584">
        <v>7154000</v>
      </c>
      <c r="Q584">
        <v>18.510000000000002</v>
      </c>
    </row>
    <row r="585" spans="1:17" x14ac:dyDescent="0.35">
      <c r="A585" s="1" t="s">
        <v>1215</v>
      </c>
      <c r="B585" s="1" t="s">
        <v>173</v>
      </c>
      <c r="C585" s="1" t="s">
        <v>63</v>
      </c>
      <c r="D585" s="1" t="s">
        <v>157</v>
      </c>
      <c r="E585">
        <v>2</v>
      </c>
      <c r="F585" s="2">
        <v>45494</v>
      </c>
      <c r="G585" s="1" t="s">
        <v>1342</v>
      </c>
      <c r="H585" s="1" t="s">
        <v>1317</v>
      </c>
      <c r="I585" s="1" t="s">
        <v>1323</v>
      </c>
      <c r="J585">
        <v>80000</v>
      </c>
      <c r="K585">
        <v>92000</v>
      </c>
      <c r="L585" s="1" t="s">
        <v>64</v>
      </c>
      <c r="M585" s="1" t="s">
        <v>23</v>
      </c>
      <c r="N585" s="1" t="s">
        <v>65</v>
      </c>
      <c r="O585">
        <v>184000</v>
      </c>
      <c r="P585">
        <v>24000</v>
      </c>
      <c r="Q585">
        <v>13.04</v>
      </c>
    </row>
    <row r="586" spans="1:17" x14ac:dyDescent="0.35">
      <c r="A586" s="1" t="s">
        <v>1217</v>
      </c>
      <c r="B586" s="1" t="s">
        <v>248</v>
      </c>
      <c r="C586" s="1" t="s">
        <v>29</v>
      </c>
      <c r="D586" s="1" t="s">
        <v>121</v>
      </c>
      <c r="E586">
        <v>9</v>
      </c>
      <c r="F586" s="2">
        <v>45431</v>
      </c>
      <c r="G586" s="1" t="s">
        <v>1335</v>
      </c>
      <c r="H586" s="1" t="s">
        <v>1336</v>
      </c>
      <c r="I586" s="1" t="s">
        <v>41</v>
      </c>
      <c r="J586">
        <v>250000</v>
      </c>
      <c r="K586">
        <v>354000</v>
      </c>
      <c r="L586" s="1" t="s">
        <v>30</v>
      </c>
      <c r="M586" s="1" t="s">
        <v>23</v>
      </c>
      <c r="N586" s="1" t="s">
        <v>31</v>
      </c>
      <c r="O586">
        <v>3186000</v>
      </c>
      <c r="P586">
        <v>936000</v>
      </c>
      <c r="Q586">
        <v>29.38</v>
      </c>
    </row>
    <row r="587" spans="1:17" x14ac:dyDescent="0.35">
      <c r="A587" s="1" t="s">
        <v>1219</v>
      </c>
      <c r="B587" s="1" t="s">
        <v>188</v>
      </c>
      <c r="C587" s="1" t="s">
        <v>8</v>
      </c>
      <c r="D587" s="1" t="s">
        <v>143</v>
      </c>
      <c r="E587">
        <v>3</v>
      </c>
      <c r="F587" s="2">
        <v>45307</v>
      </c>
      <c r="G587" s="1" t="s">
        <v>1327</v>
      </c>
      <c r="H587" s="1" t="s">
        <v>1311</v>
      </c>
      <c r="I587" s="1" t="s">
        <v>41</v>
      </c>
      <c r="J587">
        <v>2800000</v>
      </c>
      <c r="K587">
        <v>4747000</v>
      </c>
      <c r="L587" s="1" t="s">
        <v>9</v>
      </c>
      <c r="M587" s="1" t="s">
        <v>10</v>
      </c>
      <c r="N587" s="1" t="s">
        <v>11</v>
      </c>
      <c r="O587">
        <v>14241000</v>
      </c>
      <c r="P587">
        <v>5841000</v>
      </c>
      <c r="Q587">
        <v>41.02</v>
      </c>
    </row>
    <row r="588" spans="1:17" x14ac:dyDescent="0.35">
      <c r="A588" s="1" t="s">
        <v>1221</v>
      </c>
      <c r="B588" s="1" t="s">
        <v>141</v>
      </c>
      <c r="C588" s="1" t="s">
        <v>82</v>
      </c>
      <c r="D588" s="1" t="s">
        <v>143</v>
      </c>
      <c r="E588">
        <v>8</v>
      </c>
      <c r="F588" s="2">
        <v>45534</v>
      </c>
      <c r="G588" s="1" t="s">
        <v>1355</v>
      </c>
      <c r="H588" s="1" t="s">
        <v>1330</v>
      </c>
      <c r="I588" s="1" t="s">
        <v>41</v>
      </c>
      <c r="J588">
        <v>400000</v>
      </c>
      <c r="K588">
        <v>623000</v>
      </c>
      <c r="L588" s="1" t="s">
        <v>83</v>
      </c>
      <c r="M588" s="1" t="s">
        <v>23</v>
      </c>
      <c r="N588" s="1" t="s">
        <v>84</v>
      </c>
      <c r="O588">
        <v>4984000</v>
      </c>
      <c r="P588">
        <v>1784000</v>
      </c>
      <c r="Q588">
        <v>35.79</v>
      </c>
    </row>
    <row r="589" spans="1:17" x14ac:dyDescent="0.35">
      <c r="A589" s="1" t="s">
        <v>1223</v>
      </c>
      <c r="B589" s="1" t="s">
        <v>188</v>
      </c>
      <c r="C589" s="1" t="s">
        <v>45</v>
      </c>
      <c r="D589" s="1" t="s">
        <v>157</v>
      </c>
      <c r="E589">
        <v>10</v>
      </c>
      <c r="F589" s="2">
        <v>45511</v>
      </c>
      <c r="G589" s="1" t="s">
        <v>1327</v>
      </c>
      <c r="H589" s="1" t="s">
        <v>1311</v>
      </c>
      <c r="I589" s="1" t="s">
        <v>41</v>
      </c>
      <c r="J589">
        <v>2800000</v>
      </c>
      <c r="K589">
        <v>4747000</v>
      </c>
      <c r="L589" s="1" t="s">
        <v>46</v>
      </c>
      <c r="M589" s="1" t="s">
        <v>10</v>
      </c>
      <c r="N589" s="1" t="s">
        <v>47</v>
      </c>
      <c r="O589">
        <v>47470000</v>
      </c>
      <c r="P589">
        <v>19470000</v>
      </c>
      <c r="Q589">
        <v>41.02</v>
      </c>
    </row>
    <row r="590" spans="1:17" x14ac:dyDescent="0.35">
      <c r="A590" s="1" t="s">
        <v>1225</v>
      </c>
      <c r="B590" s="1" t="s">
        <v>141</v>
      </c>
      <c r="C590" s="1" t="s">
        <v>45</v>
      </c>
      <c r="D590" s="1" t="s">
        <v>171</v>
      </c>
      <c r="E590">
        <v>6</v>
      </c>
      <c r="F590" s="2">
        <v>45386</v>
      </c>
      <c r="G590" s="1" t="s">
        <v>1355</v>
      </c>
      <c r="H590" s="1" t="s">
        <v>1330</v>
      </c>
      <c r="I590" s="1" t="s">
        <v>41</v>
      </c>
      <c r="J590">
        <v>400000</v>
      </c>
      <c r="K590">
        <v>623000</v>
      </c>
      <c r="L590" s="1" t="s">
        <v>46</v>
      </c>
      <c r="M590" s="1" t="s">
        <v>10</v>
      </c>
      <c r="N590" s="1" t="s">
        <v>47</v>
      </c>
      <c r="O590">
        <v>3738000</v>
      </c>
      <c r="P590">
        <v>1338000</v>
      </c>
      <c r="Q590">
        <v>35.79</v>
      </c>
    </row>
    <row r="591" spans="1:17" x14ac:dyDescent="0.35">
      <c r="A591" s="1" t="s">
        <v>1227</v>
      </c>
      <c r="B591" s="1" t="s">
        <v>149</v>
      </c>
      <c r="C591" s="1" t="s">
        <v>69</v>
      </c>
      <c r="D591" s="1" t="s">
        <v>128</v>
      </c>
      <c r="E591">
        <v>13</v>
      </c>
      <c r="F591" s="2">
        <v>45499</v>
      </c>
      <c r="G591" s="1" t="s">
        <v>1316</v>
      </c>
      <c r="H591" s="1" t="s">
        <v>1317</v>
      </c>
      <c r="I591" s="1" t="s">
        <v>41</v>
      </c>
      <c r="J591">
        <v>100000</v>
      </c>
      <c r="K591">
        <v>169000</v>
      </c>
      <c r="L591" s="1" t="s">
        <v>70</v>
      </c>
      <c r="M591" s="1" t="s">
        <v>10</v>
      </c>
      <c r="N591" s="1" t="s">
        <v>11</v>
      </c>
      <c r="O591">
        <v>2197000</v>
      </c>
      <c r="P591">
        <v>897000</v>
      </c>
      <c r="Q591">
        <v>40.83</v>
      </c>
    </row>
    <row r="592" spans="1:17" x14ac:dyDescent="0.35">
      <c r="A592" s="1" t="s">
        <v>1229</v>
      </c>
      <c r="B592" s="1" t="s">
        <v>272</v>
      </c>
      <c r="C592" s="1" t="s">
        <v>63</v>
      </c>
      <c r="D592" s="1" t="s">
        <v>124</v>
      </c>
      <c r="E592">
        <v>8</v>
      </c>
      <c r="F592" s="2">
        <v>45527</v>
      </c>
      <c r="G592" s="1" t="s">
        <v>1320</v>
      </c>
      <c r="H592" s="1" t="s">
        <v>1317</v>
      </c>
      <c r="I592" s="1" t="s">
        <v>1323</v>
      </c>
      <c r="J592">
        <v>650000</v>
      </c>
      <c r="K592">
        <v>741000</v>
      </c>
      <c r="L592" s="1" t="s">
        <v>64</v>
      </c>
      <c r="M592" s="1" t="s">
        <v>23</v>
      </c>
      <c r="N592" s="1" t="s">
        <v>65</v>
      </c>
      <c r="O592">
        <v>5928000</v>
      </c>
      <c r="P592">
        <v>728000</v>
      </c>
      <c r="Q592">
        <v>12.28</v>
      </c>
    </row>
    <row r="593" spans="1:17" x14ac:dyDescent="0.35">
      <c r="A593" s="1" t="s">
        <v>1231</v>
      </c>
      <c r="B593" s="1" t="s">
        <v>191</v>
      </c>
      <c r="C593" s="1" t="s">
        <v>82</v>
      </c>
      <c r="D593" s="1" t="s">
        <v>124</v>
      </c>
      <c r="E593">
        <v>3</v>
      </c>
      <c r="F593" s="2">
        <v>45398</v>
      </c>
      <c r="G593" s="1" t="s">
        <v>1310</v>
      </c>
      <c r="H593" s="1" t="s">
        <v>1311</v>
      </c>
      <c r="I593" s="1" t="s">
        <v>11</v>
      </c>
      <c r="J593">
        <v>12000000</v>
      </c>
      <c r="K593">
        <v>13963000</v>
      </c>
      <c r="L593" s="1" t="s">
        <v>83</v>
      </c>
      <c r="M593" s="1" t="s">
        <v>23</v>
      </c>
      <c r="N593" s="1" t="s">
        <v>84</v>
      </c>
      <c r="O593">
        <v>41889000</v>
      </c>
      <c r="P593">
        <v>5889000</v>
      </c>
      <c r="Q593">
        <v>14.06</v>
      </c>
    </row>
    <row r="594" spans="1:17" x14ac:dyDescent="0.35">
      <c r="A594" s="1" t="s">
        <v>1233</v>
      </c>
      <c r="B594" s="1" t="s">
        <v>168</v>
      </c>
      <c r="C594" s="1" t="s">
        <v>69</v>
      </c>
      <c r="D594" s="1" t="s">
        <v>157</v>
      </c>
      <c r="E594">
        <v>7</v>
      </c>
      <c r="F594" s="2">
        <v>45434</v>
      </c>
      <c r="G594" s="1" t="s">
        <v>1338</v>
      </c>
      <c r="H594" s="1" t="s">
        <v>1336</v>
      </c>
      <c r="I594" s="1" t="s">
        <v>41</v>
      </c>
      <c r="J594">
        <v>500000</v>
      </c>
      <c r="K594">
        <v>844000</v>
      </c>
      <c r="L594" s="1" t="s">
        <v>70</v>
      </c>
      <c r="M594" s="1" t="s">
        <v>10</v>
      </c>
      <c r="N594" s="1" t="s">
        <v>11</v>
      </c>
      <c r="O594">
        <v>5908000</v>
      </c>
      <c r="P594">
        <v>2408000</v>
      </c>
      <c r="Q594">
        <v>40.76</v>
      </c>
    </row>
    <row r="595" spans="1:17" x14ac:dyDescent="0.35">
      <c r="A595" s="1" t="s">
        <v>1235</v>
      </c>
      <c r="B595" s="1" t="s">
        <v>137</v>
      </c>
      <c r="C595" s="1" t="s">
        <v>73</v>
      </c>
      <c r="D595" s="1" t="s">
        <v>124</v>
      </c>
      <c r="E595">
        <v>15</v>
      </c>
      <c r="F595" s="2">
        <v>45442</v>
      </c>
      <c r="G595" s="1" t="s">
        <v>1324</v>
      </c>
      <c r="H595" s="1" t="s">
        <v>1311</v>
      </c>
      <c r="I595" s="1" t="s">
        <v>11</v>
      </c>
      <c r="J595">
        <v>2000000</v>
      </c>
      <c r="K595">
        <v>2533000</v>
      </c>
      <c r="L595" s="1" t="s">
        <v>74</v>
      </c>
      <c r="M595" s="1" t="s">
        <v>23</v>
      </c>
      <c r="N595" s="1" t="s">
        <v>75</v>
      </c>
      <c r="O595">
        <v>37995000</v>
      </c>
      <c r="P595">
        <v>7995000</v>
      </c>
      <c r="Q595">
        <v>21.04</v>
      </c>
    </row>
    <row r="596" spans="1:17" x14ac:dyDescent="0.35">
      <c r="A596" s="1" t="s">
        <v>1237</v>
      </c>
      <c r="B596" s="1" t="s">
        <v>141</v>
      </c>
      <c r="C596" s="1" t="s">
        <v>57</v>
      </c>
      <c r="D596" s="1" t="s">
        <v>124</v>
      </c>
      <c r="E596">
        <v>12</v>
      </c>
      <c r="F596" s="2">
        <v>45300</v>
      </c>
      <c r="G596" s="1" t="s">
        <v>1355</v>
      </c>
      <c r="H596" s="1" t="s">
        <v>1330</v>
      </c>
      <c r="I596" s="1" t="s">
        <v>41</v>
      </c>
      <c r="J596">
        <v>400000</v>
      </c>
      <c r="K596">
        <v>623000</v>
      </c>
      <c r="L596" s="1" t="s">
        <v>58</v>
      </c>
      <c r="M596" s="1" t="s">
        <v>10</v>
      </c>
      <c r="N596" s="1" t="s">
        <v>59</v>
      </c>
      <c r="O596">
        <v>7476000</v>
      </c>
      <c r="P596">
        <v>2676000</v>
      </c>
      <c r="Q596">
        <v>35.79</v>
      </c>
    </row>
    <row r="597" spans="1:17" x14ac:dyDescent="0.35">
      <c r="A597" s="1" t="s">
        <v>1239</v>
      </c>
      <c r="B597" s="1" t="s">
        <v>168</v>
      </c>
      <c r="C597" s="1" t="s">
        <v>73</v>
      </c>
      <c r="D597" s="1" t="s">
        <v>171</v>
      </c>
      <c r="E597">
        <v>7</v>
      </c>
      <c r="F597" s="2">
        <v>45625</v>
      </c>
      <c r="G597" s="1" t="s">
        <v>1338</v>
      </c>
      <c r="H597" s="1" t="s">
        <v>1336</v>
      </c>
      <c r="I597" s="1" t="s">
        <v>41</v>
      </c>
      <c r="J597">
        <v>500000</v>
      </c>
      <c r="K597">
        <v>844000</v>
      </c>
      <c r="L597" s="1" t="s">
        <v>74</v>
      </c>
      <c r="M597" s="1" t="s">
        <v>23</v>
      </c>
      <c r="N597" s="1" t="s">
        <v>75</v>
      </c>
      <c r="O597">
        <v>5908000</v>
      </c>
      <c r="P597">
        <v>2408000</v>
      </c>
      <c r="Q597">
        <v>40.76</v>
      </c>
    </row>
    <row r="598" spans="1:17" x14ac:dyDescent="0.35">
      <c r="A598" s="1" t="s">
        <v>1241</v>
      </c>
      <c r="B598" s="1" t="s">
        <v>106</v>
      </c>
      <c r="C598" s="1" t="s">
        <v>63</v>
      </c>
      <c r="D598" s="1" t="s">
        <v>171</v>
      </c>
      <c r="E598">
        <v>13</v>
      </c>
      <c r="F598" s="2">
        <v>45537</v>
      </c>
      <c r="G598" s="1" t="s">
        <v>1348</v>
      </c>
      <c r="H598" s="1" t="s">
        <v>1317</v>
      </c>
      <c r="I598" s="1" t="s">
        <v>1323</v>
      </c>
      <c r="J598">
        <v>300000</v>
      </c>
      <c r="K598">
        <v>355000</v>
      </c>
      <c r="L598" s="1" t="s">
        <v>64</v>
      </c>
      <c r="M598" s="1" t="s">
        <v>23</v>
      </c>
      <c r="N598" s="1" t="s">
        <v>65</v>
      </c>
      <c r="O598">
        <v>4615000</v>
      </c>
      <c r="P598">
        <v>715000</v>
      </c>
      <c r="Q598">
        <v>15.49</v>
      </c>
    </row>
    <row r="599" spans="1:17" x14ac:dyDescent="0.35">
      <c r="A599" s="1" t="s">
        <v>1243</v>
      </c>
      <c r="B599" s="1" t="s">
        <v>173</v>
      </c>
      <c r="C599" s="1" t="s">
        <v>21</v>
      </c>
      <c r="D599" s="1" t="s">
        <v>128</v>
      </c>
      <c r="E599">
        <v>3</v>
      </c>
      <c r="F599" s="2">
        <v>45477</v>
      </c>
      <c r="G599" s="1" t="s">
        <v>1342</v>
      </c>
      <c r="H599" s="1" t="s">
        <v>1317</v>
      </c>
      <c r="I599" s="1" t="s">
        <v>1323</v>
      </c>
      <c r="J599">
        <v>80000</v>
      </c>
      <c r="K599">
        <v>92000</v>
      </c>
      <c r="L599" s="1" t="s">
        <v>22</v>
      </c>
      <c r="M599" s="1" t="s">
        <v>23</v>
      </c>
      <c r="N599" s="1" t="s">
        <v>24</v>
      </c>
      <c r="O599">
        <v>276000</v>
      </c>
      <c r="P599">
        <v>36000</v>
      </c>
      <c r="Q599">
        <v>13.04</v>
      </c>
    </row>
    <row r="600" spans="1:17" x14ac:dyDescent="0.35">
      <c r="A600" s="1" t="s">
        <v>1245</v>
      </c>
      <c r="B600" s="1" t="s">
        <v>111</v>
      </c>
      <c r="C600" s="1" t="s">
        <v>78</v>
      </c>
      <c r="D600" s="1" t="s">
        <v>121</v>
      </c>
      <c r="E600">
        <v>8</v>
      </c>
      <c r="F600" s="2">
        <v>45587</v>
      </c>
      <c r="G600" s="1" t="s">
        <v>1344</v>
      </c>
      <c r="H600" s="1" t="s">
        <v>1311</v>
      </c>
      <c r="I600" s="1" t="s">
        <v>1323</v>
      </c>
      <c r="J600">
        <v>18000000</v>
      </c>
      <c r="K600">
        <v>27603000</v>
      </c>
      <c r="L600" s="1" t="s">
        <v>79</v>
      </c>
      <c r="M600" s="1" t="s">
        <v>10</v>
      </c>
      <c r="N600" s="1" t="s">
        <v>17</v>
      </c>
      <c r="O600">
        <v>220824000</v>
      </c>
      <c r="P600">
        <v>76824000</v>
      </c>
      <c r="Q600">
        <v>34.79</v>
      </c>
    </row>
    <row r="601" spans="1:17" x14ac:dyDescent="0.35">
      <c r="A601" s="1" t="s">
        <v>1247</v>
      </c>
      <c r="B601" s="1" t="s">
        <v>164</v>
      </c>
      <c r="C601" s="1" t="s">
        <v>87</v>
      </c>
      <c r="D601" s="1" t="s">
        <v>124</v>
      </c>
      <c r="E601">
        <v>15</v>
      </c>
      <c r="F601" s="2">
        <v>45496</v>
      </c>
      <c r="G601" s="1" t="s">
        <v>1332</v>
      </c>
      <c r="H601" s="1" t="s">
        <v>1330</v>
      </c>
      <c r="I601" s="1" t="s">
        <v>11</v>
      </c>
      <c r="J601">
        <v>750000</v>
      </c>
      <c r="K601">
        <v>971000</v>
      </c>
      <c r="L601" s="1" t="s">
        <v>88</v>
      </c>
      <c r="M601" s="1" t="s">
        <v>10</v>
      </c>
      <c r="N601" s="1" t="s">
        <v>89</v>
      </c>
      <c r="O601">
        <v>14565000</v>
      </c>
      <c r="P601">
        <v>3315000</v>
      </c>
      <c r="Q601">
        <v>22.76</v>
      </c>
    </row>
    <row r="602" spans="1:17" x14ac:dyDescent="0.35">
      <c r="A602" s="1" t="s">
        <v>1248</v>
      </c>
      <c r="B602" s="1" t="s">
        <v>109</v>
      </c>
      <c r="C602" s="1" t="s">
        <v>8</v>
      </c>
      <c r="D602" s="1" t="s">
        <v>171</v>
      </c>
      <c r="E602">
        <v>3</v>
      </c>
      <c r="F602" s="2">
        <v>45314</v>
      </c>
      <c r="G602" s="1" t="s">
        <v>1357</v>
      </c>
      <c r="H602" s="1" t="s">
        <v>1358</v>
      </c>
      <c r="I602" s="1" t="s">
        <v>41</v>
      </c>
      <c r="J602">
        <v>2000000</v>
      </c>
      <c r="K602">
        <v>3382000</v>
      </c>
      <c r="L602" s="1" t="s">
        <v>9</v>
      </c>
      <c r="M602" s="1" t="s">
        <v>10</v>
      </c>
      <c r="N602" s="1" t="s">
        <v>11</v>
      </c>
      <c r="O602">
        <v>10146000</v>
      </c>
      <c r="P602">
        <v>4146000</v>
      </c>
      <c r="Q602">
        <v>40.86</v>
      </c>
    </row>
    <row r="603" spans="1:17" x14ac:dyDescent="0.35">
      <c r="A603" s="1" t="s">
        <v>1250</v>
      </c>
      <c r="B603" s="1" t="s">
        <v>137</v>
      </c>
      <c r="C603" s="1" t="s">
        <v>39</v>
      </c>
      <c r="D603" s="1" t="s">
        <v>171</v>
      </c>
      <c r="E603">
        <v>6</v>
      </c>
      <c r="F603" s="2">
        <v>45327</v>
      </c>
      <c r="G603" s="1" t="s">
        <v>1324</v>
      </c>
      <c r="H603" s="1" t="s">
        <v>1311</v>
      </c>
      <c r="I603" s="1" t="s">
        <v>11</v>
      </c>
      <c r="J603">
        <v>2000000</v>
      </c>
      <c r="K603">
        <v>2533000</v>
      </c>
      <c r="L603" s="1" t="s">
        <v>40</v>
      </c>
      <c r="M603" s="1" t="s">
        <v>23</v>
      </c>
      <c r="N603" s="1" t="s">
        <v>41</v>
      </c>
      <c r="O603">
        <v>15198000</v>
      </c>
      <c r="P603">
        <v>3198000</v>
      </c>
      <c r="Q603">
        <v>21.04</v>
      </c>
    </row>
    <row r="604" spans="1:17" x14ac:dyDescent="0.35">
      <c r="A604" s="1" t="s">
        <v>1252</v>
      </c>
      <c r="B604" s="1" t="s">
        <v>164</v>
      </c>
      <c r="C604" s="1" t="s">
        <v>51</v>
      </c>
      <c r="D604" s="1" t="s">
        <v>121</v>
      </c>
      <c r="E604">
        <v>4</v>
      </c>
      <c r="F604" s="2">
        <v>45314</v>
      </c>
      <c r="G604" s="1" t="s">
        <v>1332</v>
      </c>
      <c r="H604" s="1" t="s">
        <v>1330</v>
      </c>
      <c r="I604" s="1" t="s">
        <v>11</v>
      </c>
      <c r="J604">
        <v>750000</v>
      </c>
      <c r="K604">
        <v>971000</v>
      </c>
      <c r="L604" s="1" t="s">
        <v>52</v>
      </c>
      <c r="M604" s="1" t="s">
        <v>23</v>
      </c>
      <c r="N604" s="1" t="s">
        <v>53</v>
      </c>
      <c r="O604">
        <v>3884000</v>
      </c>
      <c r="P604">
        <v>884000</v>
      </c>
      <c r="Q604">
        <v>22.76</v>
      </c>
    </row>
    <row r="605" spans="1:17" x14ac:dyDescent="0.35">
      <c r="A605" s="1" t="s">
        <v>1254</v>
      </c>
      <c r="B605" s="1" t="s">
        <v>116</v>
      </c>
      <c r="C605" s="1" t="s">
        <v>57</v>
      </c>
      <c r="D605" s="1" t="s">
        <v>143</v>
      </c>
      <c r="E605">
        <v>7</v>
      </c>
      <c r="F605" s="2">
        <v>45304</v>
      </c>
      <c r="G605" s="1" t="s">
        <v>1352</v>
      </c>
      <c r="H605" s="1" t="s">
        <v>1330</v>
      </c>
      <c r="I605" s="1" t="s">
        <v>1323</v>
      </c>
      <c r="J605">
        <v>5000000</v>
      </c>
      <c r="K605">
        <v>7546000</v>
      </c>
      <c r="L605" s="1" t="s">
        <v>58</v>
      </c>
      <c r="M605" s="1" t="s">
        <v>10</v>
      </c>
      <c r="N605" s="1" t="s">
        <v>59</v>
      </c>
      <c r="O605">
        <v>52822000</v>
      </c>
      <c r="P605">
        <v>17822000</v>
      </c>
      <c r="Q605">
        <v>33.74</v>
      </c>
    </row>
    <row r="606" spans="1:17" x14ac:dyDescent="0.35">
      <c r="A606" s="1" t="s">
        <v>1256</v>
      </c>
      <c r="B606" s="1" t="s">
        <v>141</v>
      </c>
      <c r="C606" s="1" t="s">
        <v>35</v>
      </c>
      <c r="D606" s="1" t="s">
        <v>124</v>
      </c>
      <c r="E606">
        <v>6</v>
      </c>
      <c r="F606" s="2">
        <v>45324</v>
      </c>
      <c r="G606" s="1" t="s">
        <v>1355</v>
      </c>
      <c r="H606" s="1" t="s">
        <v>1330</v>
      </c>
      <c r="I606" s="1" t="s">
        <v>41</v>
      </c>
      <c r="J606">
        <v>400000</v>
      </c>
      <c r="K606">
        <v>623000</v>
      </c>
      <c r="L606" s="1" t="s">
        <v>36</v>
      </c>
      <c r="M606" s="1" t="s">
        <v>10</v>
      </c>
      <c r="N606" s="1" t="s">
        <v>11</v>
      </c>
      <c r="O606">
        <v>3738000</v>
      </c>
      <c r="P606">
        <v>1338000</v>
      </c>
      <c r="Q606">
        <v>35.79</v>
      </c>
    </row>
    <row r="607" spans="1:17" x14ac:dyDescent="0.35">
      <c r="A607" s="1" t="s">
        <v>1258</v>
      </c>
      <c r="B607" s="1" t="s">
        <v>172</v>
      </c>
      <c r="C607" s="1" t="s">
        <v>69</v>
      </c>
      <c r="D607" s="1" t="s">
        <v>157</v>
      </c>
      <c r="E607">
        <v>13</v>
      </c>
      <c r="F607" s="2">
        <v>45469</v>
      </c>
      <c r="G607" s="1" t="s">
        <v>1340</v>
      </c>
      <c r="H607" s="1" t="s">
        <v>1330</v>
      </c>
      <c r="I607" s="1" t="s">
        <v>41</v>
      </c>
      <c r="J607">
        <v>950000</v>
      </c>
      <c r="K607">
        <v>1649000</v>
      </c>
      <c r="L607" s="1" t="s">
        <v>70</v>
      </c>
      <c r="M607" s="1" t="s">
        <v>10</v>
      </c>
      <c r="N607" s="1" t="s">
        <v>11</v>
      </c>
      <c r="O607">
        <v>21437000</v>
      </c>
      <c r="P607">
        <v>9087000</v>
      </c>
      <c r="Q607">
        <v>42.39</v>
      </c>
    </row>
    <row r="608" spans="1:17" x14ac:dyDescent="0.35">
      <c r="A608" s="1" t="s">
        <v>1260</v>
      </c>
      <c r="B608" s="1" t="s">
        <v>197</v>
      </c>
      <c r="C608" s="1" t="s">
        <v>45</v>
      </c>
      <c r="D608" s="1" t="s">
        <v>171</v>
      </c>
      <c r="E608">
        <v>13</v>
      </c>
      <c r="F608" s="2">
        <v>45519</v>
      </c>
      <c r="G608" s="1" t="s">
        <v>1350</v>
      </c>
      <c r="H608" s="1" t="s">
        <v>1336</v>
      </c>
      <c r="I608" s="1" t="s">
        <v>11</v>
      </c>
      <c r="J608">
        <v>1200000</v>
      </c>
      <c r="K608">
        <v>1375000</v>
      </c>
      <c r="L608" s="1" t="s">
        <v>46</v>
      </c>
      <c r="M608" s="1" t="s">
        <v>10</v>
      </c>
      <c r="N608" s="1" t="s">
        <v>47</v>
      </c>
      <c r="O608">
        <v>17875000</v>
      </c>
      <c r="P608">
        <v>2275000</v>
      </c>
      <c r="Q608">
        <v>12.73</v>
      </c>
    </row>
    <row r="609" spans="1:17" x14ac:dyDescent="0.35">
      <c r="A609" s="1" t="s">
        <v>1261</v>
      </c>
      <c r="B609" s="1" t="s">
        <v>168</v>
      </c>
      <c r="C609" s="1" t="s">
        <v>51</v>
      </c>
      <c r="D609" s="1" t="s">
        <v>143</v>
      </c>
      <c r="E609">
        <v>5</v>
      </c>
      <c r="F609" s="2">
        <v>45515</v>
      </c>
      <c r="G609" s="1" t="s">
        <v>1338</v>
      </c>
      <c r="H609" s="1" t="s">
        <v>1336</v>
      </c>
      <c r="I609" s="1" t="s">
        <v>41</v>
      </c>
      <c r="J609">
        <v>500000</v>
      </c>
      <c r="K609">
        <v>844000</v>
      </c>
      <c r="L609" s="1" t="s">
        <v>52</v>
      </c>
      <c r="M609" s="1" t="s">
        <v>23</v>
      </c>
      <c r="N609" s="1" t="s">
        <v>53</v>
      </c>
      <c r="O609">
        <v>4220000</v>
      </c>
      <c r="P609">
        <v>1720000</v>
      </c>
      <c r="Q609">
        <v>40.76</v>
      </c>
    </row>
    <row r="610" spans="1:17" x14ac:dyDescent="0.35">
      <c r="A610" s="1" t="s">
        <v>1262</v>
      </c>
      <c r="B610" s="1" t="s">
        <v>113</v>
      </c>
      <c r="C610" s="1" t="s">
        <v>57</v>
      </c>
      <c r="D610" s="1" t="s">
        <v>171</v>
      </c>
      <c r="E610">
        <v>3</v>
      </c>
      <c r="F610" s="2">
        <v>45642</v>
      </c>
      <c r="G610" s="1" t="s">
        <v>1346</v>
      </c>
      <c r="H610" s="1" t="s">
        <v>1311</v>
      </c>
      <c r="I610" s="1" t="s">
        <v>1323</v>
      </c>
      <c r="J610">
        <v>4500000</v>
      </c>
      <c r="K610">
        <v>5522000</v>
      </c>
      <c r="L610" s="1" t="s">
        <v>58</v>
      </c>
      <c r="M610" s="1" t="s">
        <v>10</v>
      </c>
      <c r="N610" s="1" t="s">
        <v>59</v>
      </c>
      <c r="O610">
        <v>16566000</v>
      </c>
      <c r="P610">
        <v>3066000</v>
      </c>
      <c r="Q610">
        <v>18.510000000000002</v>
      </c>
    </row>
    <row r="611" spans="1:17" x14ac:dyDescent="0.35">
      <c r="A611" s="1" t="s">
        <v>1264</v>
      </c>
      <c r="B611" s="1" t="s">
        <v>176</v>
      </c>
      <c r="C611" s="1" t="s">
        <v>8</v>
      </c>
      <c r="D611" s="1" t="s">
        <v>128</v>
      </c>
      <c r="E611">
        <v>14</v>
      </c>
      <c r="F611" s="2">
        <v>45582</v>
      </c>
      <c r="G611" s="1" t="s">
        <v>1329</v>
      </c>
      <c r="H611" s="1" t="s">
        <v>1330</v>
      </c>
      <c r="I611" s="1" t="s">
        <v>1323</v>
      </c>
      <c r="J611">
        <v>1500000</v>
      </c>
      <c r="K611">
        <v>1772000</v>
      </c>
      <c r="L611" s="1" t="s">
        <v>9</v>
      </c>
      <c r="M611" s="1" t="s">
        <v>10</v>
      </c>
      <c r="N611" s="1" t="s">
        <v>11</v>
      </c>
      <c r="O611">
        <v>24808000</v>
      </c>
      <c r="P611">
        <v>3808000</v>
      </c>
      <c r="Q611">
        <v>15.35</v>
      </c>
    </row>
    <row r="612" spans="1:17" x14ac:dyDescent="0.35">
      <c r="A612" s="1" t="s">
        <v>1266</v>
      </c>
      <c r="B612" s="1" t="s">
        <v>240</v>
      </c>
      <c r="C612" s="1" t="s">
        <v>57</v>
      </c>
      <c r="D612" s="1" t="s">
        <v>121</v>
      </c>
      <c r="E612">
        <v>7</v>
      </c>
      <c r="F612" s="2">
        <v>45453</v>
      </c>
      <c r="G612" s="1" t="s">
        <v>1326</v>
      </c>
      <c r="H612" s="1" t="s">
        <v>1317</v>
      </c>
      <c r="I612" s="1" t="s">
        <v>41</v>
      </c>
      <c r="J612">
        <v>350000</v>
      </c>
      <c r="K612">
        <v>626000</v>
      </c>
      <c r="L612" s="1" t="s">
        <v>58</v>
      </c>
      <c r="M612" s="1" t="s">
        <v>10</v>
      </c>
      <c r="N612" s="1" t="s">
        <v>59</v>
      </c>
      <c r="O612">
        <v>4382000</v>
      </c>
      <c r="P612">
        <v>1932000</v>
      </c>
      <c r="Q612">
        <v>44.09</v>
      </c>
    </row>
    <row r="613" spans="1:17" x14ac:dyDescent="0.35">
      <c r="A613" s="1" t="s">
        <v>1268</v>
      </c>
      <c r="B613" s="1" t="s">
        <v>164</v>
      </c>
      <c r="C613" s="1" t="s">
        <v>15</v>
      </c>
      <c r="D613" s="1" t="s">
        <v>121</v>
      </c>
      <c r="E613">
        <v>1</v>
      </c>
      <c r="F613" s="2">
        <v>45582</v>
      </c>
      <c r="G613" s="1" t="s">
        <v>1332</v>
      </c>
      <c r="H613" s="1" t="s">
        <v>1330</v>
      </c>
      <c r="I613" s="1" t="s">
        <v>11</v>
      </c>
      <c r="J613">
        <v>750000</v>
      </c>
      <c r="K613">
        <v>971000</v>
      </c>
      <c r="L613" s="1" t="s">
        <v>16</v>
      </c>
      <c r="M613" s="1" t="s">
        <v>10</v>
      </c>
      <c r="N613" s="1" t="s">
        <v>17</v>
      </c>
      <c r="O613">
        <v>971000</v>
      </c>
      <c r="P613">
        <v>221000</v>
      </c>
      <c r="Q613">
        <v>22.76</v>
      </c>
    </row>
    <row r="614" spans="1:17" x14ac:dyDescent="0.35">
      <c r="A614" s="1" t="s">
        <v>1270</v>
      </c>
      <c r="B614" s="1" t="s">
        <v>168</v>
      </c>
      <c r="C614" s="1" t="s">
        <v>57</v>
      </c>
      <c r="D614" s="1" t="s">
        <v>171</v>
      </c>
      <c r="E614">
        <v>4</v>
      </c>
      <c r="F614" s="2">
        <v>45409</v>
      </c>
      <c r="G614" s="1" t="s">
        <v>1338</v>
      </c>
      <c r="H614" s="1" t="s">
        <v>1336</v>
      </c>
      <c r="I614" s="1" t="s">
        <v>41</v>
      </c>
      <c r="J614">
        <v>500000</v>
      </c>
      <c r="K614">
        <v>844000</v>
      </c>
      <c r="L614" s="1" t="s">
        <v>58</v>
      </c>
      <c r="M614" s="1" t="s">
        <v>10</v>
      </c>
      <c r="N614" s="1" t="s">
        <v>59</v>
      </c>
      <c r="O614">
        <v>3376000</v>
      </c>
      <c r="P614">
        <v>1376000</v>
      </c>
      <c r="Q614">
        <v>40.76</v>
      </c>
    </row>
    <row r="615" spans="1:17" x14ac:dyDescent="0.35">
      <c r="A615" s="1" t="s">
        <v>1272</v>
      </c>
      <c r="B615" s="1" t="s">
        <v>141</v>
      </c>
      <c r="C615" s="1" t="s">
        <v>63</v>
      </c>
      <c r="D615" s="1" t="s">
        <v>128</v>
      </c>
      <c r="E615">
        <v>2</v>
      </c>
      <c r="F615" s="2">
        <v>45526</v>
      </c>
      <c r="G615" s="1" t="s">
        <v>1355</v>
      </c>
      <c r="H615" s="1" t="s">
        <v>1330</v>
      </c>
      <c r="I615" s="1" t="s">
        <v>41</v>
      </c>
      <c r="J615">
        <v>400000</v>
      </c>
      <c r="K615">
        <v>623000</v>
      </c>
      <c r="L615" s="1" t="s">
        <v>64</v>
      </c>
      <c r="M615" s="1" t="s">
        <v>23</v>
      </c>
      <c r="N615" s="1" t="s">
        <v>65</v>
      </c>
      <c r="O615">
        <v>1246000</v>
      </c>
      <c r="P615">
        <v>446000</v>
      </c>
      <c r="Q615">
        <v>35.79</v>
      </c>
    </row>
    <row r="616" spans="1:17" x14ac:dyDescent="0.35">
      <c r="A616" s="1" t="s">
        <v>1274</v>
      </c>
      <c r="B616" s="1" t="s">
        <v>116</v>
      </c>
      <c r="C616" s="1" t="s">
        <v>82</v>
      </c>
      <c r="D616" s="1" t="s">
        <v>128</v>
      </c>
      <c r="E616">
        <v>9</v>
      </c>
      <c r="F616" s="2">
        <v>45462</v>
      </c>
      <c r="G616" s="1" t="s">
        <v>1352</v>
      </c>
      <c r="H616" s="1" t="s">
        <v>1330</v>
      </c>
      <c r="I616" s="1" t="s">
        <v>1323</v>
      </c>
      <c r="J616">
        <v>5000000</v>
      </c>
      <c r="K616">
        <v>7546000</v>
      </c>
      <c r="L616" s="1" t="s">
        <v>83</v>
      </c>
      <c r="M616" s="1" t="s">
        <v>23</v>
      </c>
      <c r="N616" s="1" t="s">
        <v>84</v>
      </c>
      <c r="O616">
        <v>67914000</v>
      </c>
      <c r="P616">
        <v>22914000</v>
      </c>
      <c r="Q616">
        <v>33.74</v>
      </c>
    </row>
    <row r="617" spans="1:17" x14ac:dyDescent="0.35">
      <c r="A617" s="1" t="s">
        <v>1276</v>
      </c>
      <c r="B617" s="1" t="s">
        <v>197</v>
      </c>
      <c r="C617" s="1" t="s">
        <v>63</v>
      </c>
      <c r="D617" s="1" t="s">
        <v>128</v>
      </c>
      <c r="E617">
        <v>6</v>
      </c>
      <c r="F617" s="2">
        <v>45410</v>
      </c>
      <c r="G617" s="1" t="s">
        <v>1350</v>
      </c>
      <c r="H617" s="1" t="s">
        <v>1336</v>
      </c>
      <c r="I617" s="1" t="s">
        <v>11</v>
      </c>
      <c r="J617">
        <v>1200000</v>
      </c>
      <c r="K617">
        <v>1375000</v>
      </c>
      <c r="L617" s="1" t="s">
        <v>64</v>
      </c>
      <c r="M617" s="1" t="s">
        <v>23</v>
      </c>
      <c r="N617" s="1" t="s">
        <v>65</v>
      </c>
      <c r="O617">
        <v>8250000</v>
      </c>
      <c r="P617">
        <v>1050000</v>
      </c>
      <c r="Q617">
        <v>12.73</v>
      </c>
    </row>
    <row r="618" spans="1:17" x14ac:dyDescent="0.35">
      <c r="A618" s="1" t="s">
        <v>1278</v>
      </c>
      <c r="B618" s="1" t="s">
        <v>137</v>
      </c>
      <c r="C618" s="1" t="s">
        <v>69</v>
      </c>
      <c r="D618" s="1" t="s">
        <v>157</v>
      </c>
      <c r="E618">
        <v>8</v>
      </c>
      <c r="F618" s="2">
        <v>45584</v>
      </c>
      <c r="G618" s="1" t="s">
        <v>1324</v>
      </c>
      <c r="H618" s="1" t="s">
        <v>1311</v>
      </c>
      <c r="I618" s="1" t="s">
        <v>11</v>
      </c>
      <c r="J618">
        <v>2000000</v>
      </c>
      <c r="K618">
        <v>2533000</v>
      </c>
      <c r="L618" s="1" t="s">
        <v>70</v>
      </c>
      <c r="M618" s="1" t="s">
        <v>10</v>
      </c>
      <c r="N618" s="1" t="s">
        <v>11</v>
      </c>
      <c r="O618">
        <v>20264000</v>
      </c>
      <c r="P618">
        <v>4264000</v>
      </c>
      <c r="Q618">
        <v>21.04</v>
      </c>
    </row>
    <row r="619" spans="1:17" x14ac:dyDescent="0.35">
      <c r="A619" s="1" t="s">
        <v>1280</v>
      </c>
      <c r="B619" s="1" t="s">
        <v>172</v>
      </c>
      <c r="C619" s="1" t="s">
        <v>57</v>
      </c>
      <c r="D619" s="1" t="s">
        <v>128</v>
      </c>
      <c r="E619">
        <v>10</v>
      </c>
      <c r="F619" s="2">
        <v>45652</v>
      </c>
      <c r="G619" s="1" t="s">
        <v>1340</v>
      </c>
      <c r="H619" s="1" t="s">
        <v>1330</v>
      </c>
      <c r="I619" s="1" t="s">
        <v>41</v>
      </c>
      <c r="J619">
        <v>950000</v>
      </c>
      <c r="K619">
        <v>1649000</v>
      </c>
      <c r="L619" s="1" t="s">
        <v>58</v>
      </c>
      <c r="M619" s="1" t="s">
        <v>10</v>
      </c>
      <c r="N619" s="1" t="s">
        <v>59</v>
      </c>
      <c r="O619">
        <v>16490000</v>
      </c>
      <c r="P619">
        <v>6990000</v>
      </c>
      <c r="Q619">
        <v>42.39</v>
      </c>
    </row>
    <row r="620" spans="1:17" x14ac:dyDescent="0.35">
      <c r="A620" s="1" t="s">
        <v>1282</v>
      </c>
      <c r="B620" s="1" t="s">
        <v>106</v>
      </c>
      <c r="C620" s="1" t="s">
        <v>78</v>
      </c>
      <c r="D620" s="1" t="s">
        <v>157</v>
      </c>
      <c r="E620">
        <v>5</v>
      </c>
      <c r="F620" s="2">
        <v>45326</v>
      </c>
      <c r="G620" s="1" t="s">
        <v>1348</v>
      </c>
      <c r="H620" s="1" t="s">
        <v>1317</v>
      </c>
      <c r="I620" s="1" t="s">
        <v>1323</v>
      </c>
      <c r="J620">
        <v>300000</v>
      </c>
      <c r="K620">
        <v>355000</v>
      </c>
      <c r="L620" s="1" t="s">
        <v>79</v>
      </c>
      <c r="M620" s="1" t="s">
        <v>10</v>
      </c>
      <c r="N620" s="1" t="s">
        <v>17</v>
      </c>
      <c r="O620">
        <v>1775000</v>
      </c>
      <c r="P620">
        <v>275000</v>
      </c>
      <c r="Q620">
        <v>15.49</v>
      </c>
    </row>
    <row r="621" spans="1:17" x14ac:dyDescent="0.35">
      <c r="A621" s="1" t="s">
        <v>1282</v>
      </c>
      <c r="B621" s="1" t="s">
        <v>197</v>
      </c>
      <c r="C621" s="1" t="s">
        <v>78</v>
      </c>
      <c r="D621" s="1" t="s">
        <v>157</v>
      </c>
      <c r="E621">
        <v>5</v>
      </c>
      <c r="F621" s="2">
        <v>45326</v>
      </c>
      <c r="G621" s="1" t="s">
        <v>1350</v>
      </c>
      <c r="H621" s="1" t="s">
        <v>1336</v>
      </c>
      <c r="I621" s="1" t="s">
        <v>11</v>
      </c>
      <c r="J621">
        <v>1200000</v>
      </c>
      <c r="K621">
        <v>1375000</v>
      </c>
      <c r="L621" s="1" t="s">
        <v>79</v>
      </c>
      <c r="M621" s="1" t="s">
        <v>10</v>
      </c>
      <c r="N621" s="1" t="s">
        <v>17</v>
      </c>
      <c r="O621">
        <v>6875000</v>
      </c>
      <c r="P621">
        <v>875000</v>
      </c>
      <c r="Q621">
        <v>12.73</v>
      </c>
    </row>
    <row r="622" spans="1:17" x14ac:dyDescent="0.35">
      <c r="A622" s="1" t="s">
        <v>1282</v>
      </c>
      <c r="B622" s="1" t="s">
        <v>116</v>
      </c>
      <c r="C622" s="1" t="s">
        <v>78</v>
      </c>
      <c r="D622" s="1" t="s">
        <v>157</v>
      </c>
      <c r="E622">
        <v>5</v>
      </c>
      <c r="F622" s="2">
        <v>45326</v>
      </c>
      <c r="G622" s="1" t="s">
        <v>1352</v>
      </c>
      <c r="H622" s="1" t="s">
        <v>1330</v>
      </c>
      <c r="I622" s="1" t="s">
        <v>1323</v>
      </c>
      <c r="J622">
        <v>5000000</v>
      </c>
      <c r="K622">
        <v>7546000</v>
      </c>
      <c r="L622" s="1" t="s">
        <v>79</v>
      </c>
      <c r="M622" s="1" t="s">
        <v>10</v>
      </c>
      <c r="N622" s="1" t="s">
        <v>17</v>
      </c>
      <c r="O622">
        <v>37730000</v>
      </c>
      <c r="P622">
        <v>12730000</v>
      </c>
      <c r="Q622">
        <v>33.74</v>
      </c>
    </row>
    <row r="623" spans="1:17" x14ac:dyDescent="0.35">
      <c r="A623" s="1" t="s">
        <v>1284</v>
      </c>
      <c r="B623" s="1" t="s">
        <v>172</v>
      </c>
      <c r="C623" s="1" t="s">
        <v>21</v>
      </c>
      <c r="D623" s="1" t="s">
        <v>171</v>
      </c>
      <c r="E623">
        <v>13</v>
      </c>
      <c r="F623" s="2">
        <v>45513</v>
      </c>
      <c r="G623" s="1" t="s">
        <v>1340</v>
      </c>
      <c r="H623" s="1" t="s">
        <v>1330</v>
      </c>
      <c r="I623" s="1" t="s">
        <v>41</v>
      </c>
      <c r="J623">
        <v>950000</v>
      </c>
      <c r="K623">
        <v>1649000</v>
      </c>
      <c r="L623" s="1" t="s">
        <v>22</v>
      </c>
      <c r="M623" s="1" t="s">
        <v>23</v>
      </c>
      <c r="N623" s="1" t="s">
        <v>24</v>
      </c>
      <c r="O623">
        <v>21437000</v>
      </c>
      <c r="P623">
        <v>9087000</v>
      </c>
      <c r="Q623">
        <v>42.39</v>
      </c>
    </row>
    <row r="624" spans="1:17" x14ac:dyDescent="0.35">
      <c r="A624" s="1" t="s">
        <v>1286</v>
      </c>
      <c r="B624" s="1" t="s">
        <v>168</v>
      </c>
      <c r="C624" s="1" t="s">
        <v>21</v>
      </c>
      <c r="D624" s="1" t="s">
        <v>171</v>
      </c>
      <c r="E624">
        <v>7</v>
      </c>
      <c r="F624" s="2">
        <v>45341</v>
      </c>
      <c r="G624" s="1" t="s">
        <v>1338</v>
      </c>
      <c r="H624" s="1" t="s">
        <v>1336</v>
      </c>
      <c r="I624" s="1" t="s">
        <v>41</v>
      </c>
      <c r="J624">
        <v>500000</v>
      </c>
      <c r="K624">
        <v>844000</v>
      </c>
      <c r="L624" s="1" t="s">
        <v>22</v>
      </c>
      <c r="M624" s="1" t="s">
        <v>23</v>
      </c>
      <c r="N624" s="1" t="s">
        <v>24</v>
      </c>
      <c r="O624">
        <v>5908000</v>
      </c>
      <c r="P624">
        <v>2408000</v>
      </c>
      <c r="Q624">
        <v>40.76</v>
      </c>
    </row>
    <row r="625" spans="1:17" x14ac:dyDescent="0.35">
      <c r="A625" s="1" t="s">
        <v>1288</v>
      </c>
      <c r="B625" s="1" t="s">
        <v>106</v>
      </c>
      <c r="C625" s="1" t="s">
        <v>29</v>
      </c>
      <c r="D625" s="1" t="s">
        <v>121</v>
      </c>
      <c r="E625">
        <v>2</v>
      </c>
      <c r="F625" s="2">
        <v>45405</v>
      </c>
      <c r="G625" s="1" t="s">
        <v>1348</v>
      </c>
      <c r="H625" s="1" t="s">
        <v>1317</v>
      </c>
      <c r="I625" s="1" t="s">
        <v>1323</v>
      </c>
      <c r="J625">
        <v>300000</v>
      </c>
      <c r="K625">
        <v>355000</v>
      </c>
      <c r="L625" s="1" t="s">
        <v>30</v>
      </c>
      <c r="M625" s="1" t="s">
        <v>23</v>
      </c>
      <c r="N625" s="1" t="s">
        <v>31</v>
      </c>
      <c r="O625">
        <v>710000</v>
      </c>
      <c r="P625">
        <v>110000</v>
      </c>
      <c r="Q625">
        <v>15.49</v>
      </c>
    </row>
    <row r="626" spans="1:17" x14ac:dyDescent="0.35">
      <c r="A626" s="1" t="s">
        <v>1290</v>
      </c>
      <c r="B626" s="1" t="s">
        <v>137</v>
      </c>
      <c r="C626" s="1" t="s">
        <v>82</v>
      </c>
      <c r="D626" s="1" t="s">
        <v>128</v>
      </c>
      <c r="E626">
        <v>3</v>
      </c>
      <c r="F626" s="2">
        <v>45621</v>
      </c>
      <c r="G626" s="1" t="s">
        <v>1324</v>
      </c>
      <c r="H626" s="1" t="s">
        <v>1311</v>
      </c>
      <c r="I626" s="1" t="s">
        <v>11</v>
      </c>
      <c r="J626">
        <v>2000000</v>
      </c>
      <c r="K626">
        <v>2533000</v>
      </c>
      <c r="L626" s="1" t="s">
        <v>83</v>
      </c>
      <c r="M626" s="1" t="s">
        <v>23</v>
      </c>
      <c r="N626" s="1" t="s">
        <v>84</v>
      </c>
      <c r="O626">
        <v>7599000</v>
      </c>
      <c r="P626">
        <v>1599000</v>
      </c>
      <c r="Q626">
        <v>21.04</v>
      </c>
    </row>
    <row r="627" spans="1:17" x14ac:dyDescent="0.35">
      <c r="A627" s="1" t="s">
        <v>1291</v>
      </c>
      <c r="B627" s="1" t="s">
        <v>113</v>
      </c>
      <c r="C627" s="1" t="s">
        <v>78</v>
      </c>
      <c r="D627" s="1" t="s">
        <v>171</v>
      </c>
      <c r="E627">
        <v>1</v>
      </c>
      <c r="F627" s="2">
        <v>45650</v>
      </c>
      <c r="G627" s="1" t="s">
        <v>1346</v>
      </c>
      <c r="H627" s="1" t="s">
        <v>1311</v>
      </c>
      <c r="I627" s="1" t="s">
        <v>1323</v>
      </c>
      <c r="J627">
        <v>4500000</v>
      </c>
      <c r="K627">
        <v>5522000</v>
      </c>
      <c r="L627" s="1" t="s">
        <v>79</v>
      </c>
      <c r="M627" s="1" t="s">
        <v>10</v>
      </c>
      <c r="N627" s="1" t="s">
        <v>17</v>
      </c>
      <c r="O627">
        <v>5522000</v>
      </c>
      <c r="P627">
        <v>1022000</v>
      </c>
      <c r="Q627">
        <v>18.510000000000002</v>
      </c>
    </row>
    <row r="628" spans="1:17" x14ac:dyDescent="0.35">
      <c r="A628" s="1" t="s">
        <v>1292</v>
      </c>
      <c r="B628" s="1" t="s">
        <v>149</v>
      </c>
      <c r="C628" s="1" t="s">
        <v>8</v>
      </c>
      <c r="D628" s="1" t="s">
        <v>171</v>
      </c>
      <c r="E628">
        <v>1</v>
      </c>
      <c r="F628" s="2">
        <v>45636</v>
      </c>
      <c r="G628" s="1" t="s">
        <v>1316</v>
      </c>
      <c r="H628" s="1" t="s">
        <v>1317</v>
      </c>
      <c r="I628" s="1" t="s">
        <v>41</v>
      </c>
      <c r="J628">
        <v>100000</v>
      </c>
      <c r="K628">
        <v>169000</v>
      </c>
      <c r="L628" s="1" t="s">
        <v>9</v>
      </c>
      <c r="M628" s="1" t="s">
        <v>10</v>
      </c>
      <c r="N628" s="1" t="s">
        <v>11</v>
      </c>
      <c r="O628">
        <v>169000</v>
      </c>
      <c r="P628">
        <v>69000</v>
      </c>
      <c r="Q628">
        <v>40.83</v>
      </c>
    </row>
    <row r="629" spans="1:17" x14ac:dyDescent="0.35">
      <c r="A629" s="1" t="s">
        <v>1293</v>
      </c>
      <c r="B629" s="1" t="s">
        <v>116</v>
      </c>
      <c r="C629" s="1" t="s">
        <v>69</v>
      </c>
      <c r="D629" s="1" t="s">
        <v>143</v>
      </c>
      <c r="E629">
        <v>5</v>
      </c>
      <c r="F629" s="2">
        <v>45520</v>
      </c>
      <c r="G629" s="1" t="s">
        <v>1352</v>
      </c>
      <c r="H629" s="1" t="s">
        <v>1330</v>
      </c>
      <c r="I629" s="1" t="s">
        <v>1323</v>
      </c>
      <c r="J629">
        <v>5000000</v>
      </c>
      <c r="K629">
        <v>7546000</v>
      </c>
      <c r="L629" s="1" t="s">
        <v>70</v>
      </c>
      <c r="M629" s="1" t="s">
        <v>10</v>
      </c>
      <c r="N629" s="1" t="s">
        <v>11</v>
      </c>
      <c r="O629">
        <v>37730000</v>
      </c>
      <c r="P629">
        <v>12730000</v>
      </c>
      <c r="Q629">
        <v>33.74</v>
      </c>
    </row>
    <row r="630" spans="1:17" x14ac:dyDescent="0.35">
      <c r="A630" s="1" t="s">
        <v>1294</v>
      </c>
      <c r="B630" s="1" t="s">
        <v>172</v>
      </c>
      <c r="C630" s="1" t="s">
        <v>73</v>
      </c>
      <c r="D630" s="1" t="s">
        <v>121</v>
      </c>
      <c r="E630">
        <v>9</v>
      </c>
      <c r="F630" s="2">
        <v>45496</v>
      </c>
      <c r="G630" s="1" t="s">
        <v>1340</v>
      </c>
      <c r="H630" s="1" t="s">
        <v>1330</v>
      </c>
      <c r="I630" s="1" t="s">
        <v>41</v>
      </c>
      <c r="J630">
        <v>950000</v>
      </c>
      <c r="K630">
        <v>1649000</v>
      </c>
      <c r="L630" s="1" t="s">
        <v>74</v>
      </c>
      <c r="M630" s="1" t="s">
        <v>23</v>
      </c>
      <c r="N630" s="1" t="s">
        <v>75</v>
      </c>
      <c r="O630">
        <v>14841000</v>
      </c>
      <c r="P630">
        <v>6291000</v>
      </c>
      <c r="Q630">
        <v>42.39</v>
      </c>
    </row>
    <row r="631" spans="1:17" x14ac:dyDescent="0.35">
      <c r="A631" s="1" t="s">
        <v>1295</v>
      </c>
      <c r="B631" s="1" t="s">
        <v>168</v>
      </c>
      <c r="C631" s="1" t="s">
        <v>8</v>
      </c>
      <c r="D631" s="1" t="s">
        <v>143</v>
      </c>
      <c r="E631">
        <v>10</v>
      </c>
      <c r="F631" s="2">
        <v>45424</v>
      </c>
      <c r="G631" s="1" t="s">
        <v>1338</v>
      </c>
      <c r="H631" s="1" t="s">
        <v>1336</v>
      </c>
      <c r="I631" s="1" t="s">
        <v>41</v>
      </c>
      <c r="J631">
        <v>500000</v>
      </c>
      <c r="K631">
        <v>844000</v>
      </c>
      <c r="L631" s="1" t="s">
        <v>9</v>
      </c>
      <c r="M631" s="1" t="s">
        <v>10</v>
      </c>
      <c r="N631" s="1" t="s">
        <v>11</v>
      </c>
      <c r="O631">
        <v>8440000</v>
      </c>
      <c r="P631">
        <v>3440000</v>
      </c>
      <c r="Q631">
        <v>40.76</v>
      </c>
    </row>
    <row r="632" spans="1:17" x14ac:dyDescent="0.35">
      <c r="A632" s="1" t="s">
        <v>1296</v>
      </c>
      <c r="B632" s="1" t="s">
        <v>106</v>
      </c>
      <c r="C632" s="1" t="s">
        <v>78</v>
      </c>
      <c r="D632" s="1" t="s">
        <v>128</v>
      </c>
      <c r="E632">
        <v>6</v>
      </c>
      <c r="F632" s="2">
        <v>45296</v>
      </c>
      <c r="G632" s="1" t="s">
        <v>1348</v>
      </c>
      <c r="H632" s="1" t="s">
        <v>1317</v>
      </c>
      <c r="I632" s="1" t="s">
        <v>1323</v>
      </c>
      <c r="J632">
        <v>300000</v>
      </c>
      <c r="K632">
        <v>355000</v>
      </c>
      <c r="L632" s="1" t="s">
        <v>79</v>
      </c>
      <c r="M632" s="1" t="s">
        <v>10</v>
      </c>
      <c r="N632" s="1" t="s">
        <v>17</v>
      </c>
      <c r="O632">
        <v>2130000</v>
      </c>
      <c r="P632">
        <v>330000</v>
      </c>
      <c r="Q632">
        <v>15.49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5D09D-3889-4424-9A3F-FCCB1857A0B3}">
  <dimension ref="A1:K633"/>
  <sheetViews>
    <sheetView topLeftCell="H1" workbookViewId="0">
      <selection activeCell="D20" sqref="D20"/>
    </sheetView>
  </sheetViews>
  <sheetFormatPr defaultRowHeight="14.5" x14ac:dyDescent="0.35"/>
  <cols>
    <col min="1" max="1" width="13.7265625" bestFit="1" customWidth="1"/>
    <col min="2" max="2" width="11.6328125" bestFit="1" customWidth="1"/>
    <col min="3" max="3" width="14.36328125" bestFit="1" customWidth="1"/>
    <col min="4" max="4" width="13" bestFit="1" customWidth="1"/>
    <col min="5" max="5" width="9.08984375" bestFit="1" customWidth="1"/>
    <col min="6" max="6" width="15.26953125" bestFit="1" customWidth="1"/>
    <col min="7" max="7" width="16.7265625" customWidth="1"/>
    <col min="8" max="8" width="17" customWidth="1"/>
    <col min="9" max="9" width="17.54296875" customWidth="1"/>
    <col min="10" max="10" width="17.453125" customWidth="1"/>
    <col min="11" max="11" width="17.6328125" customWidth="1"/>
  </cols>
  <sheetData>
    <row r="1" spans="1:11" x14ac:dyDescent="0.35">
      <c r="A1" t="s">
        <v>99</v>
      </c>
      <c r="B1" t="s">
        <v>101</v>
      </c>
      <c r="C1" t="s">
        <v>0</v>
      </c>
      <c r="D1" t="s">
        <v>103</v>
      </c>
      <c r="E1" t="s">
        <v>102</v>
      </c>
      <c r="F1" t="s">
        <v>1298</v>
      </c>
      <c r="G1" t="s">
        <v>1</v>
      </c>
      <c r="H1" t="s">
        <v>1374</v>
      </c>
      <c r="I1" t="s">
        <v>1371</v>
      </c>
      <c r="J1" t="s">
        <v>1304</v>
      </c>
      <c r="K1" t="s">
        <v>1372</v>
      </c>
    </row>
    <row r="2" spans="1:11" x14ac:dyDescent="0.35">
      <c r="A2" s="1" t="s">
        <v>104</v>
      </c>
      <c r="B2" s="1" t="s">
        <v>106</v>
      </c>
      <c r="C2" s="1" t="s">
        <v>39</v>
      </c>
      <c r="D2" s="1" t="s">
        <v>143</v>
      </c>
      <c r="E2">
        <v>4</v>
      </c>
      <c r="F2" s="2">
        <v>45617</v>
      </c>
      <c r="G2" s="1" t="str">
        <f>VLOOKUP(Summary_Laporan_Penjualan_20248[[#This Row],[ID_Pelanggan]], Data_Pelanggan[], 2, 0)</f>
        <v>Toko Elektronik Jaya</v>
      </c>
      <c r="H2" s="1" t="str">
        <f>VLOOKUP(Summary_Laporan_Penjualan_20248[[#This Row],[ID_Pelanggan]], Data_Pelanggan[], 4, 0)</f>
        <v>Semarang</v>
      </c>
      <c r="I2" s="1" t="str">
        <f>VLOOKUP(Summary_Laporan_Penjualan_20248[[#This Row],[ID_Produk]], Data_Produk[], 6, 0)</f>
        <v>Depok</v>
      </c>
      <c r="J2" s="1">
        <f>VLOOKUP(Summary_Laporan_Penjualan_20248[[#This Row],[ID_Produk]], Data_Produk[], 7, 0)</f>
        <v>300000</v>
      </c>
      <c r="K2" s="1">
        <f>VLOOKUP(Summary_Laporan_Penjualan_20248[[#This Row],[ID_Produk]], Data_Produk[], 8, 0)</f>
        <v>355000</v>
      </c>
    </row>
    <row r="3" spans="1:11" x14ac:dyDescent="0.35">
      <c r="A3" s="1" t="s">
        <v>104</v>
      </c>
      <c r="B3" s="1" t="s">
        <v>109</v>
      </c>
      <c r="C3" s="1" t="s">
        <v>39</v>
      </c>
      <c r="D3" s="1" t="s">
        <v>143</v>
      </c>
      <c r="E3">
        <v>2</v>
      </c>
      <c r="F3" s="2">
        <v>45617</v>
      </c>
      <c r="G3" s="1" t="str">
        <f>VLOOKUP(Summary_Laporan_Penjualan_20248[[#This Row],[ID_Pelanggan]], Data_Pelanggan[], 2, 0)</f>
        <v>Toko Elektronik Jaya</v>
      </c>
      <c r="H3" s="1" t="str">
        <f>VLOOKUP(Summary_Laporan_Penjualan_20248[[#This Row],[ID_Pelanggan]], Data_Pelanggan[], 4, 0)</f>
        <v>Semarang</v>
      </c>
      <c r="I3" s="1" t="str">
        <f>VLOOKUP(Summary_Laporan_Penjualan_20248[[#This Row],[ID_Produk]], Data_Produk[], 6, 0)</f>
        <v>Semarang</v>
      </c>
      <c r="J3" s="1">
        <f>VLOOKUP(Summary_Laporan_Penjualan_20248[[#This Row],[ID_Produk]], Data_Produk[], 7, 0)</f>
        <v>2000000</v>
      </c>
      <c r="K3" s="1">
        <f>VLOOKUP(Summary_Laporan_Penjualan_20248[[#This Row],[ID_Produk]], Data_Produk[], 8, 0)</f>
        <v>3382000</v>
      </c>
    </row>
    <row r="4" spans="1:11" x14ac:dyDescent="0.35">
      <c r="A4" s="1" t="s">
        <v>104</v>
      </c>
      <c r="B4" s="1" t="s">
        <v>111</v>
      </c>
      <c r="C4" s="1" t="s">
        <v>39</v>
      </c>
      <c r="D4" s="1" t="s">
        <v>143</v>
      </c>
      <c r="E4">
        <v>3</v>
      </c>
      <c r="F4" s="2">
        <v>45617</v>
      </c>
      <c r="G4" s="1" t="str">
        <f>VLOOKUP(Summary_Laporan_Penjualan_20248[[#This Row],[ID_Pelanggan]], Data_Pelanggan[], 2, 0)</f>
        <v>Toko Elektronik Jaya</v>
      </c>
      <c r="H4" s="1" t="str">
        <f>VLOOKUP(Summary_Laporan_Penjualan_20248[[#This Row],[ID_Pelanggan]], Data_Pelanggan[], 4, 0)</f>
        <v>Semarang</v>
      </c>
      <c r="I4" s="1" t="str">
        <f>VLOOKUP(Summary_Laporan_Penjualan_20248[[#This Row],[ID_Produk]], Data_Produk[], 6, 0)</f>
        <v>Depok</v>
      </c>
      <c r="J4" s="1">
        <f>VLOOKUP(Summary_Laporan_Penjualan_20248[[#This Row],[ID_Produk]], Data_Produk[], 7, 0)</f>
        <v>18000000</v>
      </c>
      <c r="K4" s="1">
        <f>VLOOKUP(Summary_Laporan_Penjualan_20248[[#This Row],[ID_Produk]], Data_Produk[], 8, 0)</f>
        <v>27603000</v>
      </c>
    </row>
    <row r="5" spans="1:11" x14ac:dyDescent="0.35">
      <c r="A5" s="1" t="s">
        <v>104</v>
      </c>
      <c r="B5" s="1" t="s">
        <v>113</v>
      </c>
      <c r="C5" s="1" t="s">
        <v>39</v>
      </c>
      <c r="D5" s="1" t="s">
        <v>143</v>
      </c>
      <c r="E5">
        <v>10</v>
      </c>
      <c r="F5" s="2">
        <v>45617</v>
      </c>
      <c r="G5" s="1" t="str">
        <f>VLOOKUP(Summary_Laporan_Penjualan_20248[[#This Row],[ID_Pelanggan]], Data_Pelanggan[], 2, 0)</f>
        <v>Toko Elektronik Jaya</v>
      </c>
      <c r="H5" s="1" t="str">
        <f>VLOOKUP(Summary_Laporan_Penjualan_20248[[#This Row],[ID_Pelanggan]], Data_Pelanggan[], 4, 0)</f>
        <v>Semarang</v>
      </c>
      <c r="I5" s="1" t="str">
        <f>VLOOKUP(Summary_Laporan_Penjualan_20248[[#This Row],[ID_Produk]], Data_Produk[], 6, 0)</f>
        <v>Depok</v>
      </c>
      <c r="J5" s="1">
        <f>VLOOKUP(Summary_Laporan_Penjualan_20248[[#This Row],[ID_Produk]], Data_Produk[], 7, 0)</f>
        <v>4500000</v>
      </c>
      <c r="K5" s="1">
        <f>VLOOKUP(Summary_Laporan_Penjualan_20248[[#This Row],[ID_Produk]], Data_Produk[], 8, 0)</f>
        <v>5522000</v>
      </c>
    </row>
    <row r="6" spans="1:11" x14ac:dyDescent="0.35">
      <c r="A6" s="1" t="s">
        <v>158</v>
      </c>
      <c r="B6" s="1" t="s">
        <v>106</v>
      </c>
      <c r="C6" s="1" t="s">
        <v>82</v>
      </c>
      <c r="D6" s="1" t="s">
        <v>121</v>
      </c>
      <c r="E6">
        <v>4</v>
      </c>
      <c r="F6" s="2">
        <v>45632</v>
      </c>
      <c r="G6" s="1" t="str">
        <f>VLOOKUP(Summary_Laporan_Penjualan_20248[[#This Row],[ID_Pelanggan]], Data_Pelanggan[], 2, 0)</f>
        <v>Toko Komputer Maju</v>
      </c>
      <c r="H6" s="1" t="str">
        <f>VLOOKUP(Summary_Laporan_Penjualan_20248[[#This Row],[ID_Pelanggan]], Data_Pelanggan[], 4, 0)</f>
        <v>Solo</v>
      </c>
      <c r="I6" s="1" t="str">
        <f>VLOOKUP(Summary_Laporan_Penjualan_20248[[#This Row],[ID_Produk]], Data_Produk[], 6, 0)</f>
        <v>Depok</v>
      </c>
      <c r="J6" s="1">
        <f>VLOOKUP(Summary_Laporan_Penjualan_20248[[#This Row],[ID_Produk]], Data_Produk[], 7, 0)</f>
        <v>300000</v>
      </c>
      <c r="K6" s="1">
        <f>VLOOKUP(Summary_Laporan_Penjualan_20248[[#This Row],[ID_Produk]], Data_Produk[], 8, 0)</f>
        <v>355000</v>
      </c>
    </row>
    <row r="7" spans="1:11" x14ac:dyDescent="0.35">
      <c r="A7" s="1" t="s">
        <v>160</v>
      </c>
      <c r="B7" s="1" t="s">
        <v>106</v>
      </c>
      <c r="C7" s="1" t="s">
        <v>78</v>
      </c>
      <c r="D7" s="1" t="s">
        <v>124</v>
      </c>
      <c r="E7">
        <v>8</v>
      </c>
      <c r="F7" s="2">
        <v>45527</v>
      </c>
      <c r="G7" s="1" t="str">
        <f>VLOOKUP(Summary_Laporan_Penjualan_20248[[#This Row],[ID_Pelanggan]], Data_Pelanggan[], 2, 0)</f>
        <v>CV Sinar Terang</v>
      </c>
      <c r="H7" s="1" t="str">
        <f>VLOOKUP(Summary_Laporan_Penjualan_20248[[#This Row],[ID_Pelanggan]], Data_Pelanggan[], 4, 0)</f>
        <v>Bandung</v>
      </c>
      <c r="I7" s="1" t="str">
        <f>VLOOKUP(Summary_Laporan_Penjualan_20248[[#This Row],[ID_Produk]], Data_Produk[], 6, 0)</f>
        <v>Depok</v>
      </c>
      <c r="J7" s="1">
        <f>VLOOKUP(Summary_Laporan_Penjualan_20248[[#This Row],[ID_Produk]], Data_Produk[], 7, 0)</f>
        <v>300000</v>
      </c>
      <c r="K7" s="1">
        <f>VLOOKUP(Summary_Laporan_Penjualan_20248[[#This Row],[ID_Produk]], Data_Produk[], 8, 0)</f>
        <v>355000</v>
      </c>
    </row>
    <row r="8" spans="1:11" x14ac:dyDescent="0.35">
      <c r="A8" s="1" t="s">
        <v>125</v>
      </c>
      <c r="B8" s="1" t="s">
        <v>111</v>
      </c>
      <c r="C8" s="1" t="s">
        <v>78</v>
      </c>
      <c r="D8" s="1" t="s">
        <v>128</v>
      </c>
      <c r="E8">
        <v>7</v>
      </c>
      <c r="F8" s="2">
        <v>45396</v>
      </c>
      <c r="G8" s="1" t="str">
        <f>VLOOKUP(Summary_Laporan_Penjualan_20248[[#This Row],[ID_Pelanggan]], Data_Pelanggan[], 2, 0)</f>
        <v>CV Sinar Terang</v>
      </c>
      <c r="H8" s="1" t="str">
        <f>VLOOKUP(Summary_Laporan_Penjualan_20248[[#This Row],[ID_Pelanggan]], Data_Pelanggan[], 4, 0)</f>
        <v>Bandung</v>
      </c>
      <c r="I8" s="1" t="str">
        <f>VLOOKUP(Summary_Laporan_Penjualan_20248[[#This Row],[ID_Produk]], Data_Produk[], 6, 0)</f>
        <v>Depok</v>
      </c>
      <c r="J8" s="1">
        <f>VLOOKUP(Summary_Laporan_Penjualan_20248[[#This Row],[ID_Produk]], Data_Produk[], 7, 0)</f>
        <v>18000000</v>
      </c>
      <c r="K8" s="1">
        <f>VLOOKUP(Summary_Laporan_Penjualan_20248[[#This Row],[ID_Produk]], Data_Produk[], 8, 0)</f>
        <v>27603000</v>
      </c>
    </row>
    <row r="9" spans="1:11" x14ac:dyDescent="0.35">
      <c r="A9" s="1" t="s">
        <v>135</v>
      </c>
      <c r="B9" s="1" t="s">
        <v>137</v>
      </c>
      <c r="C9" s="1" t="s">
        <v>21</v>
      </c>
      <c r="D9" s="1" t="s">
        <v>128</v>
      </c>
      <c r="E9">
        <v>9</v>
      </c>
      <c r="F9" s="2">
        <v>45653</v>
      </c>
      <c r="G9" s="1" t="str">
        <f>VLOOKUP(Summary_Laporan_Penjualan_20248[[#This Row],[ID_Pelanggan]], Data_Pelanggan[], 2, 0)</f>
        <v>Toko Komputer Sejahtera</v>
      </c>
      <c r="H9" s="1" t="str">
        <f>VLOOKUP(Summary_Laporan_Penjualan_20248[[#This Row],[ID_Pelanggan]], Data_Pelanggan[], 4, 0)</f>
        <v>Surabaya</v>
      </c>
      <c r="I9" s="1" t="str">
        <f>VLOOKUP(Summary_Laporan_Penjualan_20248[[#This Row],[ID_Produk]], Data_Produk[], 6, 0)</f>
        <v>Jakarta</v>
      </c>
      <c r="J9" s="1">
        <f>VLOOKUP(Summary_Laporan_Penjualan_20248[[#This Row],[ID_Produk]], Data_Produk[], 7, 0)</f>
        <v>2000000</v>
      </c>
      <c r="K9" s="1">
        <f>VLOOKUP(Summary_Laporan_Penjualan_20248[[#This Row],[ID_Produk]], Data_Produk[], 8, 0)</f>
        <v>2533000</v>
      </c>
    </row>
    <row r="10" spans="1:11" x14ac:dyDescent="0.35">
      <c r="A10" s="1" t="s">
        <v>122</v>
      </c>
      <c r="B10" s="1" t="s">
        <v>109</v>
      </c>
      <c r="C10" s="1" t="s">
        <v>29</v>
      </c>
      <c r="D10" s="1" t="s">
        <v>124</v>
      </c>
      <c r="E10">
        <v>2</v>
      </c>
      <c r="F10" s="2">
        <v>45387</v>
      </c>
      <c r="G10" s="1" t="str">
        <f>VLOOKUP(Summary_Laporan_Penjualan_20248[[#This Row],[ID_Pelanggan]], Data_Pelanggan[], 2, 0)</f>
        <v>UD Sentosa</v>
      </c>
      <c r="H10" s="1" t="str">
        <f>VLOOKUP(Summary_Laporan_Penjualan_20248[[#This Row],[ID_Pelanggan]], Data_Pelanggan[], 4, 0)</f>
        <v>Medan</v>
      </c>
      <c r="I10" s="1" t="str">
        <f>VLOOKUP(Summary_Laporan_Penjualan_20248[[#This Row],[ID_Produk]], Data_Produk[], 6, 0)</f>
        <v>Semarang</v>
      </c>
      <c r="J10" s="1">
        <f>VLOOKUP(Summary_Laporan_Penjualan_20248[[#This Row],[ID_Produk]], Data_Produk[], 7, 0)</f>
        <v>2000000</v>
      </c>
      <c r="K10" s="1">
        <f>VLOOKUP(Summary_Laporan_Penjualan_20248[[#This Row],[ID_Produk]], Data_Produk[], 8, 0)</f>
        <v>3382000</v>
      </c>
    </row>
    <row r="11" spans="1:11" x14ac:dyDescent="0.35">
      <c r="A11" s="1" t="s">
        <v>119</v>
      </c>
      <c r="B11" s="1" t="s">
        <v>109</v>
      </c>
      <c r="C11" s="1" t="s">
        <v>69</v>
      </c>
      <c r="D11" s="1" t="s">
        <v>121</v>
      </c>
      <c r="E11">
        <v>4</v>
      </c>
      <c r="F11" s="2">
        <v>45335</v>
      </c>
      <c r="G11" s="1" t="str">
        <f>VLOOKUP(Summary_Laporan_Penjualan_20248[[#This Row],[ID_Pelanggan]], Data_Pelanggan[], 2, 0)</f>
        <v>PT Teknologi Prima</v>
      </c>
      <c r="H11" s="1" t="str">
        <f>VLOOKUP(Summary_Laporan_Penjualan_20248[[#This Row],[ID_Pelanggan]], Data_Pelanggan[], 4, 0)</f>
        <v>Jakarta</v>
      </c>
      <c r="I11" s="1" t="str">
        <f>VLOOKUP(Summary_Laporan_Penjualan_20248[[#This Row],[ID_Produk]], Data_Produk[], 6, 0)</f>
        <v>Semarang</v>
      </c>
      <c r="J11" s="1">
        <f>VLOOKUP(Summary_Laporan_Penjualan_20248[[#This Row],[ID_Produk]], Data_Produk[], 7, 0)</f>
        <v>2000000</v>
      </c>
      <c r="K11" s="1">
        <f>VLOOKUP(Summary_Laporan_Penjualan_20248[[#This Row],[ID_Produk]], Data_Produk[], 8, 0)</f>
        <v>3382000</v>
      </c>
    </row>
    <row r="12" spans="1:11" x14ac:dyDescent="0.35">
      <c r="A12" s="1" t="s">
        <v>147</v>
      </c>
      <c r="B12" s="1" t="s">
        <v>149</v>
      </c>
      <c r="C12" s="1" t="s">
        <v>35</v>
      </c>
      <c r="D12" s="1" t="s">
        <v>157</v>
      </c>
      <c r="E12">
        <v>9</v>
      </c>
      <c r="F12" s="2">
        <v>45604</v>
      </c>
      <c r="G12" s="1" t="str">
        <f>VLOOKUP(Summary_Laporan_Penjualan_20248[[#This Row],[ID_Pelanggan]], Data_Pelanggan[], 2, 0)</f>
        <v>PT Digital Nusantara</v>
      </c>
      <c r="H12" s="1" t="str">
        <f>VLOOKUP(Summary_Laporan_Penjualan_20248[[#This Row],[ID_Pelanggan]], Data_Pelanggan[], 4, 0)</f>
        <v>Jakarta</v>
      </c>
      <c r="I12" s="1" t="str">
        <f>VLOOKUP(Summary_Laporan_Penjualan_20248[[#This Row],[ID_Produk]], Data_Produk[], 6, 0)</f>
        <v>Semarang</v>
      </c>
      <c r="J12" s="1">
        <f>VLOOKUP(Summary_Laporan_Penjualan_20248[[#This Row],[ID_Produk]], Data_Produk[], 7, 0)</f>
        <v>100000</v>
      </c>
      <c r="K12" s="1">
        <f>VLOOKUP(Summary_Laporan_Penjualan_20248[[#This Row],[ID_Produk]], Data_Produk[], 8, 0)</f>
        <v>169000</v>
      </c>
    </row>
    <row r="13" spans="1:11" x14ac:dyDescent="0.35">
      <c r="A13" s="1" t="s">
        <v>151</v>
      </c>
      <c r="B13" s="1" t="s">
        <v>109</v>
      </c>
      <c r="C13" s="1" t="s">
        <v>51</v>
      </c>
      <c r="D13" s="1" t="s">
        <v>124</v>
      </c>
      <c r="E13">
        <v>1</v>
      </c>
      <c r="F13" s="2">
        <v>45648</v>
      </c>
      <c r="G13" s="1" t="str">
        <f>VLOOKUP(Summary_Laporan_Penjualan_20248[[#This Row],[ID_Pelanggan]], Data_Pelanggan[], 2, 0)</f>
        <v>Toko Musik Digital</v>
      </c>
      <c r="H13" s="1" t="str">
        <f>VLOOKUP(Summary_Laporan_Penjualan_20248[[#This Row],[ID_Pelanggan]], Data_Pelanggan[], 4, 0)</f>
        <v>Denpasar</v>
      </c>
      <c r="I13" s="1" t="str">
        <f>VLOOKUP(Summary_Laporan_Penjualan_20248[[#This Row],[ID_Produk]], Data_Produk[], 6, 0)</f>
        <v>Semarang</v>
      </c>
      <c r="J13" s="1">
        <f>VLOOKUP(Summary_Laporan_Penjualan_20248[[#This Row],[ID_Produk]], Data_Produk[], 7, 0)</f>
        <v>2000000</v>
      </c>
      <c r="K13" s="1">
        <f>VLOOKUP(Summary_Laporan_Penjualan_20248[[#This Row],[ID_Produk]], Data_Produk[], 8, 0)</f>
        <v>3382000</v>
      </c>
    </row>
    <row r="14" spans="1:11" x14ac:dyDescent="0.35">
      <c r="A14" s="1" t="s">
        <v>129</v>
      </c>
      <c r="B14" s="1" t="s">
        <v>111</v>
      </c>
      <c r="C14" s="1" t="s">
        <v>87</v>
      </c>
      <c r="D14" s="1" t="s">
        <v>124</v>
      </c>
      <c r="E14">
        <v>7</v>
      </c>
      <c r="F14" s="2">
        <v>45521</v>
      </c>
      <c r="G14" s="1" t="str">
        <f>VLOOKUP(Summary_Laporan_Penjualan_20248[[#This Row],[ID_Pelanggan]], Data_Pelanggan[], 2, 0)</f>
        <v>PT Indo Digital</v>
      </c>
      <c r="H14" s="1" t="str">
        <f>VLOOKUP(Summary_Laporan_Penjualan_20248[[#This Row],[ID_Pelanggan]], Data_Pelanggan[], 4, 0)</f>
        <v>Tangerang</v>
      </c>
      <c r="I14" s="1" t="str">
        <f>VLOOKUP(Summary_Laporan_Penjualan_20248[[#This Row],[ID_Produk]], Data_Produk[], 6, 0)</f>
        <v>Depok</v>
      </c>
      <c r="J14" s="1">
        <f>VLOOKUP(Summary_Laporan_Penjualan_20248[[#This Row],[ID_Produk]], Data_Produk[], 7, 0)</f>
        <v>18000000</v>
      </c>
      <c r="K14" s="1">
        <f>VLOOKUP(Summary_Laporan_Penjualan_20248[[#This Row],[ID_Produk]], Data_Produk[], 8, 0)</f>
        <v>27603000</v>
      </c>
    </row>
    <row r="15" spans="1:11" x14ac:dyDescent="0.35">
      <c r="A15" s="1" t="s">
        <v>144</v>
      </c>
      <c r="B15" s="1" t="s">
        <v>111</v>
      </c>
      <c r="C15" s="1" t="s">
        <v>87</v>
      </c>
      <c r="D15" s="1" t="s">
        <v>121</v>
      </c>
      <c r="E15">
        <v>14</v>
      </c>
      <c r="F15" s="2">
        <v>45310</v>
      </c>
      <c r="G15" s="1" t="str">
        <f>VLOOKUP(Summary_Laporan_Penjualan_20248[[#This Row],[ID_Pelanggan]], Data_Pelanggan[], 2, 0)</f>
        <v>PT Indo Digital</v>
      </c>
      <c r="H15" s="1" t="str">
        <f>VLOOKUP(Summary_Laporan_Penjualan_20248[[#This Row],[ID_Pelanggan]], Data_Pelanggan[], 4, 0)</f>
        <v>Tangerang</v>
      </c>
      <c r="I15" s="1" t="str">
        <f>VLOOKUP(Summary_Laporan_Penjualan_20248[[#This Row],[ID_Produk]], Data_Produk[], 6, 0)</f>
        <v>Depok</v>
      </c>
      <c r="J15" s="1">
        <f>VLOOKUP(Summary_Laporan_Penjualan_20248[[#This Row],[ID_Produk]], Data_Produk[], 7, 0)</f>
        <v>18000000</v>
      </c>
      <c r="K15" s="1">
        <f>VLOOKUP(Summary_Laporan_Penjualan_20248[[#This Row],[ID_Produk]], Data_Produk[], 8, 0)</f>
        <v>27603000</v>
      </c>
    </row>
    <row r="16" spans="1:11" x14ac:dyDescent="0.35">
      <c r="A16" s="1" t="s">
        <v>169</v>
      </c>
      <c r="B16" s="1" t="s">
        <v>111</v>
      </c>
      <c r="C16" s="1" t="s">
        <v>87</v>
      </c>
      <c r="D16" s="1" t="s">
        <v>171</v>
      </c>
      <c r="E16">
        <v>1</v>
      </c>
      <c r="F16" s="2">
        <v>45598</v>
      </c>
      <c r="G16" s="1" t="str">
        <f>VLOOKUP(Summary_Laporan_Penjualan_20248[[#This Row],[ID_Pelanggan]], Data_Pelanggan[], 2, 0)</f>
        <v>PT Indo Digital</v>
      </c>
      <c r="H16" s="1" t="str">
        <f>VLOOKUP(Summary_Laporan_Penjualan_20248[[#This Row],[ID_Pelanggan]], Data_Pelanggan[], 4, 0)</f>
        <v>Tangerang</v>
      </c>
      <c r="I16" s="1" t="str">
        <f>VLOOKUP(Summary_Laporan_Penjualan_20248[[#This Row],[ID_Produk]], Data_Produk[], 6, 0)</f>
        <v>Depok</v>
      </c>
      <c r="J16" s="1">
        <f>VLOOKUP(Summary_Laporan_Penjualan_20248[[#This Row],[ID_Produk]], Data_Produk[], 7, 0)</f>
        <v>18000000</v>
      </c>
      <c r="K16" s="1">
        <f>VLOOKUP(Summary_Laporan_Penjualan_20248[[#This Row],[ID_Produk]], Data_Produk[], 8, 0)</f>
        <v>27603000</v>
      </c>
    </row>
    <row r="17" spans="1:11" x14ac:dyDescent="0.35">
      <c r="A17" s="1" t="s">
        <v>154</v>
      </c>
      <c r="B17" s="1" t="s">
        <v>113</v>
      </c>
      <c r="C17" s="1" t="s">
        <v>87</v>
      </c>
      <c r="D17" s="1" t="s">
        <v>157</v>
      </c>
      <c r="E17">
        <v>8</v>
      </c>
      <c r="F17" s="2">
        <v>45362</v>
      </c>
      <c r="G17" s="1" t="str">
        <f>VLOOKUP(Summary_Laporan_Penjualan_20248[[#This Row],[ID_Pelanggan]], Data_Pelanggan[], 2, 0)</f>
        <v>PT Indo Digital</v>
      </c>
      <c r="H17" s="1" t="str">
        <f>VLOOKUP(Summary_Laporan_Penjualan_20248[[#This Row],[ID_Pelanggan]], Data_Pelanggan[], 4, 0)</f>
        <v>Tangerang</v>
      </c>
      <c r="I17" s="1" t="str">
        <f>VLOOKUP(Summary_Laporan_Penjualan_20248[[#This Row],[ID_Produk]], Data_Produk[], 6, 0)</f>
        <v>Depok</v>
      </c>
      <c r="J17" s="1">
        <f>VLOOKUP(Summary_Laporan_Penjualan_20248[[#This Row],[ID_Produk]], Data_Produk[], 7, 0)</f>
        <v>4500000</v>
      </c>
      <c r="K17" s="1">
        <f>VLOOKUP(Summary_Laporan_Penjualan_20248[[#This Row],[ID_Produk]], Data_Produk[], 8, 0)</f>
        <v>5522000</v>
      </c>
    </row>
    <row r="18" spans="1:11" x14ac:dyDescent="0.35">
      <c r="A18" s="1" t="s">
        <v>114</v>
      </c>
      <c r="B18" s="1" t="s">
        <v>116</v>
      </c>
      <c r="C18" s="1" t="s">
        <v>35</v>
      </c>
      <c r="D18" s="1" t="s">
        <v>124</v>
      </c>
      <c r="E18">
        <v>14</v>
      </c>
      <c r="F18" s="2">
        <v>45442</v>
      </c>
      <c r="G18" s="1" t="str">
        <f>VLOOKUP(Summary_Laporan_Penjualan_20248[[#This Row],[ID_Pelanggan]], Data_Pelanggan[], 2, 0)</f>
        <v>PT Digital Nusantara</v>
      </c>
      <c r="H18" s="1" t="str">
        <f>VLOOKUP(Summary_Laporan_Penjualan_20248[[#This Row],[ID_Pelanggan]], Data_Pelanggan[], 4, 0)</f>
        <v>Jakarta</v>
      </c>
      <c r="I18" s="1" t="str">
        <f>VLOOKUP(Summary_Laporan_Penjualan_20248[[#This Row],[ID_Produk]], Data_Produk[], 6, 0)</f>
        <v>Depok</v>
      </c>
      <c r="J18" s="1">
        <f>VLOOKUP(Summary_Laporan_Penjualan_20248[[#This Row],[ID_Produk]], Data_Produk[], 7, 0)</f>
        <v>5000000</v>
      </c>
      <c r="K18" s="1">
        <f>VLOOKUP(Summary_Laporan_Penjualan_20248[[#This Row],[ID_Produk]], Data_Produk[], 8, 0)</f>
        <v>7546000</v>
      </c>
    </row>
    <row r="19" spans="1:11" x14ac:dyDescent="0.35">
      <c r="A19" s="1" t="s">
        <v>174</v>
      </c>
      <c r="B19" s="1" t="s">
        <v>176</v>
      </c>
      <c r="C19" s="1" t="s">
        <v>82</v>
      </c>
      <c r="D19" s="1" t="s">
        <v>121</v>
      </c>
      <c r="E19">
        <v>7</v>
      </c>
      <c r="F19" s="2">
        <v>45477</v>
      </c>
      <c r="G19" s="1" t="str">
        <f>VLOOKUP(Summary_Laporan_Penjualan_20248[[#This Row],[ID_Pelanggan]], Data_Pelanggan[], 2, 0)</f>
        <v>Toko Komputer Maju</v>
      </c>
      <c r="H19" s="1" t="str">
        <f>VLOOKUP(Summary_Laporan_Penjualan_20248[[#This Row],[ID_Pelanggan]], Data_Pelanggan[], 4, 0)</f>
        <v>Solo</v>
      </c>
      <c r="I19" s="1" t="str">
        <f>VLOOKUP(Summary_Laporan_Penjualan_20248[[#This Row],[ID_Produk]], Data_Produk[], 6, 0)</f>
        <v>Depok</v>
      </c>
      <c r="J19" s="1">
        <f>VLOOKUP(Summary_Laporan_Penjualan_20248[[#This Row],[ID_Produk]], Data_Produk[], 7, 0)</f>
        <v>1500000</v>
      </c>
      <c r="K19" s="1">
        <f>VLOOKUP(Summary_Laporan_Penjualan_20248[[#This Row],[ID_Produk]], Data_Produk[], 8, 0)</f>
        <v>1772000</v>
      </c>
    </row>
    <row r="20" spans="1:11" x14ac:dyDescent="0.35">
      <c r="A20" s="1" t="s">
        <v>162</v>
      </c>
      <c r="B20" s="1" t="s">
        <v>164</v>
      </c>
      <c r="C20" s="1" t="s">
        <v>39</v>
      </c>
      <c r="D20" s="1" t="s">
        <v>128</v>
      </c>
      <c r="E20">
        <v>15</v>
      </c>
      <c r="F20" s="2">
        <v>45477</v>
      </c>
      <c r="G20" s="1" t="str">
        <f>VLOOKUP(Summary_Laporan_Penjualan_20248[[#This Row],[ID_Pelanggan]], Data_Pelanggan[], 2, 0)</f>
        <v>Toko Elektronik Jaya</v>
      </c>
      <c r="H20" s="1" t="str">
        <f>VLOOKUP(Summary_Laporan_Penjualan_20248[[#This Row],[ID_Pelanggan]], Data_Pelanggan[], 4, 0)</f>
        <v>Semarang</v>
      </c>
      <c r="I20" s="1" t="str">
        <f>VLOOKUP(Summary_Laporan_Penjualan_20248[[#This Row],[ID_Produk]], Data_Produk[], 6, 0)</f>
        <v>Jakarta</v>
      </c>
      <c r="J20" s="1">
        <f>VLOOKUP(Summary_Laporan_Penjualan_20248[[#This Row],[ID_Produk]], Data_Produk[], 7, 0)</f>
        <v>750000</v>
      </c>
      <c r="K20" s="1">
        <f>VLOOKUP(Summary_Laporan_Penjualan_20248[[#This Row],[ID_Produk]], Data_Produk[], 8, 0)</f>
        <v>971000</v>
      </c>
    </row>
    <row r="21" spans="1:11" x14ac:dyDescent="0.35">
      <c r="A21" s="1" t="s">
        <v>131</v>
      </c>
      <c r="B21" s="1" t="s">
        <v>133</v>
      </c>
      <c r="C21" s="1" t="s">
        <v>39</v>
      </c>
      <c r="D21" s="1" t="s">
        <v>128</v>
      </c>
      <c r="E21">
        <v>3</v>
      </c>
      <c r="F21" s="2">
        <v>45372</v>
      </c>
      <c r="G21" s="1" t="str">
        <f>VLOOKUP(Summary_Laporan_Penjualan_20248[[#This Row],[ID_Pelanggan]], Data_Pelanggan[], 2, 0)</f>
        <v>Toko Elektronik Jaya</v>
      </c>
      <c r="H21" s="1" t="str">
        <f>VLOOKUP(Summary_Laporan_Penjualan_20248[[#This Row],[ID_Pelanggan]], Data_Pelanggan[], 4, 0)</f>
        <v>Semarang</v>
      </c>
      <c r="I21" s="1" t="str">
        <f>VLOOKUP(Summary_Laporan_Penjualan_20248[[#This Row],[ID_Produk]], Data_Produk[], 6, 0)</f>
        <v>Jakarta</v>
      </c>
      <c r="J21" s="1">
        <f>VLOOKUP(Summary_Laporan_Penjualan_20248[[#This Row],[ID_Produk]], Data_Produk[], 7, 0)</f>
        <v>2500000</v>
      </c>
      <c r="K21" s="1">
        <f>VLOOKUP(Summary_Laporan_Penjualan_20248[[#This Row],[ID_Produk]], Data_Produk[], 8, 0)</f>
        <v>3080000</v>
      </c>
    </row>
    <row r="22" spans="1:11" x14ac:dyDescent="0.35">
      <c r="A22" s="1" t="s">
        <v>166</v>
      </c>
      <c r="B22" s="1" t="s">
        <v>168</v>
      </c>
      <c r="C22" s="1" t="s">
        <v>39</v>
      </c>
      <c r="D22" s="1" t="s">
        <v>124</v>
      </c>
      <c r="E22">
        <v>1</v>
      </c>
      <c r="F22" s="2">
        <v>45477</v>
      </c>
      <c r="G22" s="1" t="str">
        <f>VLOOKUP(Summary_Laporan_Penjualan_20248[[#This Row],[ID_Pelanggan]], Data_Pelanggan[], 2, 0)</f>
        <v>Toko Elektronik Jaya</v>
      </c>
      <c r="H22" s="1" t="str">
        <f>VLOOKUP(Summary_Laporan_Penjualan_20248[[#This Row],[ID_Pelanggan]], Data_Pelanggan[], 4, 0)</f>
        <v>Semarang</v>
      </c>
      <c r="I22" s="1" t="str">
        <f>VLOOKUP(Summary_Laporan_Penjualan_20248[[#This Row],[ID_Produk]], Data_Produk[], 6, 0)</f>
        <v>Semarang</v>
      </c>
      <c r="J22" s="1">
        <f>VLOOKUP(Summary_Laporan_Penjualan_20248[[#This Row],[ID_Produk]], Data_Produk[], 7, 0)</f>
        <v>500000</v>
      </c>
      <c r="K22" s="1">
        <f>VLOOKUP(Summary_Laporan_Penjualan_20248[[#This Row],[ID_Produk]], Data_Produk[], 8, 0)</f>
        <v>844000</v>
      </c>
    </row>
    <row r="23" spans="1:11" x14ac:dyDescent="0.35">
      <c r="A23" s="1" t="s">
        <v>169</v>
      </c>
      <c r="B23" s="1" t="s">
        <v>168</v>
      </c>
      <c r="C23" s="1" t="s">
        <v>87</v>
      </c>
      <c r="D23" s="1" t="s">
        <v>171</v>
      </c>
      <c r="E23">
        <v>1</v>
      </c>
      <c r="F23" s="2">
        <v>45598</v>
      </c>
      <c r="G23" s="1" t="str">
        <f>VLOOKUP(Summary_Laporan_Penjualan_20248[[#This Row],[ID_Pelanggan]], Data_Pelanggan[], 2, 0)</f>
        <v>PT Indo Digital</v>
      </c>
      <c r="H23" s="1" t="str">
        <f>VLOOKUP(Summary_Laporan_Penjualan_20248[[#This Row],[ID_Pelanggan]], Data_Pelanggan[], 4, 0)</f>
        <v>Tangerang</v>
      </c>
      <c r="I23" s="1" t="str">
        <f>VLOOKUP(Summary_Laporan_Penjualan_20248[[#This Row],[ID_Produk]], Data_Produk[], 6, 0)</f>
        <v>Semarang</v>
      </c>
      <c r="J23" s="1">
        <f>VLOOKUP(Summary_Laporan_Penjualan_20248[[#This Row],[ID_Produk]], Data_Produk[], 7, 0)</f>
        <v>500000</v>
      </c>
      <c r="K23" s="1">
        <f>VLOOKUP(Summary_Laporan_Penjualan_20248[[#This Row],[ID_Produk]], Data_Produk[], 8, 0)</f>
        <v>844000</v>
      </c>
    </row>
    <row r="24" spans="1:11" x14ac:dyDescent="0.35">
      <c r="A24" s="1" t="s">
        <v>169</v>
      </c>
      <c r="B24" s="1" t="s">
        <v>172</v>
      </c>
      <c r="C24" s="1" t="s">
        <v>87</v>
      </c>
      <c r="D24" s="1" t="s">
        <v>171</v>
      </c>
      <c r="E24">
        <v>1</v>
      </c>
      <c r="F24" s="2">
        <v>45598</v>
      </c>
      <c r="G24" s="1" t="str">
        <f>VLOOKUP(Summary_Laporan_Penjualan_20248[[#This Row],[ID_Pelanggan]], Data_Pelanggan[], 2, 0)</f>
        <v>PT Indo Digital</v>
      </c>
      <c r="H24" s="1" t="str">
        <f>VLOOKUP(Summary_Laporan_Penjualan_20248[[#This Row],[ID_Pelanggan]], Data_Pelanggan[], 4, 0)</f>
        <v>Tangerang</v>
      </c>
      <c r="I24" s="1" t="str">
        <f>VLOOKUP(Summary_Laporan_Penjualan_20248[[#This Row],[ID_Produk]], Data_Produk[], 6, 0)</f>
        <v>Semarang</v>
      </c>
      <c r="J24" s="1">
        <f>VLOOKUP(Summary_Laporan_Penjualan_20248[[#This Row],[ID_Produk]], Data_Produk[], 7, 0)</f>
        <v>950000</v>
      </c>
      <c r="K24" s="1">
        <f>VLOOKUP(Summary_Laporan_Penjualan_20248[[#This Row],[ID_Produk]], Data_Produk[], 8, 0)</f>
        <v>1649000</v>
      </c>
    </row>
    <row r="25" spans="1:11" x14ac:dyDescent="0.35">
      <c r="A25" s="1" t="s">
        <v>139</v>
      </c>
      <c r="B25" s="1" t="s">
        <v>141</v>
      </c>
      <c r="C25" s="1" t="s">
        <v>73</v>
      </c>
      <c r="D25" s="1" t="s">
        <v>143</v>
      </c>
      <c r="E25">
        <v>6</v>
      </c>
      <c r="F25" s="2">
        <v>45502</v>
      </c>
      <c r="G25" s="1" t="str">
        <f>VLOOKUP(Summary_Laporan_Penjualan_20248[[#This Row],[ID_Pelanggan]], Data_Pelanggan[], 2, 0)</f>
        <v>Toko Gadget Center</v>
      </c>
      <c r="H25" s="1" t="str">
        <f>VLOOKUP(Summary_Laporan_Penjualan_20248[[#This Row],[ID_Pelanggan]], Data_Pelanggan[], 4, 0)</f>
        <v>Malang</v>
      </c>
      <c r="I25" s="1" t="str">
        <f>VLOOKUP(Summary_Laporan_Penjualan_20248[[#This Row],[ID_Produk]], Data_Produk[], 6, 0)</f>
        <v>Semarang</v>
      </c>
      <c r="J25" s="1">
        <f>VLOOKUP(Summary_Laporan_Penjualan_20248[[#This Row],[ID_Produk]], Data_Produk[], 7, 0)</f>
        <v>400000</v>
      </c>
      <c r="K25" s="1">
        <f>VLOOKUP(Summary_Laporan_Penjualan_20248[[#This Row],[ID_Produk]], Data_Produk[], 8, 0)</f>
        <v>623000</v>
      </c>
    </row>
    <row r="26" spans="1:11" x14ac:dyDescent="0.35">
      <c r="A26" s="1" t="s">
        <v>169</v>
      </c>
      <c r="B26" s="1" t="s">
        <v>173</v>
      </c>
      <c r="C26" s="1" t="s">
        <v>87</v>
      </c>
      <c r="D26" s="1" t="s">
        <v>171</v>
      </c>
      <c r="E26">
        <v>1</v>
      </c>
      <c r="F26" s="2">
        <v>45598</v>
      </c>
      <c r="G26" s="1" t="str">
        <f>VLOOKUP(Summary_Laporan_Penjualan_20248[[#This Row],[ID_Pelanggan]], Data_Pelanggan[], 2, 0)</f>
        <v>PT Indo Digital</v>
      </c>
      <c r="H26" s="1" t="str">
        <f>VLOOKUP(Summary_Laporan_Penjualan_20248[[#This Row],[ID_Pelanggan]], Data_Pelanggan[], 4, 0)</f>
        <v>Tangerang</v>
      </c>
      <c r="I26" s="1" t="str">
        <f>VLOOKUP(Summary_Laporan_Penjualan_20248[[#This Row],[ID_Produk]], Data_Produk[], 6, 0)</f>
        <v>Depok</v>
      </c>
      <c r="J26" s="1">
        <f>VLOOKUP(Summary_Laporan_Penjualan_20248[[#This Row],[ID_Produk]], Data_Produk[], 7, 0)</f>
        <v>80000</v>
      </c>
      <c r="K26" s="1">
        <f>VLOOKUP(Summary_Laporan_Penjualan_20248[[#This Row],[ID_Produk]], Data_Produk[], 8, 0)</f>
        <v>92000</v>
      </c>
    </row>
    <row r="27" spans="1:11" x14ac:dyDescent="0.35">
      <c r="A27" s="1" t="s">
        <v>177</v>
      </c>
      <c r="B27" s="1" t="s">
        <v>141</v>
      </c>
      <c r="C27" s="1" t="s">
        <v>29</v>
      </c>
      <c r="D27" s="1" t="s">
        <v>124</v>
      </c>
      <c r="E27">
        <v>14</v>
      </c>
      <c r="F27" s="2">
        <v>45608</v>
      </c>
      <c r="G27" s="1" t="str">
        <f>VLOOKUP(Summary_Laporan_Penjualan_20248[[#This Row],[ID_Pelanggan]], Data_Pelanggan[], 2, 0)</f>
        <v>UD Sentosa</v>
      </c>
      <c r="H27" s="1" t="str">
        <f>VLOOKUP(Summary_Laporan_Penjualan_20248[[#This Row],[ID_Pelanggan]], Data_Pelanggan[], 4, 0)</f>
        <v>Medan</v>
      </c>
      <c r="I27" s="1" t="str">
        <f>VLOOKUP(Summary_Laporan_Penjualan_20248[[#This Row],[ID_Produk]], Data_Produk[], 6, 0)</f>
        <v>Semarang</v>
      </c>
      <c r="J27" s="1">
        <f>VLOOKUP(Summary_Laporan_Penjualan_20248[[#This Row],[ID_Produk]], Data_Produk[], 7, 0)</f>
        <v>400000</v>
      </c>
      <c r="K27" s="1">
        <f>VLOOKUP(Summary_Laporan_Penjualan_20248[[#This Row],[ID_Produk]], Data_Produk[], 8, 0)</f>
        <v>623000</v>
      </c>
    </row>
    <row r="28" spans="1:11" x14ac:dyDescent="0.35">
      <c r="A28" s="1" t="s">
        <v>179</v>
      </c>
      <c r="B28" s="1" t="s">
        <v>116</v>
      </c>
      <c r="C28" s="1" t="s">
        <v>63</v>
      </c>
      <c r="D28" s="1" t="s">
        <v>124</v>
      </c>
      <c r="E28">
        <v>6</v>
      </c>
      <c r="F28" s="2">
        <v>45609</v>
      </c>
      <c r="G28" s="1" t="str">
        <f>VLOOKUP(Summary_Laporan_Penjualan_20248[[#This Row],[ID_Pelanggan]], Data_Pelanggan[], 2, 0)</f>
        <v>UD Makmur</v>
      </c>
      <c r="H28" s="1" t="str">
        <f>VLOOKUP(Summary_Laporan_Penjualan_20248[[#This Row],[ID_Pelanggan]], Data_Pelanggan[], 4, 0)</f>
        <v>Palembang</v>
      </c>
      <c r="I28" s="1" t="str">
        <f>VLOOKUP(Summary_Laporan_Penjualan_20248[[#This Row],[ID_Produk]], Data_Produk[], 6, 0)</f>
        <v>Depok</v>
      </c>
      <c r="J28" s="1">
        <f>VLOOKUP(Summary_Laporan_Penjualan_20248[[#This Row],[ID_Produk]], Data_Produk[], 7, 0)</f>
        <v>5000000</v>
      </c>
      <c r="K28" s="1">
        <f>VLOOKUP(Summary_Laporan_Penjualan_20248[[#This Row],[ID_Produk]], Data_Produk[], 8, 0)</f>
        <v>7546000</v>
      </c>
    </row>
    <row r="29" spans="1:11" x14ac:dyDescent="0.35">
      <c r="A29" s="1" t="s">
        <v>181</v>
      </c>
      <c r="B29" s="1" t="s">
        <v>133</v>
      </c>
      <c r="C29" s="1" t="s">
        <v>21</v>
      </c>
      <c r="D29" s="1" t="s">
        <v>121</v>
      </c>
      <c r="E29">
        <v>5</v>
      </c>
      <c r="F29" s="2">
        <v>45545</v>
      </c>
      <c r="G29" s="1" t="str">
        <f>VLOOKUP(Summary_Laporan_Penjualan_20248[[#This Row],[ID_Pelanggan]], Data_Pelanggan[], 2, 0)</f>
        <v>Toko Komputer Sejahtera</v>
      </c>
      <c r="H29" s="1" t="str">
        <f>VLOOKUP(Summary_Laporan_Penjualan_20248[[#This Row],[ID_Pelanggan]], Data_Pelanggan[], 4, 0)</f>
        <v>Surabaya</v>
      </c>
      <c r="I29" s="1" t="str">
        <f>VLOOKUP(Summary_Laporan_Penjualan_20248[[#This Row],[ID_Produk]], Data_Produk[], 6, 0)</f>
        <v>Jakarta</v>
      </c>
      <c r="J29" s="1">
        <f>VLOOKUP(Summary_Laporan_Penjualan_20248[[#This Row],[ID_Produk]], Data_Produk[], 7, 0)</f>
        <v>2500000</v>
      </c>
      <c r="K29" s="1">
        <f>VLOOKUP(Summary_Laporan_Penjualan_20248[[#This Row],[ID_Produk]], Data_Produk[], 8, 0)</f>
        <v>3080000</v>
      </c>
    </row>
    <row r="30" spans="1:11" x14ac:dyDescent="0.35">
      <c r="A30" s="1" t="s">
        <v>184</v>
      </c>
      <c r="B30" s="1" t="s">
        <v>137</v>
      </c>
      <c r="C30" s="1" t="s">
        <v>82</v>
      </c>
      <c r="D30" s="1" t="s">
        <v>157</v>
      </c>
      <c r="E30">
        <v>3</v>
      </c>
      <c r="F30" s="2">
        <v>45645</v>
      </c>
      <c r="G30" s="1" t="str">
        <f>VLOOKUP(Summary_Laporan_Penjualan_20248[[#This Row],[ID_Pelanggan]], Data_Pelanggan[], 2, 0)</f>
        <v>Toko Komputer Maju</v>
      </c>
      <c r="H30" s="1" t="str">
        <f>VLOOKUP(Summary_Laporan_Penjualan_20248[[#This Row],[ID_Pelanggan]], Data_Pelanggan[], 4, 0)</f>
        <v>Solo</v>
      </c>
      <c r="I30" s="1" t="str">
        <f>VLOOKUP(Summary_Laporan_Penjualan_20248[[#This Row],[ID_Produk]], Data_Produk[], 6, 0)</f>
        <v>Jakarta</v>
      </c>
      <c r="J30" s="1">
        <f>VLOOKUP(Summary_Laporan_Penjualan_20248[[#This Row],[ID_Produk]], Data_Produk[], 7, 0)</f>
        <v>2000000</v>
      </c>
      <c r="K30" s="1">
        <f>VLOOKUP(Summary_Laporan_Penjualan_20248[[#This Row],[ID_Produk]], Data_Produk[], 8, 0)</f>
        <v>2533000</v>
      </c>
    </row>
    <row r="31" spans="1:11" x14ac:dyDescent="0.35">
      <c r="A31" s="1" t="s">
        <v>186</v>
      </c>
      <c r="B31" s="1" t="s">
        <v>188</v>
      </c>
      <c r="C31" s="1" t="s">
        <v>8</v>
      </c>
      <c r="D31" s="1" t="s">
        <v>128</v>
      </c>
      <c r="E31">
        <v>15</v>
      </c>
      <c r="F31" s="2">
        <v>45416</v>
      </c>
      <c r="G31" s="1" t="str">
        <f>VLOOKUP(Summary_Laporan_Penjualan_20248[[#This Row],[ID_Pelanggan]], Data_Pelanggan[], 2, 0)</f>
        <v>PT Maju Jaya</v>
      </c>
      <c r="H31" s="1" t="str">
        <f>VLOOKUP(Summary_Laporan_Penjualan_20248[[#This Row],[ID_Pelanggan]], Data_Pelanggan[], 4, 0)</f>
        <v>Jakarta</v>
      </c>
      <c r="I31" s="1" t="str">
        <f>VLOOKUP(Summary_Laporan_Penjualan_20248[[#This Row],[ID_Produk]], Data_Produk[], 6, 0)</f>
        <v>Semarang</v>
      </c>
      <c r="J31" s="1">
        <f>VLOOKUP(Summary_Laporan_Penjualan_20248[[#This Row],[ID_Produk]], Data_Produk[], 7, 0)</f>
        <v>2800000</v>
      </c>
      <c r="K31" s="1">
        <f>VLOOKUP(Summary_Laporan_Penjualan_20248[[#This Row],[ID_Produk]], Data_Produk[], 8, 0)</f>
        <v>4747000</v>
      </c>
    </row>
    <row r="32" spans="1:11" x14ac:dyDescent="0.35">
      <c r="A32" s="1" t="s">
        <v>189</v>
      </c>
      <c r="B32" s="1" t="s">
        <v>191</v>
      </c>
      <c r="C32" s="1" t="s">
        <v>63</v>
      </c>
      <c r="D32" s="1" t="s">
        <v>171</v>
      </c>
      <c r="E32">
        <v>10</v>
      </c>
      <c r="F32" s="2">
        <v>45306</v>
      </c>
      <c r="G32" s="1" t="str">
        <f>VLOOKUP(Summary_Laporan_Penjualan_20248[[#This Row],[ID_Pelanggan]], Data_Pelanggan[], 2, 0)</f>
        <v>UD Makmur</v>
      </c>
      <c r="H32" s="1" t="str">
        <f>VLOOKUP(Summary_Laporan_Penjualan_20248[[#This Row],[ID_Pelanggan]], Data_Pelanggan[], 4, 0)</f>
        <v>Palembang</v>
      </c>
      <c r="I32" s="1" t="str">
        <f>VLOOKUP(Summary_Laporan_Penjualan_20248[[#This Row],[ID_Produk]], Data_Produk[], 6, 0)</f>
        <v>Jakarta</v>
      </c>
      <c r="J32" s="1">
        <f>VLOOKUP(Summary_Laporan_Penjualan_20248[[#This Row],[ID_Produk]], Data_Produk[], 7, 0)</f>
        <v>12000000</v>
      </c>
      <c r="K32" s="1">
        <f>VLOOKUP(Summary_Laporan_Penjualan_20248[[#This Row],[ID_Produk]], Data_Produk[], 8, 0)</f>
        <v>13963000</v>
      </c>
    </row>
    <row r="33" spans="1:11" x14ac:dyDescent="0.35">
      <c r="A33" s="1" t="s">
        <v>193</v>
      </c>
      <c r="B33" s="1" t="s">
        <v>172</v>
      </c>
      <c r="C33" s="1" t="s">
        <v>82</v>
      </c>
      <c r="D33" s="1" t="s">
        <v>171</v>
      </c>
      <c r="E33">
        <v>4</v>
      </c>
      <c r="F33" s="2">
        <v>45348</v>
      </c>
      <c r="G33" s="1" t="str">
        <f>VLOOKUP(Summary_Laporan_Penjualan_20248[[#This Row],[ID_Pelanggan]], Data_Pelanggan[], 2, 0)</f>
        <v>Toko Komputer Maju</v>
      </c>
      <c r="H33" s="1" t="str">
        <f>VLOOKUP(Summary_Laporan_Penjualan_20248[[#This Row],[ID_Pelanggan]], Data_Pelanggan[], 4, 0)</f>
        <v>Solo</v>
      </c>
      <c r="I33" s="1" t="str">
        <f>VLOOKUP(Summary_Laporan_Penjualan_20248[[#This Row],[ID_Produk]], Data_Produk[], 6, 0)</f>
        <v>Semarang</v>
      </c>
      <c r="J33" s="1">
        <f>VLOOKUP(Summary_Laporan_Penjualan_20248[[#This Row],[ID_Produk]], Data_Produk[], 7, 0)</f>
        <v>950000</v>
      </c>
      <c r="K33" s="1">
        <f>VLOOKUP(Summary_Laporan_Penjualan_20248[[#This Row],[ID_Produk]], Data_Produk[], 8, 0)</f>
        <v>1649000</v>
      </c>
    </row>
    <row r="34" spans="1:11" x14ac:dyDescent="0.35">
      <c r="A34" s="1" t="s">
        <v>195</v>
      </c>
      <c r="B34" s="1" t="s">
        <v>197</v>
      </c>
      <c r="C34" s="1" t="s">
        <v>73</v>
      </c>
      <c r="D34" s="1" t="s">
        <v>171</v>
      </c>
      <c r="E34">
        <v>14</v>
      </c>
      <c r="F34" s="2">
        <v>45614</v>
      </c>
      <c r="G34" s="1" t="str">
        <f>VLOOKUP(Summary_Laporan_Penjualan_20248[[#This Row],[ID_Pelanggan]], Data_Pelanggan[], 2, 0)</f>
        <v>Toko Gadget Center</v>
      </c>
      <c r="H34" s="1" t="str">
        <f>VLOOKUP(Summary_Laporan_Penjualan_20248[[#This Row],[ID_Pelanggan]], Data_Pelanggan[], 4, 0)</f>
        <v>Malang</v>
      </c>
      <c r="I34" s="1" t="str">
        <f>VLOOKUP(Summary_Laporan_Penjualan_20248[[#This Row],[ID_Produk]], Data_Produk[], 6, 0)</f>
        <v>Jakarta</v>
      </c>
      <c r="J34" s="1">
        <f>VLOOKUP(Summary_Laporan_Penjualan_20248[[#This Row],[ID_Produk]], Data_Produk[], 7, 0)</f>
        <v>1200000</v>
      </c>
      <c r="K34" s="1">
        <f>VLOOKUP(Summary_Laporan_Penjualan_20248[[#This Row],[ID_Produk]], Data_Produk[], 8, 0)</f>
        <v>1375000</v>
      </c>
    </row>
    <row r="35" spans="1:11" x14ac:dyDescent="0.35">
      <c r="A35" s="1" t="s">
        <v>198</v>
      </c>
      <c r="B35" s="1" t="s">
        <v>106</v>
      </c>
      <c r="C35" s="1" t="s">
        <v>63</v>
      </c>
      <c r="D35" s="1" t="s">
        <v>157</v>
      </c>
      <c r="E35">
        <v>8</v>
      </c>
      <c r="F35" s="2">
        <v>45596</v>
      </c>
      <c r="G35" s="1" t="str">
        <f>VLOOKUP(Summary_Laporan_Penjualan_20248[[#This Row],[ID_Pelanggan]], Data_Pelanggan[], 2, 0)</f>
        <v>UD Makmur</v>
      </c>
      <c r="H35" s="1" t="str">
        <f>VLOOKUP(Summary_Laporan_Penjualan_20248[[#This Row],[ID_Pelanggan]], Data_Pelanggan[], 4, 0)</f>
        <v>Palembang</v>
      </c>
      <c r="I35" s="1" t="str">
        <f>VLOOKUP(Summary_Laporan_Penjualan_20248[[#This Row],[ID_Produk]], Data_Produk[], 6, 0)</f>
        <v>Depok</v>
      </c>
      <c r="J35" s="1">
        <f>VLOOKUP(Summary_Laporan_Penjualan_20248[[#This Row],[ID_Produk]], Data_Produk[], 7, 0)</f>
        <v>300000</v>
      </c>
      <c r="K35" s="1">
        <f>VLOOKUP(Summary_Laporan_Penjualan_20248[[#This Row],[ID_Produk]], Data_Produk[], 8, 0)</f>
        <v>355000</v>
      </c>
    </row>
    <row r="36" spans="1:11" x14ac:dyDescent="0.35">
      <c r="A36" s="1" t="s">
        <v>200</v>
      </c>
      <c r="B36" s="1" t="s">
        <v>191</v>
      </c>
      <c r="C36" s="1" t="s">
        <v>73</v>
      </c>
      <c r="D36" s="1" t="s">
        <v>157</v>
      </c>
      <c r="E36">
        <v>6</v>
      </c>
      <c r="F36" s="2">
        <v>45556</v>
      </c>
      <c r="G36" s="1" t="str">
        <f>VLOOKUP(Summary_Laporan_Penjualan_20248[[#This Row],[ID_Pelanggan]], Data_Pelanggan[], 2, 0)</f>
        <v>Toko Gadget Center</v>
      </c>
      <c r="H36" s="1" t="str">
        <f>VLOOKUP(Summary_Laporan_Penjualan_20248[[#This Row],[ID_Pelanggan]], Data_Pelanggan[], 4, 0)</f>
        <v>Malang</v>
      </c>
      <c r="I36" s="1" t="str">
        <f>VLOOKUP(Summary_Laporan_Penjualan_20248[[#This Row],[ID_Produk]], Data_Produk[], 6, 0)</f>
        <v>Jakarta</v>
      </c>
      <c r="J36" s="1">
        <f>VLOOKUP(Summary_Laporan_Penjualan_20248[[#This Row],[ID_Produk]], Data_Produk[], 7, 0)</f>
        <v>12000000</v>
      </c>
      <c r="K36" s="1">
        <f>VLOOKUP(Summary_Laporan_Penjualan_20248[[#This Row],[ID_Produk]], Data_Produk[], 8, 0)</f>
        <v>13963000</v>
      </c>
    </row>
    <row r="37" spans="1:11" x14ac:dyDescent="0.35">
      <c r="A37" s="1" t="s">
        <v>202</v>
      </c>
      <c r="B37" s="1" t="s">
        <v>113</v>
      </c>
      <c r="C37" s="1" t="s">
        <v>29</v>
      </c>
      <c r="D37" s="1" t="s">
        <v>124</v>
      </c>
      <c r="E37">
        <v>13</v>
      </c>
      <c r="F37" s="2">
        <v>45505</v>
      </c>
      <c r="G37" s="1" t="str">
        <f>VLOOKUP(Summary_Laporan_Penjualan_20248[[#This Row],[ID_Pelanggan]], Data_Pelanggan[], 2, 0)</f>
        <v>UD Sentosa</v>
      </c>
      <c r="H37" s="1" t="str">
        <f>VLOOKUP(Summary_Laporan_Penjualan_20248[[#This Row],[ID_Pelanggan]], Data_Pelanggan[], 4, 0)</f>
        <v>Medan</v>
      </c>
      <c r="I37" s="1" t="str">
        <f>VLOOKUP(Summary_Laporan_Penjualan_20248[[#This Row],[ID_Produk]], Data_Produk[], 6, 0)</f>
        <v>Depok</v>
      </c>
      <c r="J37" s="1">
        <f>VLOOKUP(Summary_Laporan_Penjualan_20248[[#This Row],[ID_Produk]], Data_Produk[], 7, 0)</f>
        <v>4500000</v>
      </c>
      <c r="K37" s="1">
        <f>VLOOKUP(Summary_Laporan_Penjualan_20248[[#This Row],[ID_Produk]], Data_Produk[], 8, 0)</f>
        <v>5522000</v>
      </c>
    </row>
    <row r="38" spans="1:11" x14ac:dyDescent="0.35">
      <c r="A38" s="1" t="s">
        <v>205</v>
      </c>
      <c r="B38" s="1" t="s">
        <v>137</v>
      </c>
      <c r="C38" s="1" t="s">
        <v>73</v>
      </c>
      <c r="D38" s="1" t="s">
        <v>124</v>
      </c>
      <c r="E38">
        <v>6</v>
      </c>
      <c r="F38" s="2">
        <v>45564</v>
      </c>
      <c r="G38" s="1" t="str">
        <f>VLOOKUP(Summary_Laporan_Penjualan_20248[[#This Row],[ID_Pelanggan]], Data_Pelanggan[], 2, 0)</f>
        <v>Toko Gadget Center</v>
      </c>
      <c r="H38" s="1" t="str">
        <f>VLOOKUP(Summary_Laporan_Penjualan_20248[[#This Row],[ID_Pelanggan]], Data_Pelanggan[], 4, 0)</f>
        <v>Malang</v>
      </c>
      <c r="I38" s="1" t="str">
        <f>VLOOKUP(Summary_Laporan_Penjualan_20248[[#This Row],[ID_Produk]], Data_Produk[], 6, 0)</f>
        <v>Jakarta</v>
      </c>
      <c r="J38" s="1">
        <f>VLOOKUP(Summary_Laporan_Penjualan_20248[[#This Row],[ID_Produk]], Data_Produk[], 7, 0)</f>
        <v>2000000</v>
      </c>
      <c r="K38" s="1">
        <f>VLOOKUP(Summary_Laporan_Penjualan_20248[[#This Row],[ID_Produk]], Data_Produk[], 8, 0)</f>
        <v>2533000</v>
      </c>
    </row>
    <row r="39" spans="1:11" x14ac:dyDescent="0.35">
      <c r="A39" s="1" t="s">
        <v>207</v>
      </c>
      <c r="B39" s="1" t="s">
        <v>176</v>
      </c>
      <c r="C39" s="1" t="s">
        <v>78</v>
      </c>
      <c r="D39" s="1" t="s">
        <v>157</v>
      </c>
      <c r="E39">
        <v>8</v>
      </c>
      <c r="F39" s="2">
        <v>45320</v>
      </c>
      <c r="G39" s="1" t="str">
        <f>VLOOKUP(Summary_Laporan_Penjualan_20248[[#This Row],[ID_Pelanggan]], Data_Pelanggan[], 2, 0)</f>
        <v>CV Sinar Terang</v>
      </c>
      <c r="H39" s="1" t="str">
        <f>VLOOKUP(Summary_Laporan_Penjualan_20248[[#This Row],[ID_Pelanggan]], Data_Pelanggan[], 4, 0)</f>
        <v>Bandung</v>
      </c>
      <c r="I39" s="1" t="str">
        <f>VLOOKUP(Summary_Laporan_Penjualan_20248[[#This Row],[ID_Produk]], Data_Produk[], 6, 0)</f>
        <v>Depok</v>
      </c>
      <c r="J39" s="1">
        <f>VLOOKUP(Summary_Laporan_Penjualan_20248[[#This Row],[ID_Produk]], Data_Produk[], 7, 0)</f>
        <v>1500000</v>
      </c>
      <c r="K39" s="1">
        <f>VLOOKUP(Summary_Laporan_Penjualan_20248[[#This Row],[ID_Produk]], Data_Produk[], 8, 0)</f>
        <v>1772000</v>
      </c>
    </row>
    <row r="40" spans="1:11" x14ac:dyDescent="0.35">
      <c r="A40" s="1" t="s">
        <v>209</v>
      </c>
      <c r="B40" s="1" t="s">
        <v>111</v>
      </c>
      <c r="C40" s="1" t="s">
        <v>57</v>
      </c>
      <c r="D40" s="1" t="s">
        <v>121</v>
      </c>
      <c r="E40">
        <v>9</v>
      </c>
      <c r="F40" s="2">
        <v>45651</v>
      </c>
      <c r="G40" s="1" t="str">
        <f>VLOOKUP(Summary_Laporan_Penjualan_20248[[#This Row],[ID_Pelanggan]], Data_Pelanggan[], 2, 0)</f>
        <v>PT Karya Mandiri</v>
      </c>
      <c r="H40" s="1" t="str">
        <f>VLOOKUP(Summary_Laporan_Penjualan_20248[[#This Row],[ID_Pelanggan]], Data_Pelanggan[], 4, 0)</f>
        <v>Makassar</v>
      </c>
      <c r="I40" s="1" t="str">
        <f>VLOOKUP(Summary_Laporan_Penjualan_20248[[#This Row],[ID_Produk]], Data_Produk[], 6, 0)</f>
        <v>Depok</v>
      </c>
      <c r="J40" s="1">
        <f>VLOOKUP(Summary_Laporan_Penjualan_20248[[#This Row],[ID_Produk]], Data_Produk[], 7, 0)</f>
        <v>18000000</v>
      </c>
      <c r="K40" s="1">
        <f>VLOOKUP(Summary_Laporan_Penjualan_20248[[#This Row],[ID_Produk]], Data_Produk[], 8, 0)</f>
        <v>27603000</v>
      </c>
    </row>
    <row r="41" spans="1:11" x14ac:dyDescent="0.35">
      <c r="A41" s="1" t="s">
        <v>212</v>
      </c>
      <c r="B41" s="1" t="s">
        <v>133</v>
      </c>
      <c r="C41" s="1" t="s">
        <v>15</v>
      </c>
      <c r="D41" s="1" t="s">
        <v>157</v>
      </c>
      <c r="E41">
        <v>11</v>
      </c>
      <c r="F41" s="2">
        <v>45440</v>
      </c>
      <c r="G41" s="1" t="str">
        <f>VLOOKUP(Summary_Laporan_Penjualan_20248[[#This Row],[ID_Pelanggan]], Data_Pelanggan[], 2, 0)</f>
        <v>CV Berkah</v>
      </c>
      <c r="H41" s="1" t="str">
        <f>VLOOKUP(Summary_Laporan_Penjualan_20248[[#This Row],[ID_Pelanggan]], Data_Pelanggan[], 4, 0)</f>
        <v>Bandung</v>
      </c>
      <c r="I41" s="1" t="str">
        <f>VLOOKUP(Summary_Laporan_Penjualan_20248[[#This Row],[ID_Produk]], Data_Produk[], 6, 0)</f>
        <v>Jakarta</v>
      </c>
      <c r="J41" s="1">
        <f>VLOOKUP(Summary_Laporan_Penjualan_20248[[#This Row],[ID_Produk]], Data_Produk[], 7, 0)</f>
        <v>2500000</v>
      </c>
      <c r="K41" s="1">
        <f>VLOOKUP(Summary_Laporan_Penjualan_20248[[#This Row],[ID_Produk]], Data_Produk[], 8, 0)</f>
        <v>3080000</v>
      </c>
    </row>
    <row r="42" spans="1:11" x14ac:dyDescent="0.35">
      <c r="A42" s="1" t="s">
        <v>215</v>
      </c>
      <c r="B42" s="1" t="s">
        <v>173</v>
      </c>
      <c r="C42" s="1" t="s">
        <v>73</v>
      </c>
      <c r="D42" s="1" t="s">
        <v>143</v>
      </c>
      <c r="E42">
        <v>10</v>
      </c>
      <c r="F42" s="2">
        <v>45348</v>
      </c>
      <c r="G42" s="1" t="str">
        <f>VLOOKUP(Summary_Laporan_Penjualan_20248[[#This Row],[ID_Pelanggan]], Data_Pelanggan[], 2, 0)</f>
        <v>Toko Gadget Center</v>
      </c>
      <c r="H42" s="1" t="str">
        <f>VLOOKUP(Summary_Laporan_Penjualan_20248[[#This Row],[ID_Pelanggan]], Data_Pelanggan[], 4, 0)</f>
        <v>Malang</v>
      </c>
      <c r="I42" s="1" t="str">
        <f>VLOOKUP(Summary_Laporan_Penjualan_20248[[#This Row],[ID_Produk]], Data_Produk[], 6, 0)</f>
        <v>Depok</v>
      </c>
      <c r="J42" s="1">
        <f>VLOOKUP(Summary_Laporan_Penjualan_20248[[#This Row],[ID_Produk]], Data_Produk[], 7, 0)</f>
        <v>80000</v>
      </c>
      <c r="K42" s="1">
        <f>VLOOKUP(Summary_Laporan_Penjualan_20248[[#This Row],[ID_Produk]], Data_Produk[], 8, 0)</f>
        <v>92000</v>
      </c>
    </row>
    <row r="43" spans="1:11" x14ac:dyDescent="0.35">
      <c r="A43" s="1" t="s">
        <v>217</v>
      </c>
      <c r="B43" s="1" t="s">
        <v>149</v>
      </c>
      <c r="C43" s="1" t="s">
        <v>45</v>
      </c>
      <c r="D43" s="1" t="s">
        <v>157</v>
      </c>
      <c r="E43">
        <v>11</v>
      </c>
      <c r="F43" s="2">
        <v>45299</v>
      </c>
      <c r="G43" s="1" t="str">
        <f>VLOOKUP(Summary_Laporan_Penjualan_20248[[#This Row],[ID_Pelanggan]], Data_Pelanggan[], 2, 0)</f>
        <v>CV Techno</v>
      </c>
      <c r="H43" s="1" t="str">
        <f>VLOOKUP(Summary_Laporan_Penjualan_20248[[#This Row],[ID_Pelanggan]], Data_Pelanggan[], 4, 0)</f>
        <v>Yogyakarta</v>
      </c>
      <c r="I43" s="1" t="str">
        <f>VLOOKUP(Summary_Laporan_Penjualan_20248[[#This Row],[ID_Produk]], Data_Produk[], 6, 0)</f>
        <v>Semarang</v>
      </c>
      <c r="J43" s="1">
        <f>VLOOKUP(Summary_Laporan_Penjualan_20248[[#This Row],[ID_Produk]], Data_Produk[], 7, 0)</f>
        <v>100000</v>
      </c>
      <c r="K43" s="1">
        <f>VLOOKUP(Summary_Laporan_Penjualan_20248[[#This Row],[ID_Produk]], Data_Produk[], 8, 0)</f>
        <v>169000</v>
      </c>
    </row>
    <row r="44" spans="1:11" x14ac:dyDescent="0.35">
      <c r="A44" s="1" t="s">
        <v>219</v>
      </c>
      <c r="B44" s="1" t="s">
        <v>197</v>
      </c>
      <c r="C44" s="1" t="s">
        <v>8</v>
      </c>
      <c r="D44" s="1" t="s">
        <v>171</v>
      </c>
      <c r="E44">
        <v>1</v>
      </c>
      <c r="F44" s="2">
        <v>45434</v>
      </c>
      <c r="G44" s="1" t="str">
        <f>VLOOKUP(Summary_Laporan_Penjualan_20248[[#This Row],[ID_Pelanggan]], Data_Pelanggan[], 2, 0)</f>
        <v>PT Maju Jaya</v>
      </c>
      <c r="H44" s="1" t="str">
        <f>VLOOKUP(Summary_Laporan_Penjualan_20248[[#This Row],[ID_Pelanggan]], Data_Pelanggan[], 4, 0)</f>
        <v>Jakarta</v>
      </c>
      <c r="I44" s="1" t="str">
        <f>VLOOKUP(Summary_Laporan_Penjualan_20248[[#This Row],[ID_Produk]], Data_Produk[], 6, 0)</f>
        <v>Jakarta</v>
      </c>
      <c r="J44" s="1">
        <f>VLOOKUP(Summary_Laporan_Penjualan_20248[[#This Row],[ID_Produk]], Data_Produk[], 7, 0)</f>
        <v>1200000</v>
      </c>
      <c r="K44" s="1">
        <f>VLOOKUP(Summary_Laporan_Penjualan_20248[[#This Row],[ID_Produk]], Data_Produk[], 8, 0)</f>
        <v>1375000</v>
      </c>
    </row>
    <row r="45" spans="1:11" x14ac:dyDescent="0.35">
      <c r="A45" s="1" t="s">
        <v>221</v>
      </c>
      <c r="B45" s="1" t="s">
        <v>111</v>
      </c>
      <c r="C45" s="1" t="s">
        <v>57</v>
      </c>
      <c r="D45" s="1" t="s">
        <v>128</v>
      </c>
      <c r="E45">
        <v>10</v>
      </c>
      <c r="F45" s="2">
        <v>45500</v>
      </c>
      <c r="G45" s="1" t="str">
        <f>VLOOKUP(Summary_Laporan_Penjualan_20248[[#This Row],[ID_Pelanggan]], Data_Pelanggan[], 2, 0)</f>
        <v>PT Karya Mandiri</v>
      </c>
      <c r="H45" s="1" t="str">
        <f>VLOOKUP(Summary_Laporan_Penjualan_20248[[#This Row],[ID_Pelanggan]], Data_Pelanggan[], 4, 0)</f>
        <v>Makassar</v>
      </c>
      <c r="I45" s="1" t="str">
        <f>VLOOKUP(Summary_Laporan_Penjualan_20248[[#This Row],[ID_Produk]], Data_Produk[], 6, 0)</f>
        <v>Depok</v>
      </c>
      <c r="J45" s="1">
        <f>VLOOKUP(Summary_Laporan_Penjualan_20248[[#This Row],[ID_Produk]], Data_Produk[], 7, 0)</f>
        <v>18000000</v>
      </c>
      <c r="K45" s="1">
        <f>VLOOKUP(Summary_Laporan_Penjualan_20248[[#This Row],[ID_Produk]], Data_Produk[], 8, 0)</f>
        <v>27603000</v>
      </c>
    </row>
    <row r="46" spans="1:11" x14ac:dyDescent="0.35">
      <c r="A46" s="1" t="s">
        <v>223</v>
      </c>
      <c r="B46" s="1" t="s">
        <v>113</v>
      </c>
      <c r="C46" s="1" t="s">
        <v>57</v>
      </c>
      <c r="D46" s="1" t="s">
        <v>128</v>
      </c>
      <c r="E46">
        <v>8</v>
      </c>
      <c r="F46" s="2">
        <v>45644</v>
      </c>
      <c r="G46" s="1" t="str">
        <f>VLOOKUP(Summary_Laporan_Penjualan_20248[[#This Row],[ID_Pelanggan]], Data_Pelanggan[], 2, 0)</f>
        <v>PT Karya Mandiri</v>
      </c>
      <c r="H46" s="1" t="str">
        <f>VLOOKUP(Summary_Laporan_Penjualan_20248[[#This Row],[ID_Pelanggan]], Data_Pelanggan[], 4, 0)</f>
        <v>Makassar</v>
      </c>
      <c r="I46" s="1" t="str">
        <f>VLOOKUP(Summary_Laporan_Penjualan_20248[[#This Row],[ID_Produk]], Data_Produk[], 6, 0)</f>
        <v>Depok</v>
      </c>
      <c r="J46" s="1">
        <f>VLOOKUP(Summary_Laporan_Penjualan_20248[[#This Row],[ID_Produk]], Data_Produk[], 7, 0)</f>
        <v>4500000</v>
      </c>
      <c r="K46" s="1">
        <f>VLOOKUP(Summary_Laporan_Penjualan_20248[[#This Row],[ID_Produk]], Data_Produk[], 8, 0)</f>
        <v>5522000</v>
      </c>
    </row>
    <row r="47" spans="1:11" x14ac:dyDescent="0.35">
      <c r="A47" s="1" t="s">
        <v>225</v>
      </c>
      <c r="B47" s="1" t="s">
        <v>191</v>
      </c>
      <c r="C47" s="1" t="s">
        <v>15</v>
      </c>
      <c r="D47" s="1" t="s">
        <v>143</v>
      </c>
      <c r="E47">
        <v>13</v>
      </c>
      <c r="F47" s="2">
        <v>45414</v>
      </c>
      <c r="G47" s="1" t="str">
        <f>VLOOKUP(Summary_Laporan_Penjualan_20248[[#This Row],[ID_Pelanggan]], Data_Pelanggan[], 2, 0)</f>
        <v>CV Berkah</v>
      </c>
      <c r="H47" s="1" t="str">
        <f>VLOOKUP(Summary_Laporan_Penjualan_20248[[#This Row],[ID_Pelanggan]], Data_Pelanggan[], 4, 0)</f>
        <v>Bandung</v>
      </c>
      <c r="I47" s="1" t="str">
        <f>VLOOKUP(Summary_Laporan_Penjualan_20248[[#This Row],[ID_Produk]], Data_Produk[], 6, 0)</f>
        <v>Jakarta</v>
      </c>
      <c r="J47" s="1">
        <f>VLOOKUP(Summary_Laporan_Penjualan_20248[[#This Row],[ID_Produk]], Data_Produk[], 7, 0)</f>
        <v>12000000</v>
      </c>
      <c r="K47" s="1">
        <f>VLOOKUP(Summary_Laporan_Penjualan_20248[[#This Row],[ID_Produk]], Data_Produk[], 8, 0)</f>
        <v>13963000</v>
      </c>
    </row>
    <row r="48" spans="1:11" x14ac:dyDescent="0.35">
      <c r="A48" s="1" t="s">
        <v>228</v>
      </c>
      <c r="B48" s="1" t="s">
        <v>116</v>
      </c>
      <c r="C48" s="1" t="s">
        <v>82</v>
      </c>
      <c r="D48" s="1" t="s">
        <v>157</v>
      </c>
      <c r="E48">
        <v>4</v>
      </c>
      <c r="F48" s="2">
        <v>45489</v>
      </c>
      <c r="G48" s="1" t="str">
        <f>VLOOKUP(Summary_Laporan_Penjualan_20248[[#This Row],[ID_Pelanggan]], Data_Pelanggan[], 2, 0)</f>
        <v>Toko Komputer Maju</v>
      </c>
      <c r="H48" s="1" t="str">
        <f>VLOOKUP(Summary_Laporan_Penjualan_20248[[#This Row],[ID_Pelanggan]], Data_Pelanggan[], 4, 0)</f>
        <v>Solo</v>
      </c>
      <c r="I48" s="1" t="str">
        <f>VLOOKUP(Summary_Laporan_Penjualan_20248[[#This Row],[ID_Produk]], Data_Produk[], 6, 0)</f>
        <v>Depok</v>
      </c>
      <c r="J48" s="1">
        <f>VLOOKUP(Summary_Laporan_Penjualan_20248[[#This Row],[ID_Produk]], Data_Produk[], 7, 0)</f>
        <v>5000000</v>
      </c>
      <c r="K48" s="1">
        <f>VLOOKUP(Summary_Laporan_Penjualan_20248[[#This Row],[ID_Produk]], Data_Produk[], 8, 0)</f>
        <v>7546000</v>
      </c>
    </row>
    <row r="49" spans="1:11" x14ac:dyDescent="0.35">
      <c r="A49" s="1" t="s">
        <v>230</v>
      </c>
      <c r="B49" s="1" t="s">
        <v>141</v>
      </c>
      <c r="C49" s="1" t="s">
        <v>78</v>
      </c>
      <c r="D49" s="1" t="s">
        <v>128</v>
      </c>
      <c r="E49">
        <v>1</v>
      </c>
      <c r="F49" s="2">
        <v>45368</v>
      </c>
      <c r="G49" s="1" t="str">
        <f>VLOOKUP(Summary_Laporan_Penjualan_20248[[#This Row],[ID_Pelanggan]], Data_Pelanggan[], 2, 0)</f>
        <v>CV Sinar Terang</v>
      </c>
      <c r="H49" s="1" t="str">
        <f>VLOOKUP(Summary_Laporan_Penjualan_20248[[#This Row],[ID_Pelanggan]], Data_Pelanggan[], 4, 0)</f>
        <v>Bandung</v>
      </c>
      <c r="I49" s="1" t="str">
        <f>VLOOKUP(Summary_Laporan_Penjualan_20248[[#This Row],[ID_Produk]], Data_Produk[], 6, 0)</f>
        <v>Semarang</v>
      </c>
      <c r="J49" s="1">
        <f>VLOOKUP(Summary_Laporan_Penjualan_20248[[#This Row],[ID_Produk]], Data_Produk[], 7, 0)</f>
        <v>400000</v>
      </c>
      <c r="K49" s="1">
        <f>VLOOKUP(Summary_Laporan_Penjualan_20248[[#This Row],[ID_Produk]], Data_Produk[], 8, 0)</f>
        <v>623000</v>
      </c>
    </row>
    <row r="50" spans="1:11" x14ac:dyDescent="0.35">
      <c r="A50" s="1" t="s">
        <v>232</v>
      </c>
      <c r="B50" s="1" t="s">
        <v>133</v>
      </c>
      <c r="C50" s="1" t="s">
        <v>35</v>
      </c>
      <c r="D50" s="1" t="s">
        <v>143</v>
      </c>
      <c r="E50">
        <v>10</v>
      </c>
      <c r="F50" s="2">
        <v>45551</v>
      </c>
      <c r="G50" s="1" t="str">
        <f>VLOOKUP(Summary_Laporan_Penjualan_20248[[#This Row],[ID_Pelanggan]], Data_Pelanggan[], 2, 0)</f>
        <v>PT Digital Nusantara</v>
      </c>
      <c r="H50" s="1" t="str">
        <f>VLOOKUP(Summary_Laporan_Penjualan_20248[[#This Row],[ID_Pelanggan]], Data_Pelanggan[], 4, 0)</f>
        <v>Jakarta</v>
      </c>
      <c r="I50" s="1" t="str">
        <f>VLOOKUP(Summary_Laporan_Penjualan_20248[[#This Row],[ID_Produk]], Data_Produk[], 6, 0)</f>
        <v>Jakarta</v>
      </c>
      <c r="J50" s="1">
        <f>VLOOKUP(Summary_Laporan_Penjualan_20248[[#This Row],[ID_Produk]], Data_Produk[], 7, 0)</f>
        <v>2500000</v>
      </c>
      <c r="K50" s="1">
        <f>VLOOKUP(Summary_Laporan_Penjualan_20248[[#This Row],[ID_Produk]], Data_Produk[], 8, 0)</f>
        <v>3080000</v>
      </c>
    </row>
    <row r="51" spans="1:11" x14ac:dyDescent="0.35">
      <c r="A51" s="1" t="s">
        <v>234</v>
      </c>
      <c r="B51" s="1" t="s">
        <v>137</v>
      </c>
      <c r="C51" s="1" t="s">
        <v>82</v>
      </c>
      <c r="D51" s="1" t="s">
        <v>157</v>
      </c>
      <c r="E51">
        <v>8</v>
      </c>
      <c r="F51" s="2">
        <v>45451</v>
      </c>
      <c r="G51" s="1" t="str">
        <f>VLOOKUP(Summary_Laporan_Penjualan_20248[[#This Row],[ID_Pelanggan]], Data_Pelanggan[], 2, 0)</f>
        <v>Toko Komputer Maju</v>
      </c>
      <c r="H51" s="1" t="str">
        <f>VLOOKUP(Summary_Laporan_Penjualan_20248[[#This Row],[ID_Pelanggan]], Data_Pelanggan[], 4, 0)</f>
        <v>Solo</v>
      </c>
      <c r="I51" s="1" t="str">
        <f>VLOOKUP(Summary_Laporan_Penjualan_20248[[#This Row],[ID_Produk]], Data_Produk[], 6, 0)</f>
        <v>Jakarta</v>
      </c>
      <c r="J51" s="1">
        <f>VLOOKUP(Summary_Laporan_Penjualan_20248[[#This Row],[ID_Produk]], Data_Produk[], 7, 0)</f>
        <v>2000000</v>
      </c>
      <c r="K51" s="1">
        <f>VLOOKUP(Summary_Laporan_Penjualan_20248[[#This Row],[ID_Produk]], Data_Produk[], 8, 0)</f>
        <v>2533000</v>
      </c>
    </row>
    <row r="52" spans="1:11" x14ac:dyDescent="0.35">
      <c r="A52" s="1" t="s">
        <v>236</v>
      </c>
      <c r="B52" s="1" t="s">
        <v>172</v>
      </c>
      <c r="C52" s="1" t="s">
        <v>15</v>
      </c>
      <c r="D52" s="1" t="s">
        <v>124</v>
      </c>
      <c r="E52">
        <v>8</v>
      </c>
      <c r="F52" s="2">
        <v>45447</v>
      </c>
      <c r="G52" s="1" t="str">
        <f>VLOOKUP(Summary_Laporan_Penjualan_20248[[#This Row],[ID_Pelanggan]], Data_Pelanggan[], 2, 0)</f>
        <v>CV Berkah</v>
      </c>
      <c r="H52" s="1" t="str">
        <f>VLOOKUP(Summary_Laporan_Penjualan_20248[[#This Row],[ID_Pelanggan]], Data_Pelanggan[], 4, 0)</f>
        <v>Bandung</v>
      </c>
      <c r="I52" s="1" t="str">
        <f>VLOOKUP(Summary_Laporan_Penjualan_20248[[#This Row],[ID_Produk]], Data_Produk[], 6, 0)</f>
        <v>Semarang</v>
      </c>
      <c r="J52" s="1">
        <f>VLOOKUP(Summary_Laporan_Penjualan_20248[[#This Row],[ID_Produk]], Data_Produk[], 7, 0)</f>
        <v>950000</v>
      </c>
      <c r="K52" s="1">
        <f>VLOOKUP(Summary_Laporan_Penjualan_20248[[#This Row],[ID_Produk]], Data_Produk[], 8, 0)</f>
        <v>1649000</v>
      </c>
    </row>
    <row r="53" spans="1:11" x14ac:dyDescent="0.35">
      <c r="A53" s="1" t="s">
        <v>238</v>
      </c>
      <c r="B53" s="1" t="s">
        <v>137</v>
      </c>
      <c r="C53" s="1" t="s">
        <v>29</v>
      </c>
      <c r="D53" s="1" t="s">
        <v>124</v>
      </c>
      <c r="E53">
        <v>4</v>
      </c>
      <c r="F53" s="2">
        <v>45518</v>
      </c>
      <c r="G53" s="1" t="str">
        <f>VLOOKUP(Summary_Laporan_Penjualan_20248[[#This Row],[ID_Pelanggan]], Data_Pelanggan[], 2, 0)</f>
        <v>UD Sentosa</v>
      </c>
      <c r="H53" s="1" t="str">
        <f>VLOOKUP(Summary_Laporan_Penjualan_20248[[#This Row],[ID_Pelanggan]], Data_Pelanggan[], 4, 0)</f>
        <v>Medan</v>
      </c>
      <c r="I53" s="1" t="str">
        <f>VLOOKUP(Summary_Laporan_Penjualan_20248[[#This Row],[ID_Produk]], Data_Produk[], 6, 0)</f>
        <v>Jakarta</v>
      </c>
      <c r="J53" s="1">
        <f>VLOOKUP(Summary_Laporan_Penjualan_20248[[#This Row],[ID_Produk]], Data_Produk[], 7, 0)</f>
        <v>2000000</v>
      </c>
      <c r="K53" s="1">
        <f>VLOOKUP(Summary_Laporan_Penjualan_20248[[#This Row],[ID_Produk]], Data_Produk[], 8, 0)</f>
        <v>2533000</v>
      </c>
    </row>
    <row r="54" spans="1:11" x14ac:dyDescent="0.35">
      <c r="A54" s="1" t="s">
        <v>238</v>
      </c>
      <c r="B54" s="1" t="s">
        <v>240</v>
      </c>
      <c r="C54" s="1" t="s">
        <v>29</v>
      </c>
      <c r="D54" s="1" t="s">
        <v>124</v>
      </c>
      <c r="E54">
        <v>4</v>
      </c>
      <c r="F54" s="2">
        <v>45518</v>
      </c>
      <c r="G54" s="1" t="str">
        <f>VLOOKUP(Summary_Laporan_Penjualan_20248[[#This Row],[ID_Pelanggan]], Data_Pelanggan[], 2, 0)</f>
        <v>UD Sentosa</v>
      </c>
      <c r="H54" s="1" t="str">
        <f>VLOOKUP(Summary_Laporan_Penjualan_20248[[#This Row],[ID_Pelanggan]], Data_Pelanggan[], 4, 0)</f>
        <v>Medan</v>
      </c>
      <c r="I54" s="1" t="str">
        <f>VLOOKUP(Summary_Laporan_Penjualan_20248[[#This Row],[ID_Produk]], Data_Produk[], 6, 0)</f>
        <v>Semarang</v>
      </c>
      <c r="J54" s="1">
        <f>VLOOKUP(Summary_Laporan_Penjualan_20248[[#This Row],[ID_Produk]], Data_Produk[], 7, 0)</f>
        <v>350000</v>
      </c>
      <c r="K54" s="1">
        <f>VLOOKUP(Summary_Laporan_Penjualan_20248[[#This Row],[ID_Produk]], Data_Produk[], 8, 0)</f>
        <v>626000</v>
      </c>
    </row>
    <row r="55" spans="1:11" x14ac:dyDescent="0.35">
      <c r="A55" s="1" t="s">
        <v>241</v>
      </c>
      <c r="B55" s="1" t="s">
        <v>173</v>
      </c>
      <c r="C55" s="1" t="s">
        <v>82</v>
      </c>
      <c r="D55" s="1" t="s">
        <v>143</v>
      </c>
      <c r="E55">
        <v>12</v>
      </c>
      <c r="F55" s="2">
        <v>45496</v>
      </c>
      <c r="G55" s="1" t="str">
        <f>VLOOKUP(Summary_Laporan_Penjualan_20248[[#This Row],[ID_Pelanggan]], Data_Pelanggan[], 2, 0)</f>
        <v>Toko Komputer Maju</v>
      </c>
      <c r="H55" s="1" t="str">
        <f>VLOOKUP(Summary_Laporan_Penjualan_20248[[#This Row],[ID_Pelanggan]], Data_Pelanggan[], 4, 0)</f>
        <v>Solo</v>
      </c>
      <c r="I55" s="1" t="str">
        <f>VLOOKUP(Summary_Laporan_Penjualan_20248[[#This Row],[ID_Produk]], Data_Produk[], 6, 0)</f>
        <v>Depok</v>
      </c>
      <c r="J55" s="1">
        <f>VLOOKUP(Summary_Laporan_Penjualan_20248[[#This Row],[ID_Produk]], Data_Produk[], 7, 0)</f>
        <v>80000</v>
      </c>
      <c r="K55" s="1">
        <f>VLOOKUP(Summary_Laporan_Penjualan_20248[[#This Row],[ID_Produk]], Data_Produk[], 8, 0)</f>
        <v>92000</v>
      </c>
    </row>
    <row r="56" spans="1:11" x14ac:dyDescent="0.35">
      <c r="A56" s="1" t="s">
        <v>244</v>
      </c>
      <c r="B56" s="1" t="s">
        <v>164</v>
      </c>
      <c r="C56" s="1" t="s">
        <v>73</v>
      </c>
      <c r="D56" s="1" t="s">
        <v>157</v>
      </c>
      <c r="E56">
        <v>3</v>
      </c>
      <c r="F56" s="2">
        <v>45586</v>
      </c>
      <c r="G56" s="1" t="str">
        <f>VLOOKUP(Summary_Laporan_Penjualan_20248[[#This Row],[ID_Pelanggan]], Data_Pelanggan[], 2, 0)</f>
        <v>Toko Gadget Center</v>
      </c>
      <c r="H56" s="1" t="str">
        <f>VLOOKUP(Summary_Laporan_Penjualan_20248[[#This Row],[ID_Pelanggan]], Data_Pelanggan[], 4, 0)</f>
        <v>Malang</v>
      </c>
      <c r="I56" s="1" t="str">
        <f>VLOOKUP(Summary_Laporan_Penjualan_20248[[#This Row],[ID_Produk]], Data_Produk[], 6, 0)</f>
        <v>Jakarta</v>
      </c>
      <c r="J56" s="1">
        <f>VLOOKUP(Summary_Laporan_Penjualan_20248[[#This Row],[ID_Produk]], Data_Produk[], 7, 0)</f>
        <v>750000</v>
      </c>
      <c r="K56" s="1">
        <f>VLOOKUP(Summary_Laporan_Penjualan_20248[[#This Row],[ID_Produk]], Data_Produk[], 8, 0)</f>
        <v>971000</v>
      </c>
    </row>
    <row r="57" spans="1:11" x14ac:dyDescent="0.35">
      <c r="A57" s="1" t="s">
        <v>246</v>
      </c>
      <c r="B57" s="1" t="s">
        <v>248</v>
      </c>
      <c r="C57" s="1" t="s">
        <v>39</v>
      </c>
      <c r="D57" s="1" t="s">
        <v>171</v>
      </c>
      <c r="E57">
        <v>14</v>
      </c>
      <c r="F57" s="2">
        <v>45447</v>
      </c>
      <c r="G57" s="1" t="str">
        <f>VLOOKUP(Summary_Laporan_Penjualan_20248[[#This Row],[ID_Pelanggan]], Data_Pelanggan[], 2, 0)</f>
        <v>Toko Elektronik Jaya</v>
      </c>
      <c r="H57" s="1" t="str">
        <f>VLOOKUP(Summary_Laporan_Penjualan_20248[[#This Row],[ID_Pelanggan]], Data_Pelanggan[], 4, 0)</f>
        <v>Semarang</v>
      </c>
      <c r="I57" s="1" t="str">
        <f>VLOOKUP(Summary_Laporan_Penjualan_20248[[#This Row],[ID_Produk]], Data_Produk[], 6, 0)</f>
        <v>Semarang</v>
      </c>
      <c r="J57" s="1">
        <f>VLOOKUP(Summary_Laporan_Penjualan_20248[[#This Row],[ID_Produk]], Data_Produk[], 7, 0)</f>
        <v>250000</v>
      </c>
      <c r="K57" s="1">
        <f>VLOOKUP(Summary_Laporan_Penjualan_20248[[#This Row],[ID_Produk]], Data_Produk[], 8, 0)</f>
        <v>354000</v>
      </c>
    </row>
    <row r="58" spans="1:11" x14ac:dyDescent="0.35">
      <c r="A58" s="1" t="s">
        <v>249</v>
      </c>
      <c r="B58" s="1" t="s">
        <v>191</v>
      </c>
      <c r="C58" s="1" t="s">
        <v>87</v>
      </c>
      <c r="D58" s="1" t="s">
        <v>171</v>
      </c>
      <c r="E58">
        <v>12</v>
      </c>
      <c r="F58" s="2">
        <v>45455</v>
      </c>
      <c r="G58" s="1" t="str">
        <f>VLOOKUP(Summary_Laporan_Penjualan_20248[[#This Row],[ID_Pelanggan]], Data_Pelanggan[], 2, 0)</f>
        <v>PT Indo Digital</v>
      </c>
      <c r="H58" s="1" t="str">
        <f>VLOOKUP(Summary_Laporan_Penjualan_20248[[#This Row],[ID_Pelanggan]], Data_Pelanggan[], 4, 0)</f>
        <v>Tangerang</v>
      </c>
      <c r="I58" s="1" t="str">
        <f>VLOOKUP(Summary_Laporan_Penjualan_20248[[#This Row],[ID_Produk]], Data_Produk[], 6, 0)</f>
        <v>Jakarta</v>
      </c>
      <c r="J58" s="1">
        <f>VLOOKUP(Summary_Laporan_Penjualan_20248[[#This Row],[ID_Produk]], Data_Produk[], 7, 0)</f>
        <v>12000000</v>
      </c>
      <c r="K58" s="1">
        <f>VLOOKUP(Summary_Laporan_Penjualan_20248[[#This Row],[ID_Produk]], Data_Produk[], 8, 0)</f>
        <v>13963000</v>
      </c>
    </row>
    <row r="59" spans="1:11" x14ac:dyDescent="0.35">
      <c r="A59" s="1" t="s">
        <v>251</v>
      </c>
      <c r="B59" s="1" t="s">
        <v>137</v>
      </c>
      <c r="C59" s="1" t="s">
        <v>73</v>
      </c>
      <c r="D59" s="1" t="s">
        <v>157</v>
      </c>
      <c r="E59">
        <v>15</v>
      </c>
      <c r="F59" s="2">
        <v>45651</v>
      </c>
      <c r="G59" s="1" t="str">
        <f>VLOOKUP(Summary_Laporan_Penjualan_20248[[#This Row],[ID_Pelanggan]], Data_Pelanggan[], 2, 0)</f>
        <v>Toko Gadget Center</v>
      </c>
      <c r="H59" s="1" t="str">
        <f>VLOOKUP(Summary_Laporan_Penjualan_20248[[#This Row],[ID_Pelanggan]], Data_Pelanggan[], 4, 0)</f>
        <v>Malang</v>
      </c>
      <c r="I59" s="1" t="str">
        <f>VLOOKUP(Summary_Laporan_Penjualan_20248[[#This Row],[ID_Produk]], Data_Produk[], 6, 0)</f>
        <v>Jakarta</v>
      </c>
      <c r="J59" s="1">
        <f>VLOOKUP(Summary_Laporan_Penjualan_20248[[#This Row],[ID_Produk]], Data_Produk[], 7, 0)</f>
        <v>2000000</v>
      </c>
      <c r="K59" s="1">
        <f>VLOOKUP(Summary_Laporan_Penjualan_20248[[#This Row],[ID_Produk]], Data_Produk[], 8, 0)</f>
        <v>2533000</v>
      </c>
    </row>
    <row r="60" spans="1:11" x14ac:dyDescent="0.35">
      <c r="A60" s="1" t="s">
        <v>253</v>
      </c>
      <c r="B60" s="1" t="s">
        <v>109</v>
      </c>
      <c r="C60" s="1" t="s">
        <v>82</v>
      </c>
      <c r="D60" s="1" t="s">
        <v>121</v>
      </c>
      <c r="E60">
        <v>12</v>
      </c>
      <c r="F60" s="2">
        <v>45319</v>
      </c>
      <c r="G60" s="1" t="str">
        <f>VLOOKUP(Summary_Laporan_Penjualan_20248[[#This Row],[ID_Pelanggan]], Data_Pelanggan[], 2, 0)</f>
        <v>Toko Komputer Maju</v>
      </c>
      <c r="H60" s="1" t="str">
        <f>VLOOKUP(Summary_Laporan_Penjualan_20248[[#This Row],[ID_Pelanggan]], Data_Pelanggan[], 4, 0)</f>
        <v>Solo</v>
      </c>
      <c r="I60" s="1" t="str">
        <f>VLOOKUP(Summary_Laporan_Penjualan_20248[[#This Row],[ID_Produk]], Data_Produk[], 6, 0)</f>
        <v>Semarang</v>
      </c>
      <c r="J60" s="1">
        <f>VLOOKUP(Summary_Laporan_Penjualan_20248[[#This Row],[ID_Produk]], Data_Produk[], 7, 0)</f>
        <v>2000000</v>
      </c>
      <c r="K60" s="1">
        <f>VLOOKUP(Summary_Laporan_Penjualan_20248[[#This Row],[ID_Produk]], Data_Produk[], 8, 0)</f>
        <v>3382000</v>
      </c>
    </row>
    <row r="61" spans="1:11" x14ac:dyDescent="0.35">
      <c r="A61" s="1" t="s">
        <v>255</v>
      </c>
      <c r="B61" s="1" t="s">
        <v>141</v>
      </c>
      <c r="C61" s="1" t="s">
        <v>78</v>
      </c>
      <c r="D61" s="1" t="s">
        <v>121</v>
      </c>
      <c r="E61">
        <v>4</v>
      </c>
      <c r="F61" s="2">
        <v>45456</v>
      </c>
      <c r="G61" s="1" t="str">
        <f>VLOOKUP(Summary_Laporan_Penjualan_20248[[#This Row],[ID_Pelanggan]], Data_Pelanggan[], 2, 0)</f>
        <v>CV Sinar Terang</v>
      </c>
      <c r="H61" s="1" t="str">
        <f>VLOOKUP(Summary_Laporan_Penjualan_20248[[#This Row],[ID_Pelanggan]], Data_Pelanggan[], 4, 0)</f>
        <v>Bandung</v>
      </c>
      <c r="I61" s="1" t="str">
        <f>VLOOKUP(Summary_Laporan_Penjualan_20248[[#This Row],[ID_Produk]], Data_Produk[], 6, 0)</f>
        <v>Semarang</v>
      </c>
      <c r="J61" s="1">
        <f>VLOOKUP(Summary_Laporan_Penjualan_20248[[#This Row],[ID_Produk]], Data_Produk[], 7, 0)</f>
        <v>400000</v>
      </c>
      <c r="K61" s="1">
        <f>VLOOKUP(Summary_Laporan_Penjualan_20248[[#This Row],[ID_Produk]], Data_Produk[], 8, 0)</f>
        <v>623000</v>
      </c>
    </row>
    <row r="62" spans="1:11" x14ac:dyDescent="0.35">
      <c r="A62" s="1" t="s">
        <v>257</v>
      </c>
      <c r="B62" s="1" t="s">
        <v>116</v>
      </c>
      <c r="C62" s="1" t="s">
        <v>29</v>
      </c>
      <c r="D62" s="1" t="s">
        <v>121</v>
      </c>
      <c r="E62">
        <v>4</v>
      </c>
      <c r="F62" s="2">
        <v>45393</v>
      </c>
      <c r="G62" s="1" t="str">
        <f>VLOOKUP(Summary_Laporan_Penjualan_20248[[#This Row],[ID_Pelanggan]], Data_Pelanggan[], 2, 0)</f>
        <v>UD Sentosa</v>
      </c>
      <c r="H62" s="1" t="str">
        <f>VLOOKUP(Summary_Laporan_Penjualan_20248[[#This Row],[ID_Pelanggan]], Data_Pelanggan[], 4, 0)</f>
        <v>Medan</v>
      </c>
      <c r="I62" s="1" t="str">
        <f>VLOOKUP(Summary_Laporan_Penjualan_20248[[#This Row],[ID_Produk]], Data_Produk[], 6, 0)</f>
        <v>Depok</v>
      </c>
      <c r="J62" s="1">
        <f>VLOOKUP(Summary_Laporan_Penjualan_20248[[#This Row],[ID_Produk]], Data_Produk[], 7, 0)</f>
        <v>5000000</v>
      </c>
      <c r="K62" s="1">
        <f>VLOOKUP(Summary_Laporan_Penjualan_20248[[#This Row],[ID_Produk]], Data_Produk[], 8, 0)</f>
        <v>7546000</v>
      </c>
    </row>
    <row r="63" spans="1:11" x14ac:dyDescent="0.35">
      <c r="A63" s="1" t="s">
        <v>259</v>
      </c>
      <c r="B63" s="1" t="s">
        <v>137</v>
      </c>
      <c r="C63" s="1" t="s">
        <v>39</v>
      </c>
      <c r="D63" s="1" t="s">
        <v>171</v>
      </c>
      <c r="E63">
        <v>11</v>
      </c>
      <c r="F63" s="2">
        <v>45480</v>
      </c>
      <c r="G63" s="1" t="str">
        <f>VLOOKUP(Summary_Laporan_Penjualan_20248[[#This Row],[ID_Pelanggan]], Data_Pelanggan[], 2, 0)</f>
        <v>Toko Elektronik Jaya</v>
      </c>
      <c r="H63" s="1" t="str">
        <f>VLOOKUP(Summary_Laporan_Penjualan_20248[[#This Row],[ID_Pelanggan]], Data_Pelanggan[], 4, 0)</f>
        <v>Semarang</v>
      </c>
      <c r="I63" s="1" t="str">
        <f>VLOOKUP(Summary_Laporan_Penjualan_20248[[#This Row],[ID_Produk]], Data_Produk[], 6, 0)</f>
        <v>Jakarta</v>
      </c>
      <c r="J63" s="1">
        <f>VLOOKUP(Summary_Laporan_Penjualan_20248[[#This Row],[ID_Produk]], Data_Produk[], 7, 0)</f>
        <v>2000000</v>
      </c>
      <c r="K63" s="1">
        <f>VLOOKUP(Summary_Laporan_Penjualan_20248[[#This Row],[ID_Produk]], Data_Produk[], 8, 0)</f>
        <v>2533000</v>
      </c>
    </row>
    <row r="64" spans="1:11" x14ac:dyDescent="0.35">
      <c r="A64" s="1" t="s">
        <v>262</v>
      </c>
      <c r="B64" s="1" t="s">
        <v>240</v>
      </c>
      <c r="C64" s="1" t="s">
        <v>8</v>
      </c>
      <c r="D64" s="1" t="s">
        <v>128</v>
      </c>
      <c r="E64">
        <v>9</v>
      </c>
      <c r="F64" s="2">
        <v>45641</v>
      </c>
      <c r="G64" s="1" t="str">
        <f>VLOOKUP(Summary_Laporan_Penjualan_20248[[#This Row],[ID_Pelanggan]], Data_Pelanggan[], 2, 0)</f>
        <v>PT Maju Jaya</v>
      </c>
      <c r="H64" s="1" t="str">
        <f>VLOOKUP(Summary_Laporan_Penjualan_20248[[#This Row],[ID_Pelanggan]], Data_Pelanggan[], 4, 0)</f>
        <v>Jakarta</v>
      </c>
      <c r="I64" s="1" t="str">
        <f>VLOOKUP(Summary_Laporan_Penjualan_20248[[#This Row],[ID_Produk]], Data_Produk[], 6, 0)</f>
        <v>Semarang</v>
      </c>
      <c r="J64" s="1">
        <f>VLOOKUP(Summary_Laporan_Penjualan_20248[[#This Row],[ID_Produk]], Data_Produk[], 7, 0)</f>
        <v>350000</v>
      </c>
      <c r="K64" s="1">
        <f>VLOOKUP(Summary_Laporan_Penjualan_20248[[#This Row],[ID_Produk]], Data_Produk[], 8, 0)</f>
        <v>626000</v>
      </c>
    </row>
    <row r="65" spans="1:11" x14ac:dyDescent="0.35">
      <c r="A65" s="1" t="s">
        <v>264</v>
      </c>
      <c r="B65" s="1" t="s">
        <v>137</v>
      </c>
      <c r="C65" s="1" t="s">
        <v>45</v>
      </c>
      <c r="D65" s="1" t="s">
        <v>124</v>
      </c>
      <c r="E65">
        <v>10</v>
      </c>
      <c r="F65" s="2">
        <v>45564</v>
      </c>
      <c r="G65" s="1" t="str">
        <f>VLOOKUP(Summary_Laporan_Penjualan_20248[[#This Row],[ID_Pelanggan]], Data_Pelanggan[], 2, 0)</f>
        <v>CV Techno</v>
      </c>
      <c r="H65" s="1" t="str">
        <f>VLOOKUP(Summary_Laporan_Penjualan_20248[[#This Row],[ID_Pelanggan]], Data_Pelanggan[], 4, 0)</f>
        <v>Yogyakarta</v>
      </c>
      <c r="I65" s="1" t="str">
        <f>VLOOKUP(Summary_Laporan_Penjualan_20248[[#This Row],[ID_Produk]], Data_Produk[], 6, 0)</f>
        <v>Jakarta</v>
      </c>
      <c r="J65" s="1">
        <f>VLOOKUP(Summary_Laporan_Penjualan_20248[[#This Row],[ID_Produk]], Data_Produk[], 7, 0)</f>
        <v>2000000</v>
      </c>
      <c r="K65" s="1">
        <f>VLOOKUP(Summary_Laporan_Penjualan_20248[[#This Row],[ID_Produk]], Data_Produk[], 8, 0)</f>
        <v>2533000</v>
      </c>
    </row>
    <row r="66" spans="1:11" x14ac:dyDescent="0.35">
      <c r="A66" s="1" t="s">
        <v>266</v>
      </c>
      <c r="B66" s="1" t="s">
        <v>197</v>
      </c>
      <c r="C66" s="1" t="s">
        <v>51</v>
      </c>
      <c r="D66" s="1" t="s">
        <v>157</v>
      </c>
      <c r="E66">
        <v>10</v>
      </c>
      <c r="F66" s="2">
        <v>45492</v>
      </c>
      <c r="G66" s="1" t="str">
        <f>VLOOKUP(Summary_Laporan_Penjualan_20248[[#This Row],[ID_Pelanggan]], Data_Pelanggan[], 2, 0)</f>
        <v>Toko Musik Digital</v>
      </c>
      <c r="H66" s="1" t="str">
        <f>VLOOKUP(Summary_Laporan_Penjualan_20248[[#This Row],[ID_Pelanggan]], Data_Pelanggan[], 4, 0)</f>
        <v>Denpasar</v>
      </c>
      <c r="I66" s="1" t="str">
        <f>VLOOKUP(Summary_Laporan_Penjualan_20248[[#This Row],[ID_Produk]], Data_Produk[], 6, 0)</f>
        <v>Jakarta</v>
      </c>
      <c r="J66" s="1">
        <f>VLOOKUP(Summary_Laporan_Penjualan_20248[[#This Row],[ID_Produk]], Data_Produk[], 7, 0)</f>
        <v>1200000</v>
      </c>
      <c r="K66" s="1">
        <f>VLOOKUP(Summary_Laporan_Penjualan_20248[[#This Row],[ID_Produk]], Data_Produk[], 8, 0)</f>
        <v>1375000</v>
      </c>
    </row>
    <row r="67" spans="1:11" x14ac:dyDescent="0.35">
      <c r="A67" s="1" t="s">
        <v>268</v>
      </c>
      <c r="B67" s="1" t="s">
        <v>164</v>
      </c>
      <c r="C67" s="1" t="s">
        <v>8</v>
      </c>
      <c r="D67" s="1" t="s">
        <v>171</v>
      </c>
      <c r="E67">
        <v>1</v>
      </c>
      <c r="F67" s="2">
        <v>45538</v>
      </c>
      <c r="G67" s="1" t="str">
        <f>VLOOKUP(Summary_Laporan_Penjualan_20248[[#This Row],[ID_Pelanggan]], Data_Pelanggan[], 2, 0)</f>
        <v>PT Maju Jaya</v>
      </c>
      <c r="H67" s="1" t="str">
        <f>VLOOKUP(Summary_Laporan_Penjualan_20248[[#This Row],[ID_Pelanggan]], Data_Pelanggan[], 4, 0)</f>
        <v>Jakarta</v>
      </c>
      <c r="I67" s="1" t="str">
        <f>VLOOKUP(Summary_Laporan_Penjualan_20248[[#This Row],[ID_Produk]], Data_Produk[], 6, 0)</f>
        <v>Jakarta</v>
      </c>
      <c r="J67" s="1">
        <f>VLOOKUP(Summary_Laporan_Penjualan_20248[[#This Row],[ID_Produk]], Data_Produk[], 7, 0)</f>
        <v>750000</v>
      </c>
      <c r="K67" s="1">
        <f>VLOOKUP(Summary_Laporan_Penjualan_20248[[#This Row],[ID_Produk]], Data_Produk[], 8, 0)</f>
        <v>971000</v>
      </c>
    </row>
    <row r="68" spans="1:11" x14ac:dyDescent="0.35">
      <c r="A68" s="1" t="s">
        <v>270</v>
      </c>
      <c r="B68" s="1" t="s">
        <v>272</v>
      </c>
      <c r="C68" s="1" t="s">
        <v>45</v>
      </c>
      <c r="D68" s="1" t="s">
        <v>171</v>
      </c>
      <c r="E68">
        <v>3</v>
      </c>
      <c r="F68" s="2">
        <v>45609</v>
      </c>
      <c r="G68" s="1" t="str">
        <f>VLOOKUP(Summary_Laporan_Penjualan_20248[[#This Row],[ID_Pelanggan]], Data_Pelanggan[], 2, 0)</f>
        <v>CV Techno</v>
      </c>
      <c r="H68" s="1" t="str">
        <f>VLOOKUP(Summary_Laporan_Penjualan_20248[[#This Row],[ID_Pelanggan]], Data_Pelanggan[], 4, 0)</f>
        <v>Yogyakarta</v>
      </c>
      <c r="I68" s="1" t="str">
        <f>VLOOKUP(Summary_Laporan_Penjualan_20248[[#This Row],[ID_Produk]], Data_Produk[], 6, 0)</f>
        <v>Depok</v>
      </c>
      <c r="J68" s="1">
        <f>VLOOKUP(Summary_Laporan_Penjualan_20248[[#This Row],[ID_Produk]], Data_Produk[], 7, 0)</f>
        <v>650000</v>
      </c>
      <c r="K68" s="1">
        <f>VLOOKUP(Summary_Laporan_Penjualan_20248[[#This Row],[ID_Produk]], Data_Produk[], 8, 0)</f>
        <v>741000</v>
      </c>
    </row>
    <row r="69" spans="1:11" x14ac:dyDescent="0.35">
      <c r="A69" s="1" t="s">
        <v>273</v>
      </c>
      <c r="B69" s="1" t="s">
        <v>188</v>
      </c>
      <c r="C69" s="1" t="s">
        <v>78</v>
      </c>
      <c r="D69" s="1" t="s">
        <v>124</v>
      </c>
      <c r="E69">
        <v>15</v>
      </c>
      <c r="F69" s="2">
        <v>45355</v>
      </c>
      <c r="G69" s="1" t="str">
        <f>VLOOKUP(Summary_Laporan_Penjualan_20248[[#This Row],[ID_Pelanggan]], Data_Pelanggan[], 2, 0)</f>
        <v>CV Sinar Terang</v>
      </c>
      <c r="H69" s="1" t="str">
        <f>VLOOKUP(Summary_Laporan_Penjualan_20248[[#This Row],[ID_Pelanggan]], Data_Pelanggan[], 4, 0)</f>
        <v>Bandung</v>
      </c>
      <c r="I69" s="1" t="str">
        <f>VLOOKUP(Summary_Laporan_Penjualan_20248[[#This Row],[ID_Produk]], Data_Produk[], 6, 0)</f>
        <v>Semarang</v>
      </c>
      <c r="J69" s="1">
        <f>VLOOKUP(Summary_Laporan_Penjualan_20248[[#This Row],[ID_Produk]], Data_Produk[], 7, 0)</f>
        <v>2800000</v>
      </c>
      <c r="K69" s="1">
        <f>VLOOKUP(Summary_Laporan_Penjualan_20248[[#This Row],[ID_Produk]], Data_Produk[], 8, 0)</f>
        <v>4747000</v>
      </c>
    </row>
    <row r="70" spans="1:11" x14ac:dyDescent="0.35">
      <c r="A70" s="1" t="s">
        <v>276</v>
      </c>
      <c r="B70" s="1" t="s">
        <v>111</v>
      </c>
      <c r="C70" s="1" t="s">
        <v>73</v>
      </c>
      <c r="D70" s="1" t="s">
        <v>171</v>
      </c>
      <c r="E70">
        <v>4</v>
      </c>
      <c r="F70" s="2">
        <v>45606</v>
      </c>
      <c r="G70" s="1" t="str">
        <f>VLOOKUP(Summary_Laporan_Penjualan_20248[[#This Row],[ID_Pelanggan]], Data_Pelanggan[], 2, 0)</f>
        <v>Toko Gadget Center</v>
      </c>
      <c r="H70" s="1" t="str">
        <f>VLOOKUP(Summary_Laporan_Penjualan_20248[[#This Row],[ID_Pelanggan]], Data_Pelanggan[], 4, 0)</f>
        <v>Malang</v>
      </c>
      <c r="I70" s="1" t="str">
        <f>VLOOKUP(Summary_Laporan_Penjualan_20248[[#This Row],[ID_Produk]], Data_Produk[], 6, 0)</f>
        <v>Depok</v>
      </c>
      <c r="J70" s="1">
        <f>VLOOKUP(Summary_Laporan_Penjualan_20248[[#This Row],[ID_Produk]], Data_Produk[], 7, 0)</f>
        <v>18000000</v>
      </c>
      <c r="K70" s="1">
        <f>VLOOKUP(Summary_Laporan_Penjualan_20248[[#This Row],[ID_Produk]], Data_Produk[], 8, 0)</f>
        <v>27603000</v>
      </c>
    </row>
    <row r="71" spans="1:11" x14ac:dyDescent="0.35">
      <c r="A71" s="1" t="s">
        <v>278</v>
      </c>
      <c r="B71" s="1" t="s">
        <v>176</v>
      </c>
      <c r="C71" s="1" t="s">
        <v>21</v>
      </c>
      <c r="D71" s="1" t="s">
        <v>121</v>
      </c>
      <c r="E71">
        <v>13</v>
      </c>
      <c r="F71" s="2">
        <v>45543</v>
      </c>
      <c r="G71" s="1" t="str">
        <f>VLOOKUP(Summary_Laporan_Penjualan_20248[[#This Row],[ID_Pelanggan]], Data_Pelanggan[], 2, 0)</f>
        <v>Toko Komputer Sejahtera</v>
      </c>
      <c r="H71" s="1" t="str">
        <f>VLOOKUP(Summary_Laporan_Penjualan_20248[[#This Row],[ID_Pelanggan]], Data_Pelanggan[], 4, 0)</f>
        <v>Surabaya</v>
      </c>
      <c r="I71" s="1" t="str">
        <f>VLOOKUP(Summary_Laporan_Penjualan_20248[[#This Row],[ID_Produk]], Data_Produk[], 6, 0)</f>
        <v>Depok</v>
      </c>
      <c r="J71" s="1">
        <f>VLOOKUP(Summary_Laporan_Penjualan_20248[[#This Row],[ID_Produk]], Data_Produk[], 7, 0)</f>
        <v>1500000</v>
      </c>
      <c r="K71" s="1">
        <f>VLOOKUP(Summary_Laporan_Penjualan_20248[[#This Row],[ID_Produk]], Data_Produk[], 8, 0)</f>
        <v>1772000</v>
      </c>
    </row>
    <row r="72" spans="1:11" x14ac:dyDescent="0.35">
      <c r="A72" s="1" t="s">
        <v>278</v>
      </c>
      <c r="B72" s="1" t="s">
        <v>164</v>
      </c>
      <c r="C72" s="1" t="s">
        <v>21</v>
      </c>
      <c r="D72" s="1" t="s">
        <v>121</v>
      </c>
      <c r="E72">
        <v>13</v>
      </c>
      <c r="F72" s="2">
        <v>45543</v>
      </c>
      <c r="G72" s="1" t="str">
        <f>VLOOKUP(Summary_Laporan_Penjualan_20248[[#This Row],[ID_Pelanggan]], Data_Pelanggan[], 2, 0)</f>
        <v>Toko Komputer Sejahtera</v>
      </c>
      <c r="H72" s="1" t="str">
        <f>VLOOKUP(Summary_Laporan_Penjualan_20248[[#This Row],[ID_Pelanggan]], Data_Pelanggan[], 4, 0)</f>
        <v>Surabaya</v>
      </c>
      <c r="I72" s="1" t="str">
        <f>VLOOKUP(Summary_Laporan_Penjualan_20248[[#This Row],[ID_Produk]], Data_Produk[], 6, 0)</f>
        <v>Jakarta</v>
      </c>
      <c r="J72" s="1">
        <f>VLOOKUP(Summary_Laporan_Penjualan_20248[[#This Row],[ID_Produk]], Data_Produk[], 7, 0)</f>
        <v>750000</v>
      </c>
      <c r="K72" s="1">
        <f>VLOOKUP(Summary_Laporan_Penjualan_20248[[#This Row],[ID_Produk]], Data_Produk[], 8, 0)</f>
        <v>971000</v>
      </c>
    </row>
    <row r="73" spans="1:11" x14ac:dyDescent="0.35">
      <c r="A73" s="1" t="s">
        <v>278</v>
      </c>
      <c r="B73" s="1" t="s">
        <v>248</v>
      </c>
      <c r="C73" s="1" t="s">
        <v>21</v>
      </c>
      <c r="D73" s="1" t="s">
        <v>121</v>
      </c>
      <c r="E73">
        <v>13</v>
      </c>
      <c r="F73" s="2">
        <v>45543</v>
      </c>
      <c r="G73" s="1" t="str">
        <f>VLOOKUP(Summary_Laporan_Penjualan_20248[[#This Row],[ID_Pelanggan]], Data_Pelanggan[], 2, 0)</f>
        <v>Toko Komputer Sejahtera</v>
      </c>
      <c r="H73" s="1" t="str">
        <f>VLOOKUP(Summary_Laporan_Penjualan_20248[[#This Row],[ID_Pelanggan]], Data_Pelanggan[], 4, 0)</f>
        <v>Surabaya</v>
      </c>
      <c r="I73" s="1" t="str">
        <f>VLOOKUP(Summary_Laporan_Penjualan_20248[[#This Row],[ID_Produk]], Data_Produk[], 6, 0)</f>
        <v>Semarang</v>
      </c>
      <c r="J73" s="1">
        <f>VLOOKUP(Summary_Laporan_Penjualan_20248[[#This Row],[ID_Produk]], Data_Produk[], 7, 0)</f>
        <v>250000</v>
      </c>
      <c r="K73" s="1">
        <f>VLOOKUP(Summary_Laporan_Penjualan_20248[[#This Row],[ID_Produk]], Data_Produk[], 8, 0)</f>
        <v>354000</v>
      </c>
    </row>
    <row r="74" spans="1:11" x14ac:dyDescent="0.35">
      <c r="A74" s="1" t="s">
        <v>280</v>
      </c>
      <c r="B74" s="1" t="s">
        <v>176</v>
      </c>
      <c r="C74" s="1" t="s">
        <v>15</v>
      </c>
      <c r="D74" s="1" t="s">
        <v>143</v>
      </c>
      <c r="E74">
        <v>12</v>
      </c>
      <c r="F74" s="2">
        <v>45582</v>
      </c>
      <c r="G74" s="1" t="str">
        <f>VLOOKUP(Summary_Laporan_Penjualan_20248[[#This Row],[ID_Pelanggan]], Data_Pelanggan[], 2, 0)</f>
        <v>CV Berkah</v>
      </c>
      <c r="H74" s="1" t="str">
        <f>VLOOKUP(Summary_Laporan_Penjualan_20248[[#This Row],[ID_Pelanggan]], Data_Pelanggan[], 4, 0)</f>
        <v>Bandung</v>
      </c>
      <c r="I74" s="1" t="str">
        <f>VLOOKUP(Summary_Laporan_Penjualan_20248[[#This Row],[ID_Produk]], Data_Produk[], 6, 0)</f>
        <v>Depok</v>
      </c>
      <c r="J74" s="1">
        <f>VLOOKUP(Summary_Laporan_Penjualan_20248[[#This Row],[ID_Produk]], Data_Produk[], 7, 0)</f>
        <v>1500000</v>
      </c>
      <c r="K74" s="1">
        <f>VLOOKUP(Summary_Laporan_Penjualan_20248[[#This Row],[ID_Produk]], Data_Produk[], 8, 0)</f>
        <v>1772000</v>
      </c>
    </row>
    <row r="75" spans="1:11" x14ac:dyDescent="0.35">
      <c r="A75" s="1" t="s">
        <v>282</v>
      </c>
      <c r="B75" s="1" t="s">
        <v>197</v>
      </c>
      <c r="C75" s="1" t="s">
        <v>78</v>
      </c>
      <c r="D75" s="1" t="s">
        <v>121</v>
      </c>
      <c r="E75">
        <v>4</v>
      </c>
      <c r="F75" s="2">
        <v>45363</v>
      </c>
      <c r="G75" s="1" t="str">
        <f>VLOOKUP(Summary_Laporan_Penjualan_20248[[#This Row],[ID_Pelanggan]], Data_Pelanggan[], 2, 0)</f>
        <v>CV Sinar Terang</v>
      </c>
      <c r="H75" s="1" t="str">
        <f>VLOOKUP(Summary_Laporan_Penjualan_20248[[#This Row],[ID_Pelanggan]], Data_Pelanggan[], 4, 0)</f>
        <v>Bandung</v>
      </c>
      <c r="I75" s="1" t="str">
        <f>VLOOKUP(Summary_Laporan_Penjualan_20248[[#This Row],[ID_Produk]], Data_Produk[], 6, 0)</f>
        <v>Jakarta</v>
      </c>
      <c r="J75" s="1">
        <f>VLOOKUP(Summary_Laporan_Penjualan_20248[[#This Row],[ID_Produk]], Data_Produk[], 7, 0)</f>
        <v>1200000</v>
      </c>
      <c r="K75" s="1">
        <f>VLOOKUP(Summary_Laporan_Penjualan_20248[[#This Row],[ID_Produk]], Data_Produk[], 8, 0)</f>
        <v>1375000</v>
      </c>
    </row>
    <row r="76" spans="1:11" x14ac:dyDescent="0.35">
      <c r="A76" s="1" t="s">
        <v>284</v>
      </c>
      <c r="B76" s="1" t="s">
        <v>168</v>
      </c>
      <c r="C76" s="1" t="s">
        <v>57</v>
      </c>
      <c r="D76" s="1" t="s">
        <v>121</v>
      </c>
      <c r="E76">
        <v>11</v>
      </c>
      <c r="F76" s="2">
        <v>45354</v>
      </c>
      <c r="G76" s="1" t="str">
        <f>VLOOKUP(Summary_Laporan_Penjualan_20248[[#This Row],[ID_Pelanggan]], Data_Pelanggan[], 2, 0)</f>
        <v>PT Karya Mandiri</v>
      </c>
      <c r="H76" s="1" t="str">
        <f>VLOOKUP(Summary_Laporan_Penjualan_20248[[#This Row],[ID_Pelanggan]], Data_Pelanggan[], 4, 0)</f>
        <v>Makassar</v>
      </c>
      <c r="I76" s="1" t="str">
        <f>VLOOKUP(Summary_Laporan_Penjualan_20248[[#This Row],[ID_Produk]], Data_Produk[], 6, 0)</f>
        <v>Semarang</v>
      </c>
      <c r="J76" s="1">
        <f>VLOOKUP(Summary_Laporan_Penjualan_20248[[#This Row],[ID_Produk]], Data_Produk[], 7, 0)</f>
        <v>500000</v>
      </c>
      <c r="K76" s="1">
        <f>VLOOKUP(Summary_Laporan_Penjualan_20248[[#This Row],[ID_Produk]], Data_Produk[], 8, 0)</f>
        <v>844000</v>
      </c>
    </row>
    <row r="77" spans="1:11" x14ac:dyDescent="0.35">
      <c r="A77" s="1" t="s">
        <v>286</v>
      </c>
      <c r="B77" s="1" t="s">
        <v>106</v>
      </c>
      <c r="C77" s="1" t="s">
        <v>73</v>
      </c>
      <c r="D77" s="1" t="s">
        <v>128</v>
      </c>
      <c r="E77">
        <v>4</v>
      </c>
      <c r="F77" s="2">
        <v>45581</v>
      </c>
      <c r="G77" s="1" t="str">
        <f>VLOOKUP(Summary_Laporan_Penjualan_20248[[#This Row],[ID_Pelanggan]], Data_Pelanggan[], 2, 0)</f>
        <v>Toko Gadget Center</v>
      </c>
      <c r="H77" s="1" t="str">
        <f>VLOOKUP(Summary_Laporan_Penjualan_20248[[#This Row],[ID_Pelanggan]], Data_Pelanggan[], 4, 0)</f>
        <v>Malang</v>
      </c>
      <c r="I77" s="1" t="str">
        <f>VLOOKUP(Summary_Laporan_Penjualan_20248[[#This Row],[ID_Produk]], Data_Produk[], 6, 0)</f>
        <v>Depok</v>
      </c>
      <c r="J77" s="1">
        <f>VLOOKUP(Summary_Laporan_Penjualan_20248[[#This Row],[ID_Produk]], Data_Produk[], 7, 0)</f>
        <v>300000</v>
      </c>
      <c r="K77" s="1">
        <f>VLOOKUP(Summary_Laporan_Penjualan_20248[[#This Row],[ID_Produk]], Data_Produk[], 8, 0)</f>
        <v>355000</v>
      </c>
    </row>
    <row r="78" spans="1:11" x14ac:dyDescent="0.35">
      <c r="A78" s="1" t="s">
        <v>288</v>
      </c>
      <c r="B78" s="1" t="s">
        <v>133</v>
      </c>
      <c r="C78" s="1" t="s">
        <v>45</v>
      </c>
      <c r="D78" s="1" t="s">
        <v>124</v>
      </c>
      <c r="E78">
        <v>11</v>
      </c>
      <c r="F78" s="2">
        <v>45416</v>
      </c>
      <c r="G78" s="1" t="str">
        <f>VLOOKUP(Summary_Laporan_Penjualan_20248[[#This Row],[ID_Pelanggan]], Data_Pelanggan[], 2, 0)</f>
        <v>CV Techno</v>
      </c>
      <c r="H78" s="1" t="str">
        <f>VLOOKUP(Summary_Laporan_Penjualan_20248[[#This Row],[ID_Pelanggan]], Data_Pelanggan[], 4, 0)</f>
        <v>Yogyakarta</v>
      </c>
      <c r="I78" s="1" t="str">
        <f>VLOOKUP(Summary_Laporan_Penjualan_20248[[#This Row],[ID_Produk]], Data_Produk[], 6, 0)</f>
        <v>Jakarta</v>
      </c>
      <c r="J78" s="1">
        <f>VLOOKUP(Summary_Laporan_Penjualan_20248[[#This Row],[ID_Produk]], Data_Produk[], 7, 0)</f>
        <v>2500000</v>
      </c>
      <c r="K78" s="1">
        <f>VLOOKUP(Summary_Laporan_Penjualan_20248[[#This Row],[ID_Produk]], Data_Produk[], 8, 0)</f>
        <v>3080000</v>
      </c>
    </row>
    <row r="79" spans="1:11" x14ac:dyDescent="0.35">
      <c r="A79" s="1" t="s">
        <v>290</v>
      </c>
      <c r="B79" s="1" t="s">
        <v>168</v>
      </c>
      <c r="C79" s="1" t="s">
        <v>35</v>
      </c>
      <c r="D79" s="1" t="s">
        <v>157</v>
      </c>
      <c r="E79">
        <v>3</v>
      </c>
      <c r="F79" s="2">
        <v>45354</v>
      </c>
      <c r="G79" s="1" t="str">
        <f>VLOOKUP(Summary_Laporan_Penjualan_20248[[#This Row],[ID_Pelanggan]], Data_Pelanggan[], 2, 0)</f>
        <v>PT Digital Nusantara</v>
      </c>
      <c r="H79" s="1" t="str">
        <f>VLOOKUP(Summary_Laporan_Penjualan_20248[[#This Row],[ID_Pelanggan]], Data_Pelanggan[], 4, 0)</f>
        <v>Jakarta</v>
      </c>
      <c r="I79" s="1" t="str">
        <f>VLOOKUP(Summary_Laporan_Penjualan_20248[[#This Row],[ID_Produk]], Data_Produk[], 6, 0)</f>
        <v>Semarang</v>
      </c>
      <c r="J79" s="1">
        <f>VLOOKUP(Summary_Laporan_Penjualan_20248[[#This Row],[ID_Produk]], Data_Produk[], 7, 0)</f>
        <v>500000</v>
      </c>
      <c r="K79" s="1">
        <f>VLOOKUP(Summary_Laporan_Penjualan_20248[[#This Row],[ID_Produk]], Data_Produk[], 8, 0)</f>
        <v>844000</v>
      </c>
    </row>
    <row r="80" spans="1:11" x14ac:dyDescent="0.35">
      <c r="A80" s="1" t="s">
        <v>292</v>
      </c>
      <c r="B80" s="1" t="s">
        <v>197</v>
      </c>
      <c r="C80" s="1" t="s">
        <v>39</v>
      </c>
      <c r="D80" s="1" t="s">
        <v>121</v>
      </c>
      <c r="E80">
        <v>7</v>
      </c>
      <c r="F80" s="2">
        <v>45396</v>
      </c>
      <c r="G80" s="1" t="str">
        <f>VLOOKUP(Summary_Laporan_Penjualan_20248[[#This Row],[ID_Pelanggan]], Data_Pelanggan[], 2, 0)</f>
        <v>Toko Elektronik Jaya</v>
      </c>
      <c r="H80" s="1" t="str">
        <f>VLOOKUP(Summary_Laporan_Penjualan_20248[[#This Row],[ID_Pelanggan]], Data_Pelanggan[], 4, 0)</f>
        <v>Semarang</v>
      </c>
      <c r="I80" s="1" t="str">
        <f>VLOOKUP(Summary_Laporan_Penjualan_20248[[#This Row],[ID_Produk]], Data_Produk[], 6, 0)</f>
        <v>Jakarta</v>
      </c>
      <c r="J80" s="1">
        <f>VLOOKUP(Summary_Laporan_Penjualan_20248[[#This Row],[ID_Produk]], Data_Produk[], 7, 0)</f>
        <v>1200000</v>
      </c>
      <c r="K80" s="1">
        <f>VLOOKUP(Summary_Laporan_Penjualan_20248[[#This Row],[ID_Produk]], Data_Produk[], 8, 0)</f>
        <v>1375000</v>
      </c>
    </row>
    <row r="81" spans="1:11" x14ac:dyDescent="0.35">
      <c r="A81" s="1" t="s">
        <v>294</v>
      </c>
      <c r="B81" s="1" t="s">
        <v>176</v>
      </c>
      <c r="C81" s="1" t="s">
        <v>87</v>
      </c>
      <c r="D81" s="1" t="s">
        <v>128</v>
      </c>
      <c r="E81">
        <v>11</v>
      </c>
      <c r="F81" s="2">
        <v>45296</v>
      </c>
      <c r="G81" s="1" t="str">
        <f>VLOOKUP(Summary_Laporan_Penjualan_20248[[#This Row],[ID_Pelanggan]], Data_Pelanggan[], 2, 0)</f>
        <v>PT Indo Digital</v>
      </c>
      <c r="H81" s="1" t="str">
        <f>VLOOKUP(Summary_Laporan_Penjualan_20248[[#This Row],[ID_Pelanggan]], Data_Pelanggan[], 4, 0)</f>
        <v>Tangerang</v>
      </c>
      <c r="I81" s="1" t="str">
        <f>VLOOKUP(Summary_Laporan_Penjualan_20248[[#This Row],[ID_Produk]], Data_Produk[], 6, 0)</f>
        <v>Depok</v>
      </c>
      <c r="J81" s="1">
        <f>VLOOKUP(Summary_Laporan_Penjualan_20248[[#This Row],[ID_Produk]], Data_Produk[], 7, 0)</f>
        <v>1500000</v>
      </c>
      <c r="K81" s="1">
        <f>VLOOKUP(Summary_Laporan_Penjualan_20248[[#This Row],[ID_Produk]], Data_Produk[], 8, 0)</f>
        <v>1772000</v>
      </c>
    </row>
    <row r="82" spans="1:11" x14ac:dyDescent="0.35">
      <c r="A82" s="1" t="s">
        <v>296</v>
      </c>
      <c r="B82" s="1" t="s">
        <v>272</v>
      </c>
      <c r="C82" s="1" t="s">
        <v>87</v>
      </c>
      <c r="D82" s="1" t="s">
        <v>124</v>
      </c>
      <c r="E82">
        <v>14</v>
      </c>
      <c r="F82" s="2">
        <v>45478</v>
      </c>
      <c r="G82" s="1" t="str">
        <f>VLOOKUP(Summary_Laporan_Penjualan_20248[[#This Row],[ID_Pelanggan]], Data_Pelanggan[], 2, 0)</f>
        <v>PT Indo Digital</v>
      </c>
      <c r="H82" s="1" t="str">
        <f>VLOOKUP(Summary_Laporan_Penjualan_20248[[#This Row],[ID_Pelanggan]], Data_Pelanggan[], 4, 0)</f>
        <v>Tangerang</v>
      </c>
      <c r="I82" s="1" t="str">
        <f>VLOOKUP(Summary_Laporan_Penjualan_20248[[#This Row],[ID_Produk]], Data_Produk[], 6, 0)</f>
        <v>Depok</v>
      </c>
      <c r="J82" s="1">
        <f>VLOOKUP(Summary_Laporan_Penjualan_20248[[#This Row],[ID_Produk]], Data_Produk[], 7, 0)</f>
        <v>650000</v>
      </c>
      <c r="K82" s="1">
        <f>VLOOKUP(Summary_Laporan_Penjualan_20248[[#This Row],[ID_Produk]], Data_Produk[], 8, 0)</f>
        <v>741000</v>
      </c>
    </row>
    <row r="83" spans="1:11" x14ac:dyDescent="0.35">
      <c r="A83" s="1" t="s">
        <v>298</v>
      </c>
      <c r="B83" s="1" t="s">
        <v>111</v>
      </c>
      <c r="C83" s="1" t="s">
        <v>51</v>
      </c>
      <c r="D83" s="1" t="s">
        <v>171</v>
      </c>
      <c r="E83">
        <v>14</v>
      </c>
      <c r="F83" s="2">
        <v>45450</v>
      </c>
      <c r="G83" s="1" t="str">
        <f>VLOOKUP(Summary_Laporan_Penjualan_20248[[#This Row],[ID_Pelanggan]], Data_Pelanggan[], 2, 0)</f>
        <v>Toko Musik Digital</v>
      </c>
      <c r="H83" s="1" t="str">
        <f>VLOOKUP(Summary_Laporan_Penjualan_20248[[#This Row],[ID_Pelanggan]], Data_Pelanggan[], 4, 0)</f>
        <v>Denpasar</v>
      </c>
      <c r="I83" s="1" t="str">
        <f>VLOOKUP(Summary_Laporan_Penjualan_20248[[#This Row],[ID_Produk]], Data_Produk[], 6, 0)</f>
        <v>Depok</v>
      </c>
      <c r="J83" s="1">
        <f>VLOOKUP(Summary_Laporan_Penjualan_20248[[#This Row],[ID_Produk]], Data_Produk[], 7, 0)</f>
        <v>18000000</v>
      </c>
      <c r="K83" s="1">
        <f>VLOOKUP(Summary_Laporan_Penjualan_20248[[#This Row],[ID_Produk]], Data_Produk[], 8, 0)</f>
        <v>27603000</v>
      </c>
    </row>
    <row r="84" spans="1:11" x14ac:dyDescent="0.35">
      <c r="A84" s="1" t="s">
        <v>300</v>
      </c>
      <c r="B84" s="1" t="s">
        <v>109</v>
      </c>
      <c r="C84" s="1" t="s">
        <v>63</v>
      </c>
      <c r="D84" s="1" t="s">
        <v>128</v>
      </c>
      <c r="E84">
        <v>6</v>
      </c>
      <c r="F84" s="2">
        <v>45501</v>
      </c>
      <c r="G84" s="1" t="str">
        <f>VLOOKUP(Summary_Laporan_Penjualan_20248[[#This Row],[ID_Pelanggan]], Data_Pelanggan[], 2, 0)</f>
        <v>UD Makmur</v>
      </c>
      <c r="H84" s="1" t="str">
        <f>VLOOKUP(Summary_Laporan_Penjualan_20248[[#This Row],[ID_Pelanggan]], Data_Pelanggan[], 4, 0)</f>
        <v>Palembang</v>
      </c>
      <c r="I84" s="1" t="str">
        <f>VLOOKUP(Summary_Laporan_Penjualan_20248[[#This Row],[ID_Produk]], Data_Produk[], 6, 0)</f>
        <v>Semarang</v>
      </c>
      <c r="J84" s="1">
        <f>VLOOKUP(Summary_Laporan_Penjualan_20248[[#This Row],[ID_Produk]], Data_Produk[], 7, 0)</f>
        <v>2000000</v>
      </c>
      <c r="K84" s="1">
        <f>VLOOKUP(Summary_Laporan_Penjualan_20248[[#This Row],[ID_Produk]], Data_Produk[], 8, 0)</f>
        <v>3382000</v>
      </c>
    </row>
    <row r="85" spans="1:11" x14ac:dyDescent="0.35">
      <c r="A85" s="1" t="s">
        <v>302</v>
      </c>
      <c r="B85" s="1" t="s">
        <v>106</v>
      </c>
      <c r="C85" s="1" t="s">
        <v>45</v>
      </c>
      <c r="D85" s="1" t="s">
        <v>143</v>
      </c>
      <c r="E85">
        <v>10</v>
      </c>
      <c r="F85" s="2">
        <v>45399</v>
      </c>
      <c r="G85" s="1" t="str">
        <f>VLOOKUP(Summary_Laporan_Penjualan_20248[[#This Row],[ID_Pelanggan]], Data_Pelanggan[], 2, 0)</f>
        <v>CV Techno</v>
      </c>
      <c r="H85" s="1" t="str">
        <f>VLOOKUP(Summary_Laporan_Penjualan_20248[[#This Row],[ID_Pelanggan]], Data_Pelanggan[], 4, 0)</f>
        <v>Yogyakarta</v>
      </c>
      <c r="I85" s="1" t="str">
        <f>VLOOKUP(Summary_Laporan_Penjualan_20248[[#This Row],[ID_Produk]], Data_Produk[], 6, 0)</f>
        <v>Depok</v>
      </c>
      <c r="J85" s="1">
        <f>VLOOKUP(Summary_Laporan_Penjualan_20248[[#This Row],[ID_Produk]], Data_Produk[], 7, 0)</f>
        <v>300000</v>
      </c>
      <c r="K85" s="1">
        <f>VLOOKUP(Summary_Laporan_Penjualan_20248[[#This Row],[ID_Produk]], Data_Produk[], 8, 0)</f>
        <v>355000</v>
      </c>
    </row>
    <row r="86" spans="1:11" x14ac:dyDescent="0.35">
      <c r="A86" s="1" t="s">
        <v>304</v>
      </c>
      <c r="B86" s="1" t="s">
        <v>164</v>
      </c>
      <c r="C86" s="1" t="s">
        <v>35</v>
      </c>
      <c r="D86" s="1" t="s">
        <v>157</v>
      </c>
      <c r="E86">
        <v>6</v>
      </c>
      <c r="F86" s="2">
        <v>45600</v>
      </c>
      <c r="G86" s="1" t="str">
        <f>VLOOKUP(Summary_Laporan_Penjualan_20248[[#This Row],[ID_Pelanggan]], Data_Pelanggan[], 2, 0)</f>
        <v>PT Digital Nusantara</v>
      </c>
      <c r="H86" s="1" t="str">
        <f>VLOOKUP(Summary_Laporan_Penjualan_20248[[#This Row],[ID_Pelanggan]], Data_Pelanggan[], 4, 0)</f>
        <v>Jakarta</v>
      </c>
      <c r="I86" s="1" t="str">
        <f>VLOOKUP(Summary_Laporan_Penjualan_20248[[#This Row],[ID_Produk]], Data_Produk[], 6, 0)</f>
        <v>Jakarta</v>
      </c>
      <c r="J86" s="1">
        <f>VLOOKUP(Summary_Laporan_Penjualan_20248[[#This Row],[ID_Produk]], Data_Produk[], 7, 0)</f>
        <v>750000</v>
      </c>
      <c r="K86" s="1">
        <f>VLOOKUP(Summary_Laporan_Penjualan_20248[[#This Row],[ID_Produk]], Data_Produk[], 8, 0)</f>
        <v>971000</v>
      </c>
    </row>
    <row r="87" spans="1:11" x14ac:dyDescent="0.35">
      <c r="A87" s="1" t="s">
        <v>306</v>
      </c>
      <c r="B87" s="1" t="s">
        <v>191</v>
      </c>
      <c r="C87" s="1" t="s">
        <v>51</v>
      </c>
      <c r="D87" s="1" t="s">
        <v>124</v>
      </c>
      <c r="E87">
        <v>11</v>
      </c>
      <c r="F87" s="2">
        <v>45637</v>
      </c>
      <c r="G87" s="1" t="str">
        <f>VLOOKUP(Summary_Laporan_Penjualan_20248[[#This Row],[ID_Pelanggan]], Data_Pelanggan[], 2, 0)</f>
        <v>Toko Musik Digital</v>
      </c>
      <c r="H87" s="1" t="str">
        <f>VLOOKUP(Summary_Laporan_Penjualan_20248[[#This Row],[ID_Pelanggan]], Data_Pelanggan[], 4, 0)</f>
        <v>Denpasar</v>
      </c>
      <c r="I87" s="1" t="str">
        <f>VLOOKUP(Summary_Laporan_Penjualan_20248[[#This Row],[ID_Produk]], Data_Produk[], 6, 0)</f>
        <v>Jakarta</v>
      </c>
      <c r="J87" s="1">
        <f>VLOOKUP(Summary_Laporan_Penjualan_20248[[#This Row],[ID_Produk]], Data_Produk[], 7, 0)</f>
        <v>12000000</v>
      </c>
      <c r="K87" s="1">
        <f>VLOOKUP(Summary_Laporan_Penjualan_20248[[#This Row],[ID_Produk]], Data_Produk[], 8, 0)</f>
        <v>13963000</v>
      </c>
    </row>
    <row r="88" spans="1:11" x14ac:dyDescent="0.35">
      <c r="A88" s="1" t="s">
        <v>308</v>
      </c>
      <c r="B88" s="1" t="s">
        <v>272</v>
      </c>
      <c r="C88" s="1" t="s">
        <v>63</v>
      </c>
      <c r="D88" s="1" t="s">
        <v>143</v>
      </c>
      <c r="E88">
        <v>8</v>
      </c>
      <c r="F88" s="2">
        <v>45419</v>
      </c>
      <c r="G88" s="1" t="str">
        <f>VLOOKUP(Summary_Laporan_Penjualan_20248[[#This Row],[ID_Pelanggan]], Data_Pelanggan[], 2, 0)</f>
        <v>UD Makmur</v>
      </c>
      <c r="H88" s="1" t="str">
        <f>VLOOKUP(Summary_Laporan_Penjualan_20248[[#This Row],[ID_Pelanggan]], Data_Pelanggan[], 4, 0)</f>
        <v>Palembang</v>
      </c>
      <c r="I88" s="1" t="str">
        <f>VLOOKUP(Summary_Laporan_Penjualan_20248[[#This Row],[ID_Produk]], Data_Produk[], 6, 0)</f>
        <v>Depok</v>
      </c>
      <c r="J88" s="1">
        <f>VLOOKUP(Summary_Laporan_Penjualan_20248[[#This Row],[ID_Produk]], Data_Produk[], 7, 0)</f>
        <v>650000</v>
      </c>
      <c r="K88" s="1">
        <f>VLOOKUP(Summary_Laporan_Penjualan_20248[[#This Row],[ID_Produk]], Data_Produk[], 8, 0)</f>
        <v>741000</v>
      </c>
    </row>
    <row r="89" spans="1:11" x14ac:dyDescent="0.35">
      <c r="A89" s="1" t="s">
        <v>310</v>
      </c>
      <c r="B89" s="1" t="s">
        <v>113</v>
      </c>
      <c r="C89" s="1" t="s">
        <v>8</v>
      </c>
      <c r="D89" s="1" t="s">
        <v>171</v>
      </c>
      <c r="E89">
        <v>8</v>
      </c>
      <c r="F89" s="2">
        <v>45586</v>
      </c>
      <c r="G89" s="1" t="str">
        <f>VLOOKUP(Summary_Laporan_Penjualan_20248[[#This Row],[ID_Pelanggan]], Data_Pelanggan[], 2, 0)</f>
        <v>PT Maju Jaya</v>
      </c>
      <c r="H89" s="1" t="str">
        <f>VLOOKUP(Summary_Laporan_Penjualan_20248[[#This Row],[ID_Pelanggan]], Data_Pelanggan[], 4, 0)</f>
        <v>Jakarta</v>
      </c>
      <c r="I89" s="1" t="str">
        <f>VLOOKUP(Summary_Laporan_Penjualan_20248[[#This Row],[ID_Produk]], Data_Produk[], 6, 0)</f>
        <v>Depok</v>
      </c>
      <c r="J89" s="1">
        <f>VLOOKUP(Summary_Laporan_Penjualan_20248[[#This Row],[ID_Produk]], Data_Produk[], 7, 0)</f>
        <v>4500000</v>
      </c>
      <c r="K89" s="1">
        <f>VLOOKUP(Summary_Laporan_Penjualan_20248[[#This Row],[ID_Produk]], Data_Produk[], 8, 0)</f>
        <v>5522000</v>
      </c>
    </row>
    <row r="90" spans="1:11" x14ac:dyDescent="0.35">
      <c r="A90" s="1" t="s">
        <v>312</v>
      </c>
      <c r="B90" s="1" t="s">
        <v>141</v>
      </c>
      <c r="C90" s="1" t="s">
        <v>69</v>
      </c>
      <c r="D90" s="1" t="s">
        <v>128</v>
      </c>
      <c r="E90">
        <v>6</v>
      </c>
      <c r="F90" s="2">
        <v>45368</v>
      </c>
      <c r="G90" s="1" t="str">
        <f>VLOOKUP(Summary_Laporan_Penjualan_20248[[#This Row],[ID_Pelanggan]], Data_Pelanggan[], 2, 0)</f>
        <v>PT Teknologi Prima</v>
      </c>
      <c r="H90" s="1" t="str">
        <f>VLOOKUP(Summary_Laporan_Penjualan_20248[[#This Row],[ID_Pelanggan]], Data_Pelanggan[], 4, 0)</f>
        <v>Jakarta</v>
      </c>
      <c r="I90" s="1" t="str">
        <f>VLOOKUP(Summary_Laporan_Penjualan_20248[[#This Row],[ID_Produk]], Data_Produk[], 6, 0)</f>
        <v>Semarang</v>
      </c>
      <c r="J90" s="1">
        <f>VLOOKUP(Summary_Laporan_Penjualan_20248[[#This Row],[ID_Produk]], Data_Produk[], 7, 0)</f>
        <v>400000</v>
      </c>
      <c r="K90" s="1">
        <f>VLOOKUP(Summary_Laporan_Penjualan_20248[[#This Row],[ID_Produk]], Data_Produk[], 8, 0)</f>
        <v>623000</v>
      </c>
    </row>
    <row r="91" spans="1:11" x14ac:dyDescent="0.35">
      <c r="A91" s="1" t="s">
        <v>315</v>
      </c>
      <c r="B91" s="1" t="s">
        <v>240</v>
      </c>
      <c r="C91" s="1" t="s">
        <v>35</v>
      </c>
      <c r="D91" s="1" t="s">
        <v>157</v>
      </c>
      <c r="E91">
        <v>3</v>
      </c>
      <c r="F91" s="2">
        <v>45305</v>
      </c>
      <c r="G91" s="1" t="str">
        <f>VLOOKUP(Summary_Laporan_Penjualan_20248[[#This Row],[ID_Pelanggan]], Data_Pelanggan[], 2, 0)</f>
        <v>PT Digital Nusantara</v>
      </c>
      <c r="H91" s="1" t="str">
        <f>VLOOKUP(Summary_Laporan_Penjualan_20248[[#This Row],[ID_Pelanggan]], Data_Pelanggan[], 4, 0)</f>
        <v>Jakarta</v>
      </c>
      <c r="I91" s="1" t="str">
        <f>VLOOKUP(Summary_Laporan_Penjualan_20248[[#This Row],[ID_Produk]], Data_Produk[], 6, 0)</f>
        <v>Semarang</v>
      </c>
      <c r="J91" s="1">
        <f>VLOOKUP(Summary_Laporan_Penjualan_20248[[#This Row],[ID_Produk]], Data_Produk[], 7, 0)</f>
        <v>350000</v>
      </c>
      <c r="K91" s="1">
        <f>VLOOKUP(Summary_Laporan_Penjualan_20248[[#This Row],[ID_Produk]], Data_Produk[], 8, 0)</f>
        <v>626000</v>
      </c>
    </row>
    <row r="92" spans="1:11" x14ac:dyDescent="0.35">
      <c r="A92" s="1" t="s">
        <v>317</v>
      </c>
      <c r="B92" s="1" t="s">
        <v>172</v>
      </c>
      <c r="C92" s="1" t="s">
        <v>35</v>
      </c>
      <c r="D92" s="1" t="s">
        <v>171</v>
      </c>
      <c r="E92">
        <v>10</v>
      </c>
      <c r="F92" s="2">
        <v>45624</v>
      </c>
      <c r="G92" s="1" t="str">
        <f>VLOOKUP(Summary_Laporan_Penjualan_20248[[#This Row],[ID_Pelanggan]], Data_Pelanggan[], 2, 0)</f>
        <v>PT Digital Nusantara</v>
      </c>
      <c r="H92" s="1" t="str">
        <f>VLOOKUP(Summary_Laporan_Penjualan_20248[[#This Row],[ID_Pelanggan]], Data_Pelanggan[], 4, 0)</f>
        <v>Jakarta</v>
      </c>
      <c r="I92" s="1" t="str">
        <f>VLOOKUP(Summary_Laporan_Penjualan_20248[[#This Row],[ID_Produk]], Data_Produk[], 6, 0)</f>
        <v>Semarang</v>
      </c>
      <c r="J92" s="1">
        <f>VLOOKUP(Summary_Laporan_Penjualan_20248[[#This Row],[ID_Produk]], Data_Produk[], 7, 0)</f>
        <v>950000</v>
      </c>
      <c r="K92" s="1">
        <f>VLOOKUP(Summary_Laporan_Penjualan_20248[[#This Row],[ID_Produk]], Data_Produk[], 8, 0)</f>
        <v>1649000</v>
      </c>
    </row>
    <row r="93" spans="1:11" x14ac:dyDescent="0.35">
      <c r="A93" s="1" t="s">
        <v>319</v>
      </c>
      <c r="B93" s="1" t="s">
        <v>191</v>
      </c>
      <c r="C93" s="1" t="s">
        <v>57</v>
      </c>
      <c r="D93" s="1" t="s">
        <v>143</v>
      </c>
      <c r="E93">
        <v>14</v>
      </c>
      <c r="F93" s="2">
        <v>45347</v>
      </c>
      <c r="G93" s="1" t="str">
        <f>VLOOKUP(Summary_Laporan_Penjualan_20248[[#This Row],[ID_Pelanggan]], Data_Pelanggan[], 2, 0)</f>
        <v>PT Karya Mandiri</v>
      </c>
      <c r="H93" s="1" t="str">
        <f>VLOOKUP(Summary_Laporan_Penjualan_20248[[#This Row],[ID_Pelanggan]], Data_Pelanggan[], 4, 0)</f>
        <v>Makassar</v>
      </c>
      <c r="I93" s="1" t="str">
        <f>VLOOKUP(Summary_Laporan_Penjualan_20248[[#This Row],[ID_Produk]], Data_Produk[], 6, 0)</f>
        <v>Jakarta</v>
      </c>
      <c r="J93" s="1">
        <f>VLOOKUP(Summary_Laporan_Penjualan_20248[[#This Row],[ID_Produk]], Data_Produk[], 7, 0)</f>
        <v>12000000</v>
      </c>
      <c r="K93" s="1">
        <f>VLOOKUP(Summary_Laporan_Penjualan_20248[[#This Row],[ID_Produk]], Data_Produk[], 8, 0)</f>
        <v>13963000</v>
      </c>
    </row>
    <row r="94" spans="1:11" x14ac:dyDescent="0.35">
      <c r="A94" s="1" t="s">
        <v>321</v>
      </c>
      <c r="B94" s="1" t="s">
        <v>111</v>
      </c>
      <c r="C94" s="1" t="s">
        <v>21</v>
      </c>
      <c r="D94" s="1" t="s">
        <v>143</v>
      </c>
      <c r="E94">
        <v>5</v>
      </c>
      <c r="F94" s="2">
        <v>45445</v>
      </c>
      <c r="G94" s="1" t="str">
        <f>VLOOKUP(Summary_Laporan_Penjualan_20248[[#This Row],[ID_Pelanggan]], Data_Pelanggan[], 2, 0)</f>
        <v>Toko Komputer Sejahtera</v>
      </c>
      <c r="H94" s="1" t="str">
        <f>VLOOKUP(Summary_Laporan_Penjualan_20248[[#This Row],[ID_Pelanggan]], Data_Pelanggan[], 4, 0)</f>
        <v>Surabaya</v>
      </c>
      <c r="I94" s="1" t="str">
        <f>VLOOKUP(Summary_Laporan_Penjualan_20248[[#This Row],[ID_Produk]], Data_Produk[], 6, 0)</f>
        <v>Depok</v>
      </c>
      <c r="J94" s="1">
        <f>VLOOKUP(Summary_Laporan_Penjualan_20248[[#This Row],[ID_Produk]], Data_Produk[], 7, 0)</f>
        <v>18000000</v>
      </c>
      <c r="K94" s="1">
        <f>VLOOKUP(Summary_Laporan_Penjualan_20248[[#This Row],[ID_Produk]], Data_Produk[], 8, 0)</f>
        <v>27603000</v>
      </c>
    </row>
    <row r="95" spans="1:11" x14ac:dyDescent="0.35">
      <c r="A95" s="1" t="s">
        <v>323</v>
      </c>
      <c r="B95" s="1" t="s">
        <v>240</v>
      </c>
      <c r="C95" s="1" t="s">
        <v>15</v>
      </c>
      <c r="D95" s="1" t="s">
        <v>171</v>
      </c>
      <c r="E95">
        <v>2</v>
      </c>
      <c r="F95" s="2">
        <v>45423</v>
      </c>
      <c r="G95" s="1" t="str">
        <f>VLOOKUP(Summary_Laporan_Penjualan_20248[[#This Row],[ID_Pelanggan]], Data_Pelanggan[], 2, 0)</f>
        <v>CV Berkah</v>
      </c>
      <c r="H95" s="1" t="str">
        <f>VLOOKUP(Summary_Laporan_Penjualan_20248[[#This Row],[ID_Pelanggan]], Data_Pelanggan[], 4, 0)</f>
        <v>Bandung</v>
      </c>
      <c r="I95" s="1" t="str">
        <f>VLOOKUP(Summary_Laporan_Penjualan_20248[[#This Row],[ID_Produk]], Data_Produk[], 6, 0)</f>
        <v>Semarang</v>
      </c>
      <c r="J95" s="1">
        <f>VLOOKUP(Summary_Laporan_Penjualan_20248[[#This Row],[ID_Produk]], Data_Produk[], 7, 0)</f>
        <v>350000</v>
      </c>
      <c r="K95" s="1">
        <f>VLOOKUP(Summary_Laporan_Penjualan_20248[[#This Row],[ID_Produk]], Data_Produk[], 8, 0)</f>
        <v>626000</v>
      </c>
    </row>
    <row r="96" spans="1:11" x14ac:dyDescent="0.35">
      <c r="A96" s="1" t="s">
        <v>325</v>
      </c>
      <c r="B96" s="1" t="s">
        <v>141</v>
      </c>
      <c r="C96" s="1" t="s">
        <v>8</v>
      </c>
      <c r="D96" s="1" t="s">
        <v>143</v>
      </c>
      <c r="E96">
        <v>15</v>
      </c>
      <c r="F96" s="2">
        <v>45396</v>
      </c>
      <c r="G96" s="1" t="str">
        <f>VLOOKUP(Summary_Laporan_Penjualan_20248[[#This Row],[ID_Pelanggan]], Data_Pelanggan[], 2, 0)</f>
        <v>PT Maju Jaya</v>
      </c>
      <c r="H96" s="1" t="str">
        <f>VLOOKUP(Summary_Laporan_Penjualan_20248[[#This Row],[ID_Pelanggan]], Data_Pelanggan[], 4, 0)</f>
        <v>Jakarta</v>
      </c>
      <c r="I96" s="1" t="str">
        <f>VLOOKUP(Summary_Laporan_Penjualan_20248[[#This Row],[ID_Produk]], Data_Produk[], 6, 0)</f>
        <v>Semarang</v>
      </c>
      <c r="J96" s="1">
        <f>VLOOKUP(Summary_Laporan_Penjualan_20248[[#This Row],[ID_Produk]], Data_Produk[], 7, 0)</f>
        <v>400000</v>
      </c>
      <c r="K96" s="1">
        <f>VLOOKUP(Summary_Laporan_Penjualan_20248[[#This Row],[ID_Produk]], Data_Produk[], 8, 0)</f>
        <v>623000</v>
      </c>
    </row>
    <row r="97" spans="1:11" x14ac:dyDescent="0.35">
      <c r="A97" s="1" t="s">
        <v>327</v>
      </c>
      <c r="B97" s="1" t="s">
        <v>188</v>
      </c>
      <c r="C97" s="1" t="s">
        <v>21</v>
      </c>
      <c r="D97" s="1" t="s">
        <v>171</v>
      </c>
      <c r="E97">
        <v>9</v>
      </c>
      <c r="F97" s="2">
        <v>45386</v>
      </c>
      <c r="G97" s="1" t="str">
        <f>VLOOKUP(Summary_Laporan_Penjualan_20248[[#This Row],[ID_Pelanggan]], Data_Pelanggan[], 2, 0)</f>
        <v>Toko Komputer Sejahtera</v>
      </c>
      <c r="H97" s="1" t="str">
        <f>VLOOKUP(Summary_Laporan_Penjualan_20248[[#This Row],[ID_Pelanggan]], Data_Pelanggan[], 4, 0)</f>
        <v>Surabaya</v>
      </c>
      <c r="I97" s="1" t="str">
        <f>VLOOKUP(Summary_Laporan_Penjualan_20248[[#This Row],[ID_Produk]], Data_Produk[], 6, 0)</f>
        <v>Semarang</v>
      </c>
      <c r="J97" s="1">
        <f>VLOOKUP(Summary_Laporan_Penjualan_20248[[#This Row],[ID_Produk]], Data_Produk[], 7, 0)</f>
        <v>2800000</v>
      </c>
      <c r="K97" s="1">
        <f>VLOOKUP(Summary_Laporan_Penjualan_20248[[#This Row],[ID_Produk]], Data_Produk[], 8, 0)</f>
        <v>4747000</v>
      </c>
    </row>
    <row r="98" spans="1:11" x14ac:dyDescent="0.35">
      <c r="A98" s="1" t="s">
        <v>329</v>
      </c>
      <c r="B98" s="1" t="s">
        <v>172</v>
      </c>
      <c r="C98" s="1" t="s">
        <v>78</v>
      </c>
      <c r="D98" s="1" t="s">
        <v>171</v>
      </c>
      <c r="E98">
        <v>6</v>
      </c>
      <c r="F98" s="2">
        <v>45422</v>
      </c>
      <c r="G98" s="1" t="str">
        <f>VLOOKUP(Summary_Laporan_Penjualan_20248[[#This Row],[ID_Pelanggan]], Data_Pelanggan[], 2, 0)</f>
        <v>CV Sinar Terang</v>
      </c>
      <c r="H98" s="1" t="str">
        <f>VLOOKUP(Summary_Laporan_Penjualan_20248[[#This Row],[ID_Pelanggan]], Data_Pelanggan[], 4, 0)</f>
        <v>Bandung</v>
      </c>
      <c r="I98" s="1" t="str">
        <f>VLOOKUP(Summary_Laporan_Penjualan_20248[[#This Row],[ID_Produk]], Data_Produk[], 6, 0)</f>
        <v>Semarang</v>
      </c>
      <c r="J98" s="1">
        <f>VLOOKUP(Summary_Laporan_Penjualan_20248[[#This Row],[ID_Produk]], Data_Produk[], 7, 0)</f>
        <v>950000</v>
      </c>
      <c r="K98" s="1">
        <f>VLOOKUP(Summary_Laporan_Penjualan_20248[[#This Row],[ID_Produk]], Data_Produk[], 8, 0)</f>
        <v>1649000</v>
      </c>
    </row>
    <row r="99" spans="1:11" x14ac:dyDescent="0.35">
      <c r="A99" s="1" t="s">
        <v>331</v>
      </c>
      <c r="B99" s="1" t="s">
        <v>191</v>
      </c>
      <c r="C99" s="1" t="s">
        <v>57</v>
      </c>
      <c r="D99" s="1" t="s">
        <v>121</v>
      </c>
      <c r="E99">
        <v>10</v>
      </c>
      <c r="F99" s="2">
        <v>45377</v>
      </c>
      <c r="G99" s="1" t="str">
        <f>VLOOKUP(Summary_Laporan_Penjualan_20248[[#This Row],[ID_Pelanggan]], Data_Pelanggan[], 2, 0)</f>
        <v>PT Karya Mandiri</v>
      </c>
      <c r="H99" s="1" t="str">
        <f>VLOOKUP(Summary_Laporan_Penjualan_20248[[#This Row],[ID_Pelanggan]], Data_Pelanggan[], 4, 0)</f>
        <v>Makassar</v>
      </c>
      <c r="I99" s="1" t="str">
        <f>VLOOKUP(Summary_Laporan_Penjualan_20248[[#This Row],[ID_Produk]], Data_Produk[], 6, 0)</f>
        <v>Jakarta</v>
      </c>
      <c r="J99" s="1">
        <f>VLOOKUP(Summary_Laporan_Penjualan_20248[[#This Row],[ID_Produk]], Data_Produk[], 7, 0)</f>
        <v>12000000</v>
      </c>
      <c r="K99" s="1">
        <f>VLOOKUP(Summary_Laporan_Penjualan_20248[[#This Row],[ID_Produk]], Data_Produk[], 8, 0)</f>
        <v>13963000</v>
      </c>
    </row>
    <row r="100" spans="1:11" x14ac:dyDescent="0.35">
      <c r="A100" s="1" t="s">
        <v>333</v>
      </c>
      <c r="B100" s="1" t="s">
        <v>188</v>
      </c>
      <c r="C100" s="1" t="s">
        <v>21</v>
      </c>
      <c r="D100" s="1" t="s">
        <v>124</v>
      </c>
      <c r="E100">
        <v>7</v>
      </c>
      <c r="F100" s="2">
        <v>45447</v>
      </c>
      <c r="G100" s="1" t="str">
        <f>VLOOKUP(Summary_Laporan_Penjualan_20248[[#This Row],[ID_Pelanggan]], Data_Pelanggan[], 2, 0)</f>
        <v>Toko Komputer Sejahtera</v>
      </c>
      <c r="H100" s="1" t="str">
        <f>VLOOKUP(Summary_Laporan_Penjualan_20248[[#This Row],[ID_Pelanggan]], Data_Pelanggan[], 4, 0)</f>
        <v>Surabaya</v>
      </c>
      <c r="I100" s="1" t="str">
        <f>VLOOKUP(Summary_Laporan_Penjualan_20248[[#This Row],[ID_Produk]], Data_Produk[], 6, 0)</f>
        <v>Semarang</v>
      </c>
      <c r="J100" s="1">
        <f>VLOOKUP(Summary_Laporan_Penjualan_20248[[#This Row],[ID_Produk]], Data_Produk[], 7, 0)</f>
        <v>2800000</v>
      </c>
      <c r="K100" s="1">
        <f>VLOOKUP(Summary_Laporan_Penjualan_20248[[#This Row],[ID_Produk]], Data_Produk[], 8, 0)</f>
        <v>4747000</v>
      </c>
    </row>
    <row r="101" spans="1:11" x14ac:dyDescent="0.35">
      <c r="A101" s="1" t="s">
        <v>335</v>
      </c>
      <c r="B101" s="1" t="s">
        <v>172</v>
      </c>
      <c r="C101" s="1" t="s">
        <v>57</v>
      </c>
      <c r="D101" s="1" t="s">
        <v>121</v>
      </c>
      <c r="E101">
        <v>12</v>
      </c>
      <c r="F101" s="2">
        <v>45353</v>
      </c>
      <c r="G101" s="1" t="str">
        <f>VLOOKUP(Summary_Laporan_Penjualan_20248[[#This Row],[ID_Pelanggan]], Data_Pelanggan[], 2, 0)</f>
        <v>PT Karya Mandiri</v>
      </c>
      <c r="H101" s="1" t="str">
        <f>VLOOKUP(Summary_Laporan_Penjualan_20248[[#This Row],[ID_Pelanggan]], Data_Pelanggan[], 4, 0)</f>
        <v>Makassar</v>
      </c>
      <c r="I101" s="1" t="str">
        <f>VLOOKUP(Summary_Laporan_Penjualan_20248[[#This Row],[ID_Produk]], Data_Produk[], 6, 0)</f>
        <v>Semarang</v>
      </c>
      <c r="J101" s="1">
        <f>VLOOKUP(Summary_Laporan_Penjualan_20248[[#This Row],[ID_Produk]], Data_Produk[], 7, 0)</f>
        <v>950000</v>
      </c>
      <c r="K101" s="1">
        <f>VLOOKUP(Summary_Laporan_Penjualan_20248[[#This Row],[ID_Produk]], Data_Produk[], 8, 0)</f>
        <v>1649000</v>
      </c>
    </row>
    <row r="102" spans="1:11" x14ac:dyDescent="0.35">
      <c r="A102" s="1" t="s">
        <v>337</v>
      </c>
      <c r="B102" s="1" t="s">
        <v>188</v>
      </c>
      <c r="C102" s="1" t="s">
        <v>57</v>
      </c>
      <c r="D102" s="1" t="s">
        <v>157</v>
      </c>
      <c r="E102">
        <v>3</v>
      </c>
      <c r="F102" s="2">
        <v>45383</v>
      </c>
      <c r="G102" s="1" t="str">
        <f>VLOOKUP(Summary_Laporan_Penjualan_20248[[#This Row],[ID_Pelanggan]], Data_Pelanggan[], 2, 0)</f>
        <v>PT Karya Mandiri</v>
      </c>
      <c r="H102" s="1" t="str">
        <f>VLOOKUP(Summary_Laporan_Penjualan_20248[[#This Row],[ID_Pelanggan]], Data_Pelanggan[], 4, 0)</f>
        <v>Makassar</v>
      </c>
      <c r="I102" s="1" t="str">
        <f>VLOOKUP(Summary_Laporan_Penjualan_20248[[#This Row],[ID_Produk]], Data_Produk[], 6, 0)</f>
        <v>Semarang</v>
      </c>
      <c r="J102" s="1">
        <f>VLOOKUP(Summary_Laporan_Penjualan_20248[[#This Row],[ID_Produk]], Data_Produk[], 7, 0)</f>
        <v>2800000</v>
      </c>
      <c r="K102" s="1">
        <f>VLOOKUP(Summary_Laporan_Penjualan_20248[[#This Row],[ID_Produk]], Data_Produk[], 8, 0)</f>
        <v>4747000</v>
      </c>
    </row>
    <row r="103" spans="1:11" x14ac:dyDescent="0.35">
      <c r="A103" s="1" t="s">
        <v>339</v>
      </c>
      <c r="B103" s="1" t="s">
        <v>172</v>
      </c>
      <c r="C103" s="1" t="s">
        <v>78</v>
      </c>
      <c r="D103" s="1" t="s">
        <v>143</v>
      </c>
      <c r="E103">
        <v>4</v>
      </c>
      <c r="F103" s="2">
        <v>45511</v>
      </c>
      <c r="G103" s="1" t="str">
        <f>VLOOKUP(Summary_Laporan_Penjualan_20248[[#This Row],[ID_Pelanggan]], Data_Pelanggan[], 2, 0)</f>
        <v>CV Sinar Terang</v>
      </c>
      <c r="H103" s="1" t="str">
        <f>VLOOKUP(Summary_Laporan_Penjualan_20248[[#This Row],[ID_Pelanggan]], Data_Pelanggan[], 4, 0)</f>
        <v>Bandung</v>
      </c>
      <c r="I103" s="1" t="str">
        <f>VLOOKUP(Summary_Laporan_Penjualan_20248[[#This Row],[ID_Produk]], Data_Produk[], 6, 0)</f>
        <v>Semarang</v>
      </c>
      <c r="J103" s="1">
        <f>VLOOKUP(Summary_Laporan_Penjualan_20248[[#This Row],[ID_Produk]], Data_Produk[], 7, 0)</f>
        <v>950000</v>
      </c>
      <c r="K103" s="1">
        <f>VLOOKUP(Summary_Laporan_Penjualan_20248[[#This Row],[ID_Produk]], Data_Produk[], 8, 0)</f>
        <v>1649000</v>
      </c>
    </row>
    <row r="104" spans="1:11" x14ac:dyDescent="0.35">
      <c r="A104" s="1" t="s">
        <v>341</v>
      </c>
      <c r="B104" s="1" t="s">
        <v>109</v>
      </c>
      <c r="C104" s="1" t="s">
        <v>35</v>
      </c>
      <c r="D104" s="1" t="s">
        <v>157</v>
      </c>
      <c r="E104">
        <v>4</v>
      </c>
      <c r="F104" s="2">
        <v>45533</v>
      </c>
      <c r="G104" s="1" t="str">
        <f>VLOOKUP(Summary_Laporan_Penjualan_20248[[#This Row],[ID_Pelanggan]], Data_Pelanggan[], 2, 0)</f>
        <v>PT Digital Nusantara</v>
      </c>
      <c r="H104" s="1" t="str">
        <f>VLOOKUP(Summary_Laporan_Penjualan_20248[[#This Row],[ID_Pelanggan]], Data_Pelanggan[], 4, 0)</f>
        <v>Jakarta</v>
      </c>
      <c r="I104" s="1" t="str">
        <f>VLOOKUP(Summary_Laporan_Penjualan_20248[[#This Row],[ID_Produk]], Data_Produk[], 6, 0)</f>
        <v>Semarang</v>
      </c>
      <c r="J104" s="1">
        <f>VLOOKUP(Summary_Laporan_Penjualan_20248[[#This Row],[ID_Produk]], Data_Produk[], 7, 0)</f>
        <v>2000000</v>
      </c>
      <c r="K104" s="1">
        <f>VLOOKUP(Summary_Laporan_Penjualan_20248[[#This Row],[ID_Produk]], Data_Produk[], 8, 0)</f>
        <v>3382000</v>
      </c>
    </row>
    <row r="105" spans="1:11" x14ac:dyDescent="0.35">
      <c r="A105" s="1" t="s">
        <v>343</v>
      </c>
      <c r="B105" s="1" t="s">
        <v>173</v>
      </c>
      <c r="C105" s="1" t="s">
        <v>39</v>
      </c>
      <c r="D105" s="1" t="s">
        <v>171</v>
      </c>
      <c r="E105">
        <v>2</v>
      </c>
      <c r="F105" s="2">
        <v>45309</v>
      </c>
      <c r="G105" s="1" t="str">
        <f>VLOOKUP(Summary_Laporan_Penjualan_20248[[#This Row],[ID_Pelanggan]], Data_Pelanggan[], 2, 0)</f>
        <v>Toko Elektronik Jaya</v>
      </c>
      <c r="H105" s="1" t="str">
        <f>VLOOKUP(Summary_Laporan_Penjualan_20248[[#This Row],[ID_Pelanggan]], Data_Pelanggan[], 4, 0)</f>
        <v>Semarang</v>
      </c>
      <c r="I105" s="1" t="str">
        <f>VLOOKUP(Summary_Laporan_Penjualan_20248[[#This Row],[ID_Produk]], Data_Produk[], 6, 0)</f>
        <v>Depok</v>
      </c>
      <c r="J105" s="1">
        <f>VLOOKUP(Summary_Laporan_Penjualan_20248[[#This Row],[ID_Produk]], Data_Produk[], 7, 0)</f>
        <v>80000</v>
      </c>
      <c r="K105" s="1">
        <f>VLOOKUP(Summary_Laporan_Penjualan_20248[[#This Row],[ID_Produk]], Data_Produk[], 8, 0)</f>
        <v>92000</v>
      </c>
    </row>
    <row r="106" spans="1:11" x14ac:dyDescent="0.35">
      <c r="A106" s="1" t="s">
        <v>345</v>
      </c>
      <c r="B106" s="1" t="s">
        <v>116</v>
      </c>
      <c r="C106" s="1" t="s">
        <v>39</v>
      </c>
      <c r="D106" s="1" t="s">
        <v>128</v>
      </c>
      <c r="E106">
        <v>15</v>
      </c>
      <c r="F106" s="2">
        <v>45509</v>
      </c>
      <c r="G106" s="1" t="str">
        <f>VLOOKUP(Summary_Laporan_Penjualan_20248[[#This Row],[ID_Pelanggan]], Data_Pelanggan[], 2, 0)</f>
        <v>Toko Elektronik Jaya</v>
      </c>
      <c r="H106" s="1" t="str">
        <f>VLOOKUP(Summary_Laporan_Penjualan_20248[[#This Row],[ID_Pelanggan]], Data_Pelanggan[], 4, 0)</f>
        <v>Semarang</v>
      </c>
      <c r="I106" s="1" t="str">
        <f>VLOOKUP(Summary_Laporan_Penjualan_20248[[#This Row],[ID_Produk]], Data_Produk[], 6, 0)</f>
        <v>Depok</v>
      </c>
      <c r="J106" s="1">
        <f>VLOOKUP(Summary_Laporan_Penjualan_20248[[#This Row],[ID_Produk]], Data_Produk[], 7, 0)</f>
        <v>5000000</v>
      </c>
      <c r="K106" s="1">
        <f>VLOOKUP(Summary_Laporan_Penjualan_20248[[#This Row],[ID_Produk]], Data_Produk[], 8, 0)</f>
        <v>7546000</v>
      </c>
    </row>
    <row r="107" spans="1:11" x14ac:dyDescent="0.35">
      <c r="A107" s="1" t="s">
        <v>347</v>
      </c>
      <c r="B107" s="1" t="s">
        <v>240</v>
      </c>
      <c r="C107" s="1" t="s">
        <v>39</v>
      </c>
      <c r="D107" s="1" t="s">
        <v>128</v>
      </c>
      <c r="E107">
        <v>14</v>
      </c>
      <c r="F107" s="2">
        <v>45293</v>
      </c>
      <c r="G107" s="1" t="str">
        <f>VLOOKUP(Summary_Laporan_Penjualan_20248[[#This Row],[ID_Pelanggan]], Data_Pelanggan[], 2, 0)</f>
        <v>Toko Elektronik Jaya</v>
      </c>
      <c r="H107" s="1" t="str">
        <f>VLOOKUP(Summary_Laporan_Penjualan_20248[[#This Row],[ID_Pelanggan]], Data_Pelanggan[], 4, 0)</f>
        <v>Semarang</v>
      </c>
      <c r="I107" s="1" t="str">
        <f>VLOOKUP(Summary_Laporan_Penjualan_20248[[#This Row],[ID_Produk]], Data_Produk[], 6, 0)</f>
        <v>Semarang</v>
      </c>
      <c r="J107" s="1">
        <f>VLOOKUP(Summary_Laporan_Penjualan_20248[[#This Row],[ID_Produk]], Data_Produk[], 7, 0)</f>
        <v>350000</v>
      </c>
      <c r="K107" s="1">
        <f>VLOOKUP(Summary_Laporan_Penjualan_20248[[#This Row],[ID_Produk]], Data_Produk[], 8, 0)</f>
        <v>626000</v>
      </c>
    </row>
    <row r="108" spans="1:11" x14ac:dyDescent="0.35">
      <c r="A108" s="1" t="s">
        <v>349</v>
      </c>
      <c r="B108" s="1" t="s">
        <v>149</v>
      </c>
      <c r="C108" s="1" t="s">
        <v>63</v>
      </c>
      <c r="D108" s="1" t="s">
        <v>128</v>
      </c>
      <c r="E108">
        <v>10</v>
      </c>
      <c r="F108" s="2">
        <v>45380</v>
      </c>
      <c r="G108" s="1" t="str">
        <f>VLOOKUP(Summary_Laporan_Penjualan_20248[[#This Row],[ID_Pelanggan]], Data_Pelanggan[], 2, 0)</f>
        <v>UD Makmur</v>
      </c>
      <c r="H108" s="1" t="str">
        <f>VLOOKUP(Summary_Laporan_Penjualan_20248[[#This Row],[ID_Pelanggan]], Data_Pelanggan[], 4, 0)</f>
        <v>Palembang</v>
      </c>
      <c r="I108" s="1" t="str">
        <f>VLOOKUP(Summary_Laporan_Penjualan_20248[[#This Row],[ID_Produk]], Data_Produk[], 6, 0)</f>
        <v>Semarang</v>
      </c>
      <c r="J108" s="1">
        <f>VLOOKUP(Summary_Laporan_Penjualan_20248[[#This Row],[ID_Produk]], Data_Produk[], 7, 0)</f>
        <v>100000</v>
      </c>
      <c r="K108" s="1">
        <f>VLOOKUP(Summary_Laporan_Penjualan_20248[[#This Row],[ID_Produk]], Data_Produk[], 8, 0)</f>
        <v>169000</v>
      </c>
    </row>
    <row r="109" spans="1:11" x14ac:dyDescent="0.35">
      <c r="A109" s="1" t="s">
        <v>351</v>
      </c>
      <c r="B109" s="1" t="s">
        <v>168</v>
      </c>
      <c r="C109" s="1" t="s">
        <v>69</v>
      </c>
      <c r="D109" s="1" t="s">
        <v>143</v>
      </c>
      <c r="E109">
        <v>14</v>
      </c>
      <c r="F109" s="2">
        <v>45627</v>
      </c>
      <c r="G109" s="1" t="str">
        <f>VLOOKUP(Summary_Laporan_Penjualan_20248[[#This Row],[ID_Pelanggan]], Data_Pelanggan[], 2, 0)</f>
        <v>PT Teknologi Prima</v>
      </c>
      <c r="H109" s="1" t="str">
        <f>VLOOKUP(Summary_Laporan_Penjualan_20248[[#This Row],[ID_Pelanggan]], Data_Pelanggan[], 4, 0)</f>
        <v>Jakarta</v>
      </c>
      <c r="I109" s="1" t="str">
        <f>VLOOKUP(Summary_Laporan_Penjualan_20248[[#This Row],[ID_Produk]], Data_Produk[], 6, 0)</f>
        <v>Semarang</v>
      </c>
      <c r="J109" s="1">
        <f>VLOOKUP(Summary_Laporan_Penjualan_20248[[#This Row],[ID_Produk]], Data_Produk[], 7, 0)</f>
        <v>500000</v>
      </c>
      <c r="K109" s="1">
        <f>VLOOKUP(Summary_Laporan_Penjualan_20248[[#This Row],[ID_Produk]], Data_Produk[], 8, 0)</f>
        <v>844000</v>
      </c>
    </row>
    <row r="110" spans="1:11" x14ac:dyDescent="0.35">
      <c r="A110" s="1" t="s">
        <v>353</v>
      </c>
      <c r="B110" s="1" t="s">
        <v>197</v>
      </c>
      <c r="C110" s="1" t="s">
        <v>8</v>
      </c>
      <c r="D110" s="1" t="s">
        <v>124</v>
      </c>
      <c r="E110">
        <v>12</v>
      </c>
      <c r="F110" s="2">
        <v>45563</v>
      </c>
      <c r="G110" s="1" t="str">
        <f>VLOOKUP(Summary_Laporan_Penjualan_20248[[#This Row],[ID_Pelanggan]], Data_Pelanggan[], 2, 0)</f>
        <v>PT Maju Jaya</v>
      </c>
      <c r="H110" s="1" t="str">
        <f>VLOOKUP(Summary_Laporan_Penjualan_20248[[#This Row],[ID_Pelanggan]], Data_Pelanggan[], 4, 0)</f>
        <v>Jakarta</v>
      </c>
      <c r="I110" s="1" t="str">
        <f>VLOOKUP(Summary_Laporan_Penjualan_20248[[#This Row],[ID_Produk]], Data_Produk[], 6, 0)</f>
        <v>Jakarta</v>
      </c>
      <c r="J110" s="1">
        <f>VLOOKUP(Summary_Laporan_Penjualan_20248[[#This Row],[ID_Produk]], Data_Produk[], 7, 0)</f>
        <v>1200000</v>
      </c>
      <c r="K110" s="1">
        <f>VLOOKUP(Summary_Laporan_Penjualan_20248[[#This Row],[ID_Produk]], Data_Produk[], 8, 0)</f>
        <v>1375000</v>
      </c>
    </row>
    <row r="111" spans="1:11" x14ac:dyDescent="0.35">
      <c r="A111" s="1" t="s">
        <v>355</v>
      </c>
      <c r="B111" s="1" t="s">
        <v>106</v>
      </c>
      <c r="C111" s="1" t="s">
        <v>63</v>
      </c>
      <c r="D111" s="1" t="s">
        <v>157</v>
      </c>
      <c r="E111">
        <v>13</v>
      </c>
      <c r="F111" s="2">
        <v>45515</v>
      </c>
      <c r="G111" s="1" t="str">
        <f>VLOOKUP(Summary_Laporan_Penjualan_20248[[#This Row],[ID_Pelanggan]], Data_Pelanggan[], 2, 0)</f>
        <v>UD Makmur</v>
      </c>
      <c r="H111" s="1" t="str">
        <f>VLOOKUP(Summary_Laporan_Penjualan_20248[[#This Row],[ID_Pelanggan]], Data_Pelanggan[], 4, 0)</f>
        <v>Palembang</v>
      </c>
      <c r="I111" s="1" t="str">
        <f>VLOOKUP(Summary_Laporan_Penjualan_20248[[#This Row],[ID_Produk]], Data_Produk[], 6, 0)</f>
        <v>Depok</v>
      </c>
      <c r="J111" s="1">
        <f>VLOOKUP(Summary_Laporan_Penjualan_20248[[#This Row],[ID_Produk]], Data_Produk[], 7, 0)</f>
        <v>300000</v>
      </c>
      <c r="K111" s="1">
        <f>VLOOKUP(Summary_Laporan_Penjualan_20248[[#This Row],[ID_Produk]], Data_Produk[], 8, 0)</f>
        <v>355000</v>
      </c>
    </row>
    <row r="112" spans="1:11" x14ac:dyDescent="0.35">
      <c r="A112" s="1" t="s">
        <v>357</v>
      </c>
      <c r="B112" s="1" t="s">
        <v>172</v>
      </c>
      <c r="C112" s="1" t="s">
        <v>21</v>
      </c>
      <c r="D112" s="1" t="s">
        <v>128</v>
      </c>
      <c r="E112">
        <v>10</v>
      </c>
      <c r="F112" s="2">
        <v>45393</v>
      </c>
      <c r="G112" s="1" t="str">
        <f>VLOOKUP(Summary_Laporan_Penjualan_20248[[#This Row],[ID_Pelanggan]], Data_Pelanggan[], 2, 0)</f>
        <v>Toko Komputer Sejahtera</v>
      </c>
      <c r="H112" s="1" t="str">
        <f>VLOOKUP(Summary_Laporan_Penjualan_20248[[#This Row],[ID_Pelanggan]], Data_Pelanggan[], 4, 0)</f>
        <v>Surabaya</v>
      </c>
      <c r="I112" s="1" t="str">
        <f>VLOOKUP(Summary_Laporan_Penjualan_20248[[#This Row],[ID_Produk]], Data_Produk[], 6, 0)</f>
        <v>Semarang</v>
      </c>
      <c r="J112" s="1">
        <f>VLOOKUP(Summary_Laporan_Penjualan_20248[[#This Row],[ID_Produk]], Data_Produk[], 7, 0)</f>
        <v>950000</v>
      </c>
      <c r="K112" s="1">
        <f>VLOOKUP(Summary_Laporan_Penjualan_20248[[#This Row],[ID_Produk]], Data_Produk[], 8, 0)</f>
        <v>1649000</v>
      </c>
    </row>
    <row r="113" spans="1:11" x14ac:dyDescent="0.35">
      <c r="A113" s="1" t="s">
        <v>359</v>
      </c>
      <c r="B113" s="1" t="s">
        <v>149</v>
      </c>
      <c r="C113" s="1" t="s">
        <v>82</v>
      </c>
      <c r="D113" s="1" t="s">
        <v>143</v>
      </c>
      <c r="E113">
        <v>7</v>
      </c>
      <c r="F113" s="2">
        <v>45432</v>
      </c>
      <c r="G113" s="1" t="str">
        <f>VLOOKUP(Summary_Laporan_Penjualan_20248[[#This Row],[ID_Pelanggan]], Data_Pelanggan[], 2, 0)</f>
        <v>Toko Komputer Maju</v>
      </c>
      <c r="H113" s="1" t="str">
        <f>VLOOKUP(Summary_Laporan_Penjualan_20248[[#This Row],[ID_Pelanggan]], Data_Pelanggan[], 4, 0)</f>
        <v>Solo</v>
      </c>
      <c r="I113" s="1" t="str">
        <f>VLOOKUP(Summary_Laporan_Penjualan_20248[[#This Row],[ID_Produk]], Data_Produk[], 6, 0)</f>
        <v>Semarang</v>
      </c>
      <c r="J113" s="1">
        <f>VLOOKUP(Summary_Laporan_Penjualan_20248[[#This Row],[ID_Produk]], Data_Produk[], 7, 0)</f>
        <v>100000</v>
      </c>
      <c r="K113" s="1">
        <f>VLOOKUP(Summary_Laporan_Penjualan_20248[[#This Row],[ID_Produk]], Data_Produk[], 8, 0)</f>
        <v>169000</v>
      </c>
    </row>
    <row r="114" spans="1:11" x14ac:dyDescent="0.35">
      <c r="A114" s="1" t="s">
        <v>361</v>
      </c>
      <c r="B114" s="1" t="s">
        <v>109</v>
      </c>
      <c r="C114" s="1" t="s">
        <v>8</v>
      </c>
      <c r="D114" s="1" t="s">
        <v>121</v>
      </c>
      <c r="E114">
        <v>15</v>
      </c>
      <c r="F114" s="2">
        <v>45328</v>
      </c>
      <c r="G114" s="1" t="str">
        <f>VLOOKUP(Summary_Laporan_Penjualan_20248[[#This Row],[ID_Pelanggan]], Data_Pelanggan[], 2, 0)</f>
        <v>PT Maju Jaya</v>
      </c>
      <c r="H114" s="1" t="str">
        <f>VLOOKUP(Summary_Laporan_Penjualan_20248[[#This Row],[ID_Pelanggan]], Data_Pelanggan[], 4, 0)</f>
        <v>Jakarta</v>
      </c>
      <c r="I114" s="1" t="str">
        <f>VLOOKUP(Summary_Laporan_Penjualan_20248[[#This Row],[ID_Produk]], Data_Produk[], 6, 0)</f>
        <v>Semarang</v>
      </c>
      <c r="J114" s="1">
        <f>VLOOKUP(Summary_Laporan_Penjualan_20248[[#This Row],[ID_Produk]], Data_Produk[], 7, 0)</f>
        <v>2000000</v>
      </c>
      <c r="K114" s="1">
        <f>VLOOKUP(Summary_Laporan_Penjualan_20248[[#This Row],[ID_Produk]], Data_Produk[], 8, 0)</f>
        <v>3382000</v>
      </c>
    </row>
    <row r="115" spans="1:11" x14ac:dyDescent="0.35">
      <c r="A115" s="1" t="s">
        <v>363</v>
      </c>
      <c r="B115" s="1" t="s">
        <v>137</v>
      </c>
      <c r="C115" s="1" t="s">
        <v>69</v>
      </c>
      <c r="D115" s="1" t="s">
        <v>128</v>
      </c>
      <c r="E115">
        <v>13</v>
      </c>
      <c r="F115" s="2">
        <v>45535</v>
      </c>
      <c r="G115" s="1" t="str">
        <f>VLOOKUP(Summary_Laporan_Penjualan_20248[[#This Row],[ID_Pelanggan]], Data_Pelanggan[], 2, 0)</f>
        <v>PT Teknologi Prima</v>
      </c>
      <c r="H115" s="1" t="str">
        <f>VLOOKUP(Summary_Laporan_Penjualan_20248[[#This Row],[ID_Pelanggan]], Data_Pelanggan[], 4, 0)</f>
        <v>Jakarta</v>
      </c>
      <c r="I115" s="1" t="str">
        <f>VLOOKUP(Summary_Laporan_Penjualan_20248[[#This Row],[ID_Produk]], Data_Produk[], 6, 0)</f>
        <v>Jakarta</v>
      </c>
      <c r="J115" s="1">
        <f>VLOOKUP(Summary_Laporan_Penjualan_20248[[#This Row],[ID_Produk]], Data_Produk[], 7, 0)</f>
        <v>2000000</v>
      </c>
      <c r="K115" s="1">
        <f>VLOOKUP(Summary_Laporan_Penjualan_20248[[#This Row],[ID_Produk]], Data_Produk[], 8, 0)</f>
        <v>2533000</v>
      </c>
    </row>
    <row r="116" spans="1:11" x14ac:dyDescent="0.35">
      <c r="A116" s="1" t="s">
        <v>365</v>
      </c>
      <c r="B116" s="1" t="s">
        <v>106</v>
      </c>
      <c r="C116" s="1" t="s">
        <v>45</v>
      </c>
      <c r="D116" s="1" t="s">
        <v>157</v>
      </c>
      <c r="E116">
        <v>4</v>
      </c>
      <c r="F116" s="2">
        <v>45504</v>
      </c>
      <c r="G116" s="1" t="str">
        <f>VLOOKUP(Summary_Laporan_Penjualan_20248[[#This Row],[ID_Pelanggan]], Data_Pelanggan[], 2, 0)</f>
        <v>CV Techno</v>
      </c>
      <c r="H116" s="1" t="str">
        <f>VLOOKUP(Summary_Laporan_Penjualan_20248[[#This Row],[ID_Pelanggan]], Data_Pelanggan[], 4, 0)</f>
        <v>Yogyakarta</v>
      </c>
      <c r="I116" s="1" t="str">
        <f>VLOOKUP(Summary_Laporan_Penjualan_20248[[#This Row],[ID_Produk]], Data_Produk[], 6, 0)</f>
        <v>Depok</v>
      </c>
      <c r="J116" s="1">
        <f>VLOOKUP(Summary_Laporan_Penjualan_20248[[#This Row],[ID_Produk]], Data_Produk[], 7, 0)</f>
        <v>300000</v>
      </c>
      <c r="K116" s="1">
        <f>VLOOKUP(Summary_Laporan_Penjualan_20248[[#This Row],[ID_Produk]], Data_Produk[], 8, 0)</f>
        <v>355000</v>
      </c>
    </row>
    <row r="117" spans="1:11" x14ac:dyDescent="0.35">
      <c r="A117" s="1" t="s">
        <v>367</v>
      </c>
      <c r="B117" s="1" t="s">
        <v>248</v>
      </c>
      <c r="C117" s="1" t="s">
        <v>57</v>
      </c>
      <c r="D117" s="1" t="s">
        <v>121</v>
      </c>
      <c r="E117">
        <v>7</v>
      </c>
      <c r="F117" s="2">
        <v>45338</v>
      </c>
      <c r="G117" s="1" t="str">
        <f>VLOOKUP(Summary_Laporan_Penjualan_20248[[#This Row],[ID_Pelanggan]], Data_Pelanggan[], 2, 0)</f>
        <v>PT Karya Mandiri</v>
      </c>
      <c r="H117" s="1" t="str">
        <f>VLOOKUP(Summary_Laporan_Penjualan_20248[[#This Row],[ID_Pelanggan]], Data_Pelanggan[], 4, 0)</f>
        <v>Makassar</v>
      </c>
      <c r="I117" s="1" t="str">
        <f>VLOOKUP(Summary_Laporan_Penjualan_20248[[#This Row],[ID_Produk]], Data_Produk[], 6, 0)</f>
        <v>Semarang</v>
      </c>
      <c r="J117" s="1">
        <f>VLOOKUP(Summary_Laporan_Penjualan_20248[[#This Row],[ID_Produk]], Data_Produk[], 7, 0)</f>
        <v>250000</v>
      </c>
      <c r="K117" s="1">
        <f>VLOOKUP(Summary_Laporan_Penjualan_20248[[#This Row],[ID_Produk]], Data_Produk[], 8, 0)</f>
        <v>354000</v>
      </c>
    </row>
    <row r="118" spans="1:11" x14ac:dyDescent="0.35">
      <c r="A118" s="1" t="s">
        <v>369</v>
      </c>
      <c r="B118" s="1" t="s">
        <v>168</v>
      </c>
      <c r="C118" s="1" t="s">
        <v>57</v>
      </c>
      <c r="D118" s="1" t="s">
        <v>171</v>
      </c>
      <c r="E118">
        <v>9</v>
      </c>
      <c r="F118" s="2">
        <v>45566</v>
      </c>
      <c r="G118" s="1" t="str">
        <f>VLOOKUP(Summary_Laporan_Penjualan_20248[[#This Row],[ID_Pelanggan]], Data_Pelanggan[], 2, 0)</f>
        <v>PT Karya Mandiri</v>
      </c>
      <c r="H118" s="1" t="str">
        <f>VLOOKUP(Summary_Laporan_Penjualan_20248[[#This Row],[ID_Pelanggan]], Data_Pelanggan[], 4, 0)</f>
        <v>Makassar</v>
      </c>
      <c r="I118" s="1" t="str">
        <f>VLOOKUP(Summary_Laporan_Penjualan_20248[[#This Row],[ID_Produk]], Data_Produk[], 6, 0)</f>
        <v>Semarang</v>
      </c>
      <c r="J118" s="1">
        <f>VLOOKUP(Summary_Laporan_Penjualan_20248[[#This Row],[ID_Produk]], Data_Produk[], 7, 0)</f>
        <v>500000</v>
      </c>
      <c r="K118" s="1">
        <f>VLOOKUP(Summary_Laporan_Penjualan_20248[[#This Row],[ID_Produk]], Data_Produk[], 8, 0)</f>
        <v>844000</v>
      </c>
    </row>
    <row r="119" spans="1:11" x14ac:dyDescent="0.35">
      <c r="A119" s="1" t="s">
        <v>371</v>
      </c>
      <c r="B119" s="1" t="s">
        <v>197</v>
      </c>
      <c r="C119" s="1" t="s">
        <v>51</v>
      </c>
      <c r="D119" s="1" t="s">
        <v>124</v>
      </c>
      <c r="E119">
        <v>9</v>
      </c>
      <c r="F119" s="2">
        <v>45646</v>
      </c>
      <c r="G119" s="1" t="str">
        <f>VLOOKUP(Summary_Laporan_Penjualan_20248[[#This Row],[ID_Pelanggan]], Data_Pelanggan[], 2, 0)</f>
        <v>Toko Musik Digital</v>
      </c>
      <c r="H119" s="1" t="str">
        <f>VLOOKUP(Summary_Laporan_Penjualan_20248[[#This Row],[ID_Pelanggan]], Data_Pelanggan[], 4, 0)</f>
        <v>Denpasar</v>
      </c>
      <c r="I119" s="1" t="str">
        <f>VLOOKUP(Summary_Laporan_Penjualan_20248[[#This Row],[ID_Produk]], Data_Produk[], 6, 0)</f>
        <v>Jakarta</v>
      </c>
      <c r="J119" s="1">
        <f>VLOOKUP(Summary_Laporan_Penjualan_20248[[#This Row],[ID_Produk]], Data_Produk[], 7, 0)</f>
        <v>1200000</v>
      </c>
      <c r="K119" s="1">
        <f>VLOOKUP(Summary_Laporan_Penjualan_20248[[#This Row],[ID_Produk]], Data_Produk[], 8, 0)</f>
        <v>1375000</v>
      </c>
    </row>
    <row r="120" spans="1:11" x14ac:dyDescent="0.35">
      <c r="A120" s="1" t="s">
        <v>371</v>
      </c>
      <c r="B120" s="1" t="s">
        <v>116</v>
      </c>
      <c r="C120" s="1" t="s">
        <v>51</v>
      </c>
      <c r="D120" s="1" t="s">
        <v>124</v>
      </c>
      <c r="E120">
        <v>9</v>
      </c>
      <c r="F120" s="2">
        <v>45646</v>
      </c>
      <c r="G120" s="1" t="str">
        <f>VLOOKUP(Summary_Laporan_Penjualan_20248[[#This Row],[ID_Pelanggan]], Data_Pelanggan[], 2, 0)</f>
        <v>Toko Musik Digital</v>
      </c>
      <c r="H120" s="1" t="str">
        <f>VLOOKUP(Summary_Laporan_Penjualan_20248[[#This Row],[ID_Pelanggan]], Data_Pelanggan[], 4, 0)</f>
        <v>Denpasar</v>
      </c>
      <c r="I120" s="1" t="str">
        <f>VLOOKUP(Summary_Laporan_Penjualan_20248[[#This Row],[ID_Produk]], Data_Produk[], 6, 0)</f>
        <v>Depok</v>
      </c>
      <c r="J120" s="1">
        <f>VLOOKUP(Summary_Laporan_Penjualan_20248[[#This Row],[ID_Produk]], Data_Produk[], 7, 0)</f>
        <v>5000000</v>
      </c>
      <c r="K120" s="1">
        <f>VLOOKUP(Summary_Laporan_Penjualan_20248[[#This Row],[ID_Produk]], Data_Produk[], 8, 0)</f>
        <v>7546000</v>
      </c>
    </row>
    <row r="121" spans="1:11" x14ac:dyDescent="0.35">
      <c r="A121" s="1" t="s">
        <v>371</v>
      </c>
      <c r="B121" s="1" t="s">
        <v>133</v>
      </c>
      <c r="C121" s="1" t="s">
        <v>51</v>
      </c>
      <c r="D121" s="1" t="s">
        <v>124</v>
      </c>
      <c r="E121">
        <v>9</v>
      </c>
      <c r="F121" s="2">
        <v>45646</v>
      </c>
      <c r="G121" s="1" t="str">
        <f>VLOOKUP(Summary_Laporan_Penjualan_20248[[#This Row],[ID_Pelanggan]], Data_Pelanggan[], 2, 0)</f>
        <v>Toko Musik Digital</v>
      </c>
      <c r="H121" s="1" t="str">
        <f>VLOOKUP(Summary_Laporan_Penjualan_20248[[#This Row],[ID_Pelanggan]], Data_Pelanggan[], 4, 0)</f>
        <v>Denpasar</v>
      </c>
      <c r="I121" s="1" t="str">
        <f>VLOOKUP(Summary_Laporan_Penjualan_20248[[#This Row],[ID_Produk]], Data_Produk[], 6, 0)</f>
        <v>Jakarta</v>
      </c>
      <c r="J121" s="1">
        <f>VLOOKUP(Summary_Laporan_Penjualan_20248[[#This Row],[ID_Produk]], Data_Produk[], 7, 0)</f>
        <v>2500000</v>
      </c>
      <c r="K121" s="1">
        <f>VLOOKUP(Summary_Laporan_Penjualan_20248[[#This Row],[ID_Produk]], Data_Produk[], 8, 0)</f>
        <v>3080000</v>
      </c>
    </row>
    <row r="122" spans="1:11" x14ac:dyDescent="0.35">
      <c r="A122" s="1" t="s">
        <v>373</v>
      </c>
      <c r="B122" s="1" t="s">
        <v>106</v>
      </c>
      <c r="C122" s="1" t="s">
        <v>78</v>
      </c>
      <c r="D122" s="1" t="s">
        <v>171</v>
      </c>
      <c r="E122">
        <v>11</v>
      </c>
      <c r="F122" s="2">
        <v>45334</v>
      </c>
      <c r="G122" s="1" t="str">
        <f>VLOOKUP(Summary_Laporan_Penjualan_20248[[#This Row],[ID_Pelanggan]], Data_Pelanggan[], 2, 0)</f>
        <v>CV Sinar Terang</v>
      </c>
      <c r="H122" s="1" t="str">
        <f>VLOOKUP(Summary_Laporan_Penjualan_20248[[#This Row],[ID_Pelanggan]], Data_Pelanggan[], 4, 0)</f>
        <v>Bandung</v>
      </c>
      <c r="I122" s="1" t="str">
        <f>VLOOKUP(Summary_Laporan_Penjualan_20248[[#This Row],[ID_Produk]], Data_Produk[], 6, 0)</f>
        <v>Depok</v>
      </c>
      <c r="J122" s="1">
        <f>VLOOKUP(Summary_Laporan_Penjualan_20248[[#This Row],[ID_Produk]], Data_Produk[], 7, 0)</f>
        <v>300000</v>
      </c>
      <c r="K122" s="1">
        <f>VLOOKUP(Summary_Laporan_Penjualan_20248[[#This Row],[ID_Produk]], Data_Produk[], 8, 0)</f>
        <v>355000</v>
      </c>
    </row>
    <row r="123" spans="1:11" x14ac:dyDescent="0.35">
      <c r="A123" s="1" t="s">
        <v>375</v>
      </c>
      <c r="B123" s="1" t="s">
        <v>188</v>
      </c>
      <c r="C123" s="1" t="s">
        <v>21</v>
      </c>
      <c r="D123" s="1" t="s">
        <v>121</v>
      </c>
      <c r="E123">
        <v>6</v>
      </c>
      <c r="F123" s="2">
        <v>45637</v>
      </c>
      <c r="G123" s="1" t="str">
        <f>VLOOKUP(Summary_Laporan_Penjualan_20248[[#This Row],[ID_Pelanggan]], Data_Pelanggan[], 2, 0)</f>
        <v>Toko Komputer Sejahtera</v>
      </c>
      <c r="H123" s="1" t="str">
        <f>VLOOKUP(Summary_Laporan_Penjualan_20248[[#This Row],[ID_Pelanggan]], Data_Pelanggan[], 4, 0)</f>
        <v>Surabaya</v>
      </c>
      <c r="I123" s="1" t="str">
        <f>VLOOKUP(Summary_Laporan_Penjualan_20248[[#This Row],[ID_Produk]], Data_Produk[], 6, 0)</f>
        <v>Semarang</v>
      </c>
      <c r="J123" s="1">
        <f>VLOOKUP(Summary_Laporan_Penjualan_20248[[#This Row],[ID_Produk]], Data_Produk[], 7, 0)</f>
        <v>2800000</v>
      </c>
      <c r="K123" s="1">
        <f>VLOOKUP(Summary_Laporan_Penjualan_20248[[#This Row],[ID_Produk]], Data_Produk[], 8, 0)</f>
        <v>4747000</v>
      </c>
    </row>
    <row r="124" spans="1:11" x14ac:dyDescent="0.35">
      <c r="A124" s="1" t="s">
        <v>377</v>
      </c>
      <c r="B124" s="1" t="s">
        <v>164</v>
      </c>
      <c r="C124" s="1" t="s">
        <v>45</v>
      </c>
      <c r="D124" s="1" t="s">
        <v>124</v>
      </c>
      <c r="E124">
        <v>2</v>
      </c>
      <c r="F124" s="2">
        <v>45520</v>
      </c>
      <c r="G124" s="1" t="str">
        <f>VLOOKUP(Summary_Laporan_Penjualan_20248[[#This Row],[ID_Pelanggan]], Data_Pelanggan[], 2, 0)</f>
        <v>CV Techno</v>
      </c>
      <c r="H124" s="1" t="str">
        <f>VLOOKUP(Summary_Laporan_Penjualan_20248[[#This Row],[ID_Pelanggan]], Data_Pelanggan[], 4, 0)</f>
        <v>Yogyakarta</v>
      </c>
      <c r="I124" s="1" t="str">
        <f>VLOOKUP(Summary_Laporan_Penjualan_20248[[#This Row],[ID_Produk]], Data_Produk[], 6, 0)</f>
        <v>Jakarta</v>
      </c>
      <c r="J124" s="1">
        <f>VLOOKUP(Summary_Laporan_Penjualan_20248[[#This Row],[ID_Produk]], Data_Produk[], 7, 0)</f>
        <v>750000</v>
      </c>
      <c r="K124" s="1">
        <f>VLOOKUP(Summary_Laporan_Penjualan_20248[[#This Row],[ID_Produk]], Data_Produk[], 8, 0)</f>
        <v>971000</v>
      </c>
    </row>
    <row r="125" spans="1:11" x14ac:dyDescent="0.35">
      <c r="A125" s="1" t="s">
        <v>379</v>
      </c>
      <c r="B125" s="1" t="s">
        <v>248</v>
      </c>
      <c r="C125" s="1" t="s">
        <v>78</v>
      </c>
      <c r="D125" s="1" t="s">
        <v>124</v>
      </c>
      <c r="E125">
        <v>12</v>
      </c>
      <c r="F125" s="2">
        <v>45631</v>
      </c>
      <c r="G125" s="1" t="str">
        <f>VLOOKUP(Summary_Laporan_Penjualan_20248[[#This Row],[ID_Pelanggan]], Data_Pelanggan[], 2, 0)</f>
        <v>CV Sinar Terang</v>
      </c>
      <c r="H125" s="1" t="str">
        <f>VLOOKUP(Summary_Laporan_Penjualan_20248[[#This Row],[ID_Pelanggan]], Data_Pelanggan[], 4, 0)</f>
        <v>Bandung</v>
      </c>
      <c r="I125" s="1" t="str">
        <f>VLOOKUP(Summary_Laporan_Penjualan_20248[[#This Row],[ID_Produk]], Data_Produk[], 6, 0)</f>
        <v>Semarang</v>
      </c>
      <c r="J125" s="1">
        <f>VLOOKUP(Summary_Laporan_Penjualan_20248[[#This Row],[ID_Produk]], Data_Produk[], 7, 0)</f>
        <v>250000</v>
      </c>
      <c r="K125" s="1">
        <f>VLOOKUP(Summary_Laporan_Penjualan_20248[[#This Row],[ID_Produk]], Data_Produk[], 8, 0)</f>
        <v>354000</v>
      </c>
    </row>
    <row r="126" spans="1:11" x14ac:dyDescent="0.35">
      <c r="A126" s="1" t="s">
        <v>381</v>
      </c>
      <c r="B126" s="1" t="s">
        <v>197</v>
      </c>
      <c r="C126" s="1" t="s">
        <v>51</v>
      </c>
      <c r="D126" s="1" t="s">
        <v>121</v>
      </c>
      <c r="E126">
        <v>3</v>
      </c>
      <c r="F126" s="2">
        <v>45429</v>
      </c>
      <c r="G126" s="1" t="str">
        <f>VLOOKUP(Summary_Laporan_Penjualan_20248[[#This Row],[ID_Pelanggan]], Data_Pelanggan[], 2, 0)</f>
        <v>Toko Musik Digital</v>
      </c>
      <c r="H126" s="1" t="str">
        <f>VLOOKUP(Summary_Laporan_Penjualan_20248[[#This Row],[ID_Pelanggan]], Data_Pelanggan[], 4, 0)</f>
        <v>Denpasar</v>
      </c>
      <c r="I126" s="1" t="str">
        <f>VLOOKUP(Summary_Laporan_Penjualan_20248[[#This Row],[ID_Produk]], Data_Produk[], 6, 0)</f>
        <v>Jakarta</v>
      </c>
      <c r="J126" s="1">
        <f>VLOOKUP(Summary_Laporan_Penjualan_20248[[#This Row],[ID_Produk]], Data_Produk[], 7, 0)</f>
        <v>1200000</v>
      </c>
      <c r="K126" s="1">
        <f>VLOOKUP(Summary_Laporan_Penjualan_20248[[#This Row],[ID_Produk]], Data_Produk[], 8, 0)</f>
        <v>1375000</v>
      </c>
    </row>
    <row r="127" spans="1:11" x14ac:dyDescent="0.35">
      <c r="A127" s="1" t="s">
        <v>383</v>
      </c>
      <c r="B127" s="1" t="s">
        <v>173</v>
      </c>
      <c r="C127" s="1" t="s">
        <v>69</v>
      </c>
      <c r="D127" s="1" t="s">
        <v>157</v>
      </c>
      <c r="E127">
        <v>6</v>
      </c>
      <c r="F127" s="2">
        <v>45317</v>
      </c>
      <c r="G127" s="1" t="str">
        <f>VLOOKUP(Summary_Laporan_Penjualan_20248[[#This Row],[ID_Pelanggan]], Data_Pelanggan[], 2, 0)</f>
        <v>PT Teknologi Prima</v>
      </c>
      <c r="H127" s="1" t="str">
        <f>VLOOKUP(Summary_Laporan_Penjualan_20248[[#This Row],[ID_Pelanggan]], Data_Pelanggan[], 4, 0)</f>
        <v>Jakarta</v>
      </c>
      <c r="I127" s="1" t="str">
        <f>VLOOKUP(Summary_Laporan_Penjualan_20248[[#This Row],[ID_Produk]], Data_Produk[], 6, 0)</f>
        <v>Depok</v>
      </c>
      <c r="J127" s="1">
        <f>VLOOKUP(Summary_Laporan_Penjualan_20248[[#This Row],[ID_Produk]], Data_Produk[], 7, 0)</f>
        <v>80000</v>
      </c>
      <c r="K127" s="1">
        <f>VLOOKUP(Summary_Laporan_Penjualan_20248[[#This Row],[ID_Produk]], Data_Produk[], 8, 0)</f>
        <v>92000</v>
      </c>
    </row>
    <row r="128" spans="1:11" x14ac:dyDescent="0.35">
      <c r="A128" s="1" t="s">
        <v>385</v>
      </c>
      <c r="B128" s="1" t="s">
        <v>113</v>
      </c>
      <c r="C128" s="1" t="s">
        <v>29</v>
      </c>
      <c r="D128" s="1" t="s">
        <v>128</v>
      </c>
      <c r="E128">
        <v>1</v>
      </c>
      <c r="F128" s="2">
        <v>45297</v>
      </c>
      <c r="G128" s="1" t="str">
        <f>VLOOKUP(Summary_Laporan_Penjualan_20248[[#This Row],[ID_Pelanggan]], Data_Pelanggan[], 2, 0)</f>
        <v>UD Sentosa</v>
      </c>
      <c r="H128" s="1" t="str">
        <f>VLOOKUP(Summary_Laporan_Penjualan_20248[[#This Row],[ID_Pelanggan]], Data_Pelanggan[], 4, 0)</f>
        <v>Medan</v>
      </c>
      <c r="I128" s="1" t="str">
        <f>VLOOKUP(Summary_Laporan_Penjualan_20248[[#This Row],[ID_Produk]], Data_Produk[], 6, 0)</f>
        <v>Depok</v>
      </c>
      <c r="J128" s="1">
        <f>VLOOKUP(Summary_Laporan_Penjualan_20248[[#This Row],[ID_Produk]], Data_Produk[], 7, 0)</f>
        <v>4500000</v>
      </c>
      <c r="K128" s="1">
        <f>VLOOKUP(Summary_Laporan_Penjualan_20248[[#This Row],[ID_Produk]], Data_Produk[], 8, 0)</f>
        <v>5522000</v>
      </c>
    </row>
    <row r="129" spans="1:11" x14ac:dyDescent="0.35">
      <c r="A129" s="1" t="s">
        <v>387</v>
      </c>
      <c r="B129" s="1" t="s">
        <v>173</v>
      </c>
      <c r="C129" s="1" t="s">
        <v>29</v>
      </c>
      <c r="D129" s="1" t="s">
        <v>143</v>
      </c>
      <c r="E129">
        <v>10</v>
      </c>
      <c r="F129" s="2">
        <v>45329</v>
      </c>
      <c r="G129" s="1" t="str">
        <f>VLOOKUP(Summary_Laporan_Penjualan_20248[[#This Row],[ID_Pelanggan]], Data_Pelanggan[], 2, 0)</f>
        <v>UD Sentosa</v>
      </c>
      <c r="H129" s="1" t="str">
        <f>VLOOKUP(Summary_Laporan_Penjualan_20248[[#This Row],[ID_Pelanggan]], Data_Pelanggan[], 4, 0)</f>
        <v>Medan</v>
      </c>
      <c r="I129" s="1" t="str">
        <f>VLOOKUP(Summary_Laporan_Penjualan_20248[[#This Row],[ID_Produk]], Data_Produk[], 6, 0)</f>
        <v>Depok</v>
      </c>
      <c r="J129" s="1">
        <f>VLOOKUP(Summary_Laporan_Penjualan_20248[[#This Row],[ID_Produk]], Data_Produk[], 7, 0)</f>
        <v>80000</v>
      </c>
      <c r="K129" s="1">
        <f>VLOOKUP(Summary_Laporan_Penjualan_20248[[#This Row],[ID_Produk]], Data_Produk[], 8, 0)</f>
        <v>92000</v>
      </c>
    </row>
    <row r="130" spans="1:11" x14ac:dyDescent="0.35">
      <c r="A130" s="1" t="s">
        <v>389</v>
      </c>
      <c r="B130" s="1" t="s">
        <v>113</v>
      </c>
      <c r="C130" s="1" t="s">
        <v>82</v>
      </c>
      <c r="D130" s="1" t="s">
        <v>171</v>
      </c>
      <c r="E130">
        <v>10</v>
      </c>
      <c r="F130" s="2">
        <v>45539</v>
      </c>
      <c r="G130" s="1" t="str">
        <f>VLOOKUP(Summary_Laporan_Penjualan_20248[[#This Row],[ID_Pelanggan]], Data_Pelanggan[], 2, 0)</f>
        <v>Toko Komputer Maju</v>
      </c>
      <c r="H130" s="1" t="str">
        <f>VLOOKUP(Summary_Laporan_Penjualan_20248[[#This Row],[ID_Pelanggan]], Data_Pelanggan[], 4, 0)</f>
        <v>Solo</v>
      </c>
      <c r="I130" s="1" t="str">
        <f>VLOOKUP(Summary_Laporan_Penjualan_20248[[#This Row],[ID_Produk]], Data_Produk[], 6, 0)</f>
        <v>Depok</v>
      </c>
      <c r="J130" s="1">
        <f>VLOOKUP(Summary_Laporan_Penjualan_20248[[#This Row],[ID_Produk]], Data_Produk[], 7, 0)</f>
        <v>4500000</v>
      </c>
      <c r="K130" s="1">
        <f>VLOOKUP(Summary_Laporan_Penjualan_20248[[#This Row],[ID_Produk]], Data_Produk[], 8, 0)</f>
        <v>5522000</v>
      </c>
    </row>
    <row r="131" spans="1:11" x14ac:dyDescent="0.35">
      <c r="A131" s="1" t="s">
        <v>391</v>
      </c>
      <c r="B131" s="1" t="s">
        <v>248</v>
      </c>
      <c r="C131" s="1" t="s">
        <v>21</v>
      </c>
      <c r="D131" s="1" t="s">
        <v>157</v>
      </c>
      <c r="E131">
        <v>13</v>
      </c>
      <c r="F131" s="2">
        <v>45340</v>
      </c>
      <c r="G131" s="1" t="str">
        <f>VLOOKUP(Summary_Laporan_Penjualan_20248[[#This Row],[ID_Pelanggan]], Data_Pelanggan[], 2, 0)</f>
        <v>Toko Komputer Sejahtera</v>
      </c>
      <c r="H131" s="1" t="str">
        <f>VLOOKUP(Summary_Laporan_Penjualan_20248[[#This Row],[ID_Pelanggan]], Data_Pelanggan[], 4, 0)</f>
        <v>Surabaya</v>
      </c>
      <c r="I131" s="1" t="str">
        <f>VLOOKUP(Summary_Laporan_Penjualan_20248[[#This Row],[ID_Produk]], Data_Produk[], 6, 0)</f>
        <v>Semarang</v>
      </c>
      <c r="J131" s="1">
        <f>VLOOKUP(Summary_Laporan_Penjualan_20248[[#This Row],[ID_Produk]], Data_Produk[], 7, 0)</f>
        <v>250000</v>
      </c>
      <c r="K131" s="1">
        <f>VLOOKUP(Summary_Laporan_Penjualan_20248[[#This Row],[ID_Produk]], Data_Produk[], 8, 0)</f>
        <v>354000</v>
      </c>
    </row>
    <row r="132" spans="1:11" x14ac:dyDescent="0.35">
      <c r="A132" s="1" t="s">
        <v>393</v>
      </c>
      <c r="B132" s="1" t="s">
        <v>272</v>
      </c>
      <c r="C132" s="1" t="s">
        <v>29</v>
      </c>
      <c r="D132" s="1" t="s">
        <v>171</v>
      </c>
      <c r="E132">
        <v>9</v>
      </c>
      <c r="F132" s="2">
        <v>45460</v>
      </c>
      <c r="G132" s="1" t="str">
        <f>VLOOKUP(Summary_Laporan_Penjualan_20248[[#This Row],[ID_Pelanggan]], Data_Pelanggan[], 2, 0)</f>
        <v>UD Sentosa</v>
      </c>
      <c r="H132" s="1" t="str">
        <f>VLOOKUP(Summary_Laporan_Penjualan_20248[[#This Row],[ID_Pelanggan]], Data_Pelanggan[], 4, 0)</f>
        <v>Medan</v>
      </c>
      <c r="I132" s="1" t="str">
        <f>VLOOKUP(Summary_Laporan_Penjualan_20248[[#This Row],[ID_Produk]], Data_Produk[], 6, 0)</f>
        <v>Depok</v>
      </c>
      <c r="J132" s="1">
        <f>VLOOKUP(Summary_Laporan_Penjualan_20248[[#This Row],[ID_Produk]], Data_Produk[], 7, 0)</f>
        <v>650000</v>
      </c>
      <c r="K132" s="1">
        <f>VLOOKUP(Summary_Laporan_Penjualan_20248[[#This Row],[ID_Produk]], Data_Produk[], 8, 0)</f>
        <v>741000</v>
      </c>
    </row>
    <row r="133" spans="1:11" x14ac:dyDescent="0.35">
      <c r="A133" s="1" t="s">
        <v>395</v>
      </c>
      <c r="B133" s="1" t="s">
        <v>141</v>
      </c>
      <c r="C133" s="1" t="s">
        <v>51</v>
      </c>
      <c r="D133" s="1" t="s">
        <v>143</v>
      </c>
      <c r="E133">
        <v>8</v>
      </c>
      <c r="F133" s="2">
        <v>45480</v>
      </c>
      <c r="G133" s="1" t="str">
        <f>VLOOKUP(Summary_Laporan_Penjualan_20248[[#This Row],[ID_Pelanggan]], Data_Pelanggan[], 2, 0)</f>
        <v>Toko Musik Digital</v>
      </c>
      <c r="H133" s="1" t="str">
        <f>VLOOKUP(Summary_Laporan_Penjualan_20248[[#This Row],[ID_Pelanggan]], Data_Pelanggan[], 4, 0)</f>
        <v>Denpasar</v>
      </c>
      <c r="I133" s="1" t="str">
        <f>VLOOKUP(Summary_Laporan_Penjualan_20248[[#This Row],[ID_Produk]], Data_Produk[], 6, 0)</f>
        <v>Semarang</v>
      </c>
      <c r="J133" s="1">
        <f>VLOOKUP(Summary_Laporan_Penjualan_20248[[#This Row],[ID_Produk]], Data_Produk[], 7, 0)</f>
        <v>400000</v>
      </c>
      <c r="K133" s="1">
        <f>VLOOKUP(Summary_Laporan_Penjualan_20248[[#This Row],[ID_Produk]], Data_Produk[], 8, 0)</f>
        <v>623000</v>
      </c>
    </row>
    <row r="134" spans="1:11" x14ac:dyDescent="0.35">
      <c r="A134" s="1" t="s">
        <v>397</v>
      </c>
      <c r="B134" s="1" t="s">
        <v>149</v>
      </c>
      <c r="C134" s="1" t="s">
        <v>87</v>
      </c>
      <c r="D134" s="1" t="s">
        <v>124</v>
      </c>
      <c r="E134">
        <v>12</v>
      </c>
      <c r="F134" s="2">
        <v>45626</v>
      </c>
      <c r="G134" s="1" t="str">
        <f>VLOOKUP(Summary_Laporan_Penjualan_20248[[#This Row],[ID_Pelanggan]], Data_Pelanggan[], 2, 0)</f>
        <v>PT Indo Digital</v>
      </c>
      <c r="H134" s="1" t="str">
        <f>VLOOKUP(Summary_Laporan_Penjualan_20248[[#This Row],[ID_Pelanggan]], Data_Pelanggan[], 4, 0)</f>
        <v>Tangerang</v>
      </c>
      <c r="I134" s="1" t="str">
        <f>VLOOKUP(Summary_Laporan_Penjualan_20248[[#This Row],[ID_Produk]], Data_Produk[], 6, 0)</f>
        <v>Semarang</v>
      </c>
      <c r="J134" s="1">
        <f>VLOOKUP(Summary_Laporan_Penjualan_20248[[#This Row],[ID_Produk]], Data_Produk[], 7, 0)</f>
        <v>100000</v>
      </c>
      <c r="K134" s="1">
        <f>VLOOKUP(Summary_Laporan_Penjualan_20248[[#This Row],[ID_Produk]], Data_Produk[], 8, 0)</f>
        <v>169000</v>
      </c>
    </row>
    <row r="135" spans="1:11" x14ac:dyDescent="0.35">
      <c r="A135" s="1" t="s">
        <v>399</v>
      </c>
      <c r="B135" s="1" t="s">
        <v>188</v>
      </c>
      <c r="C135" s="1" t="s">
        <v>21</v>
      </c>
      <c r="D135" s="1" t="s">
        <v>157</v>
      </c>
      <c r="E135">
        <v>15</v>
      </c>
      <c r="F135" s="2">
        <v>45478</v>
      </c>
      <c r="G135" s="1" t="str">
        <f>VLOOKUP(Summary_Laporan_Penjualan_20248[[#This Row],[ID_Pelanggan]], Data_Pelanggan[], 2, 0)</f>
        <v>Toko Komputer Sejahtera</v>
      </c>
      <c r="H135" s="1" t="str">
        <f>VLOOKUP(Summary_Laporan_Penjualan_20248[[#This Row],[ID_Pelanggan]], Data_Pelanggan[], 4, 0)</f>
        <v>Surabaya</v>
      </c>
      <c r="I135" s="1" t="str">
        <f>VLOOKUP(Summary_Laporan_Penjualan_20248[[#This Row],[ID_Produk]], Data_Produk[], 6, 0)</f>
        <v>Semarang</v>
      </c>
      <c r="J135" s="1">
        <f>VLOOKUP(Summary_Laporan_Penjualan_20248[[#This Row],[ID_Produk]], Data_Produk[], 7, 0)</f>
        <v>2800000</v>
      </c>
      <c r="K135" s="1">
        <f>VLOOKUP(Summary_Laporan_Penjualan_20248[[#This Row],[ID_Produk]], Data_Produk[], 8, 0)</f>
        <v>4747000</v>
      </c>
    </row>
    <row r="136" spans="1:11" x14ac:dyDescent="0.35">
      <c r="A136" s="1" t="s">
        <v>401</v>
      </c>
      <c r="B136" s="1" t="s">
        <v>137</v>
      </c>
      <c r="C136" s="1" t="s">
        <v>57</v>
      </c>
      <c r="D136" s="1" t="s">
        <v>128</v>
      </c>
      <c r="E136">
        <v>11</v>
      </c>
      <c r="F136" s="2">
        <v>45302</v>
      </c>
      <c r="G136" s="1" t="str">
        <f>VLOOKUP(Summary_Laporan_Penjualan_20248[[#This Row],[ID_Pelanggan]], Data_Pelanggan[], 2, 0)</f>
        <v>PT Karya Mandiri</v>
      </c>
      <c r="H136" s="1" t="str">
        <f>VLOOKUP(Summary_Laporan_Penjualan_20248[[#This Row],[ID_Pelanggan]], Data_Pelanggan[], 4, 0)</f>
        <v>Makassar</v>
      </c>
      <c r="I136" s="1" t="str">
        <f>VLOOKUP(Summary_Laporan_Penjualan_20248[[#This Row],[ID_Produk]], Data_Produk[], 6, 0)</f>
        <v>Jakarta</v>
      </c>
      <c r="J136" s="1">
        <f>VLOOKUP(Summary_Laporan_Penjualan_20248[[#This Row],[ID_Produk]], Data_Produk[], 7, 0)</f>
        <v>2000000</v>
      </c>
      <c r="K136" s="1">
        <f>VLOOKUP(Summary_Laporan_Penjualan_20248[[#This Row],[ID_Produk]], Data_Produk[], 8, 0)</f>
        <v>2533000</v>
      </c>
    </row>
    <row r="137" spans="1:11" x14ac:dyDescent="0.35">
      <c r="A137" s="1" t="s">
        <v>403</v>
      </c>
      <c r="B137" s="1" t="s">
        <v>141</v>
      </c>
      <c r="C137" s="1" t="s">
        <v>35</v>
      </c>
      <c r="D137" s="1" t="s">
        <v>124</v>
      </c>
      <c r="E137">
        <v>7</v>
      </c>
      <c r="F137" s="2">
        <v>45401</v>
      </c>
      <c r="G137" s="1" t="str">
        <f>VLOOKUP(Summary_Laporan_Penjualan_20248[[#This Row],[ID_Pelanggan]], Data_Pelanggan[], 2, 0)</f>
        <v>PT Digital Nusantara</v>
      </c>
      <c r="H137" s="1" t="str">
        <f>VLOOKUP(Summary_Laporan_Penjualan_20248[[#This Row],[ID_Pelanggan]], Data_Pelanggan[], 4, 0)</f>
        <v>Jakarta</v>
      </c>
      <c r="I137" s="1" t="str">
        <f>VLOOKUP(Summary_Laporan_Penjualan_20248[[#This Row],[ID_Produk]], Data_Produk[], 6, 0)</f>
        <v>Semarang</v>
      </c>
      <c r="J137" s="1">
        <f>VLOOKUP(Summary_Laporan_Penjualan_20248[[#This Row],[ID_Produk]], Data_Produk[], 7, 0)</f>
        <v>400000</v>
      </c>
      <c r="K137" s="1">
        <f>VLOOKUP(Summary_Laporan_Penjualan_20248[[#This Row],[ID_Produk]], Data_Produk[], 8, 0)</f>
        <v>623000</v>
      </c>
    </row>
    <row r="138" spans="1:11" x14ac:dyDescent="0.35">
      <c r="A138" s="1" t="s">
        <v>405</v>
      </c>
      <c r="B138" s="1" t="s">
        <v>111</v>
      </c>
      <c r="C138" s="1" t="s">
        <v>51</v>
      </c>
      <c r="D138" s="1" t="s">
        <v>157</v>
      </c>
      <c r="E138">
        <v>13</v>
      </c>
      <c r="F138" s="2">
        <v>45594</v>
      </c>
      <c r="G138" s="1" t="str">
        <f>VLOOKUP(Summary_Laporan_Penjualan_20248[[#This Row],[ID_Pelanggan]], Data_Pelanggan[], 2, 0)</f>
        <v>Toko Musik Digital</v>
      </c>
      <c r="H138" s="1" t="str">
        <f>VLOOKUP(Summary_Laporan_Penjualan_20248[[#This Row],[ID_Pelanggan]], Data_Pelanggan[], 4, 0)</f>
        <v>Denpasar</v>
      </c>
      <c r="I138" s="1" t="str">
        <f>VLOOKUP(Summary_Laporan_Penjualan_20248[[#This Row],[ID_Produk]], Data_Produk[], 6, 0)</f>
        <v>Depok</v>
      </c>
      <c r="J138" s="1">
        <f>VLOOKUP(Summary_Laporan_Penjualan_20248[[#This Row],[ID_Produk]], Data_Produk[], 7, 0)</f>
        <v>18000000</v>
      </c>
      <c r="K138" s="1">
        <f>VLOOKUP(Summary_Laporan_Penjualan_20248[[#This Row],[ID_Produk]], Data_Produk[], 8, 0)</f>
        <v>27603000</v>
      </c>
    </row>
    <row r="139" spans="1:11" x14ac:dyDescent="0.35">
      <c r="A139" s="1" t="s">
        <v>407</v>
      </c>
      <c r="B139" s="1" t="s">
        <v>164</v>
      </c>
      <c r="C139" s="1" t="s">
        <v>57</v>
      </c>
      <c r="D139" s="1" t="s">
        <v>157</v>
      </c>
      <c r="E139">
        <v>3</v>
      </c>
      <c r="F139" s="2">
        <v>45617</v>
      </c>
      <c r="G139" s="1" t="str">
        <f>VLOOKUP(Summary_Laporan_Penjualan_20248[[#This Row],[ID_Pelanggan]], Data_Pelanggan[], 2, 0)</f>
        <v>PT Karya Mandiri</v>
      </c>
      <c r="H139" s="1" t="str">
        <f>VLOOKUP(Summary_Laporan_Penjualan_20248[[#This Row],[ID_Pelanggan]], Data_Pelanggan[], 4, 0)</f>
        <v>Makassar</v>
      </c>
      <c r="I139" s="1" t="str">
        <f>VLOOKUP(Summary_Laporan_Penjualan_20248[[#This Row],[ID_Produk]], Data_Produk[], 6, 0)</f>
        <v>Jakarta</v>
      </c>
      <c r="J139" s="1">
        <f>VLOOKUP(Summary_Laporan_Penjualan_20248[[#This Row],[ID_Produk]], Data_Produk[], 7, 0)</f>
        <v>750000</v>
      </c>
      <c r="K139" s="1">
        <f>VLOOKUP(Summary_Laporan_Penjualan_20248[[#This Row],[ID_Produk]], Data_Produk[], 8, 0)</f>
        <v>971000</v>
      </c>
    </row>
    <row r="140" spans="1:11" x14ac:dyDescent="0.35">
      <c r="A140" s="1" t="s">
        <v>409</v>
      </c>
      <c r="B140" s="1" t="s">
        <v>197</v>
      </c>
      <c r="C140" s="1" t="s">
        <v>8</v>
      </c>
      <c r="D140" s="1" t="s">
        <v>157</v>
      </c>
      <c r="E140">
        <v>5</v>
      </c>
      <c r="F140" s="2">
        <v>45317</v>
      </c>
      <c r="G140" s="1" t="str">
        <f>VLOOKUP(Summary_Laporan_Penjualan_20248[[#This Row],[ID_Pelanggan]], Data_Pelanggan[], 2, 0)</f>
        <v>PT Maju Jaya</v>
      </c>
      <c r="H140" s="1" t="str">
        <f>VLOOKUP(Summary_Laporan_Penjualan_20248[[#This Row],[ID_Pelanggan]], Data_Pelanggan[], 4, 0)</f>
        <v>Jakarta</v>
      </c>
      <c r="I140" s="1" t="str">
        <f>VLOOKUP(Summary_Laporan_Penjualan_20248[[#This Row],[ID_Produk]], Data_Produk[], 6, 0)</f>
        <v>Jakarta</v>
      </c>
      <c r="J140" s="1">
        <f>VLOOKUP(Summary_Laporan_Penjualan_20248[[#This Row],[ID_Produk]], Data_Produk[], 7, 0)</f>
        <v>1200000</v>
      </c>
      <c r="K140" s="1">
        <f>VLOOKUP(Summary_Laporan_Penjualan_20248[[#This Row],[ID_Produk]], Data_Produk[], 8, 0)</f>
        <v>1375000</v>
      </c>
    </row>
    <row r="141" spans="1:11" x14ac:dyDescent="0.35">
      <c r="A141" s="1" t="s">
        <v>411</v>
      </c>
      <c r="B141" s="1" t="s">
        <v>172</v>
      </c>
      <c r="C141" s="1" t="s">
        <v>87</v>
      </c>
      <c r="D141" s="1" t="s">
        <v>128</v>
      </c>
      <c r="E141">
        <v>11</v>
      </c>
      <c r="F141" s="2">
        <v>45412</v>
      </c>
      <c r="G141" s="1" t="str">
        <f>VLOOKUP(Summary_Laporan_Penjualan_20248[[#This Row],[ID_Pelanggan]], Data_Pelanggan[], 2, 0)</f>
        <v>PT Indo Digital</v>
      </c>
      <c r="H141" s="1" t="str">
        <f>VLOOKUP(Summary_Laporan_Penjualan_20248[[#This Row],[ID_Pelanggan]], Data_Pelanggan[], 4, 0)</f>
        <v>Tangerang</v>
      </c>
      <c r="I141" s="1" t="str">
        <f>VLOOKUP(Summary_Laporan_Penjualan_20248[[#This Row],[ID_Produk]], Data_Produk[], 6, 0)</f>
        <v>Semarang</v>
      </c>
      <c r="J141" s="1">
        <f>VLOOKUP(Summary_Laporan_Penjualan_20248[[#This Row],[ID_Produk]], Data_Produk[], 7, 0)</f>
        <v>950000</v>
      </c>
      <c r="K141" s="1">
        <f>VLOOKUP(Summary_Laporan_Penjualan_20248[[#This Row],[ID_Produk]], Data_Produk[], 8, 0)</f>
        <v>1649000</v>
      </c>
    </row>
    <row r="142" spans="1:11" x14ac:dyDescent="0.35">
      <c r="A142" s="1" t="s">
        <v>413</v>
      </c>
      <c r="B142" s="1" t="s">
        <v>272</v>
      </c>
      <c r="C142" s="1" t="s">
        <v>51</v>
      </c>
      <c r="D142" s="1" t="s">
        <v>171</v>
      </c>
      <c r="E142">
        <v>14</v>
      </c>
      <c r="F142" s="2">
        <v>45463</v>
      </c>
      <c r="G142" s="1" t="str">
        <f>VLOOKUP(Summary_Laporan_Penjualan_20248[[#This Row],[ID_Pelanggan]], Data_Pelanggan[], 2, 0)</f>
        <v>Toko Musik Digital</v>
      </c>
      <c r="H142" s="1" t="str">
        <f>VLOOKUP(Summary_Laporan_Penjualan_20248[[#This Row],[ID_Pelanggan]], Data_Pelanggan[], 4, 0)</f>
        <v>Denpasar</v>
      </c>
      <c r="I142" s="1" t="str">
        <f>VLOOKUP(Summary_Laporan_Penjualan_20248[[#This Row],[ID_Produk]], Data_Produk[], 6, 0)</f>
        <v>Depok</v>
      </c>
      <c r="J142" s="1">
        <f>VLOOKUP(Summary_Laporan_Penjualan_20248[[#This Row],[ID_Produk]], Data_Produk[], 7, 0)</f>
        <v>650000</v>
      </c>
      <c r="K142" s="1">
        <f>VLOOKUP(Summary_Laporan_Penjualan_20248[[#This Row],[ID_Produk]], Data_Produk[], 8, 0)</f>
        <v>741000</v>
      </c>
    </row>
    <row r="143" spans="1:11" x14ac:dyDescent="0.35">
      <c r="A143" s="1" t="s">
        <v>415</v>
      </c>
      <c r="B143" s="1" t="s">
        <v>172</v>
      </c>
      <c r="C143" s="1" t="s">
        <v>63</v>
      </c>
      <c r="D143" s="1" t="s">
        <v>143</v>
      </c>
      <c r="E143">
        <v>4</v>
      </c>
      <c r="F143" s="2">
        <v>45618</v>
      </c>
      <c r="G143" s="1" t="str">
        <f>VLOOKUP(Summary_Laporan_Penjualan_20248[[#This Row],[ID_Pelanggan]], Data_Pelanggan[], 2, 0)</f>
        <v>UD Makmur</v>
      </c>
      <c r="H143" s="1" t="str">
        <f>VLOOKUP(Summary_Laporan_Penjualan_20248[[#This Row],[ID_Pelanggan]], Data_Pelanggan[], 4, 0)</f>
        <v>Palembang</v>
      </c>
      <c r="I143" s="1" t="str">
        <f>VLOOKUP(Summary_Laporan_Penjualan_20248[[#This Row],[ID_Produk]], Data_Produk[], 6, 0)</f>
        <v>Semarang</v>
      </c>
      <c r="J143" s="1">
        <f>VLOOKUP(Summary_Laporan_Penjualan_20248[[#This Row],[ID_Produk]], Data_Produk[], 7, 0)</f>
        <v>950000</v>
      </c>
      <c r="K143" s="1">
        <f>VLOOKUP(Summary_Laporan_Penjualan_20248[[#This Row],[ID_Produk]], Data_Produk[], 8, 0)</f>
        <v>1649000</v>
      </c>
    </row>
    <row r="144" spans="1:11" x14ac:dyDescent="0.35">
      <c r="A144" s="1" t="s">
        <v>417</v>
      </c>
      <c r="B144" s="1" t="s">
        <v>173</v>
      </c>
      <c r="C144" s="1" t="s">
        <v>8</v>
      </c>
      <c r="D144" s="1" t="s">
        <v>171</v>
      </c>
      <c r="E144">
        <v>15</v>
      </c>
      <c r="F144" s="2">
        <v>45409</v>
      </c>
      <c r="G144" s="1" t="str">
        <f>VLOOKUP(Summary_Laporan_Penjualan_20248[[#This Row],[ID_Pelanggan]], Data_Pelanggan[], 2, 0)</f>
        <v>PT Maju Jaya</v>
      </c>
      <c r="H144" s="1" t="str">
        <f>VLOOKUP(Summary_Laporan_Penjualan_20248[[#This Row],[ID_Pelanggan]], Data_Pelanggan[], 4, 0)</f>
        <v>Jakarta</v>
      </c>
      <c r="I144" s="1" t="str">
        <f>VLOOKUP(Summary_Laporan_Penjualan_20248[[#This Row],[ID_Produk]], Data_Produk[], 6, 0)</f>
        <v>Depok</v>
      </c>
      <c r="J144" s="1">
        <f>VLOOKUP(Summary_Laporan_Penjualan_20248[[#This Row],[ID_Produk]], Data_Produk[], 7, 0)</f>
        <v>80000</v>
      </c>
      <c r="K144" s="1">
        <f>VLOOKUP(Summary_Laporan_Penjualan_20248[[#This Row],[ID_Produk]], Data_Produk[], 8, 0)</f>
        <v>92000</v>
      </c>
    </row>
    <row r="145" spans="1:11" x14ac:dyDescent="0.35">
      <c r="A145" s="1" t="s">
        <v>420</v>
      </c>
      <c r="B145" s="1" t="s">
        <v>164</v>
      </c>
      <c r="C145" s="1" t="s">
        <v>51</v>
      </c>
      <c r="D145" s="1" t="s">
        <v>157</v>
      </c>
      <c r="E145">
        <v>13</v>
      </c>
      <c r="F145" s="2">
        <v>45567</v>
      </c>
      <c r="G145" s="1" t="str">
        <f>VLOOKUP(Summary_Laporan_Penjualan_20248[[#This Row],[ID_Pelanggan]], Data_Pelanggan[], 2, 0)</f>
        <v>Toko Musik Digital</v>
      </c>
      <c r="H145" s="1" t="str">
        <f>VLOOKUP(Summary_Laporan_Penjualan_20248[[#This Row],[ID_Pelanggan]], Data_Pelanggan[], 4, 0)</f>
        <v>Denpasar</v>
      </c>
      <c r="I145" s="1" t="str">
        <f>VLOOKUP(Summary_Laporan_Penjualan_20248[[#This Row],[ID_Produk]], Data_Produk[], 6, 0)</f>
        <v>Jakarta</v>
      </c>
      <c r="J145" s="1">
        <f>VLOOKUP(Summary_Laporan_Penjualan_20248[[#This Row],[ID_Produk]], Data_Produk[], 7, 0)</f>
        <v>750000</v>
      </c>
      <c r="K145" s="1">
        <f>VLOOKUP(Summary_Laporan_Penjualan_20248[[#This Row],[ID_Produk]], Data_Produk[], 8, 0)</f>
        <v>971000</v>
      </c>
    </row>
    <row r="146" spans="1:11" x14ac:dyDescent="0.35">
      <c r="A146" s="1" t="s">
        <v>422</v>
      </c>
      <c r="B146" s="1" t="s">
        <v>197</v>
      </c>
      <c r="C146" s="1" t="s">
        <v>35</v>
      </c>
      <c r="D146" s="1" t="s">
        <v>128</v>
      </c>
      <c r="E146">
        <v>4</v>
      </c>
      <c r="F146" s="2">
        <v>45323</v>
      </c>
      <c r="G146" s="1" t="str">
        <f>VLOOKUP(Summary_Laporan_Penjualan_20248[[#This Row],[ID_Pelanggan]], Data_Pelanggan[], 2, 0)</f>
        <v>PT Digital Nusantara</v>
      </c>
      <c r="H146" s="1" t="str">
        <f>VLOOKUP(Summary_Laporan_Penjualan_20248[[#This Row],[ID_Pelanggan]], Data_Pelanggan[], 4, 0)</f>
        <v>Jakarta</v>
      </c>
      <c r="I146" s="1" t="str">
        <f>VLOOKUP(Summary_Laporan_Penjualan_20248[[#This Row],[ID_Produk]], Data_Produk[], 6, 0)</f>
        <v>Jakarta</v>
      </c>
      <c r="J146" s="1">
        <f>VLOOKUP(Summary_Laporan_Penjualan_20248[[#This Row],[ID_Produk]], Data_Produk[], 7, 0)</f>
        <v>1200000</v>
      </c>
      <c r="K146" s="1">
        <f>VLOOKUP(Summary_Laporan_Penjualan_20248[[#This Row],[ID_Produk]], Data_Produk[], 8, 0)</f>
        <v>1375000</v>
      </c>
    </row>
    <row r="147" spans="1:11" x14ac:dyDescent="0.35">
      <c r="A147" s="1" t="s">
        <v>424</v>
      </c>
      <c r="B147" s="1" t="s">
        <v>248</v>
      </c>
      <c r="C147" s="1" t="s">
        <v>63</v>
      </c>
      <c r="D147" s="1" t="s">
        <v>157</v>
      </c>
      <c r="E147">
        <v>13</v>
      </c>
      <c r="F147" s="2">
        <v>45341</v>
      </c>
      <c r="G147" s="1" t="str">
        <f>VLOOKUP(Summary_Laporan_Penjualan_20248[[#This Row],[ID_Pelanggan]], Data_Pelanggan[], 2, 0)</f>
        <v>UD Makmur</v>
      </c>
      <c r="H147" s="1" t="str">
        <f>VLOOKUP(Summary_Laporan_Penjualan_20248[[#This Row],[ID_Pelanggan]], Data_Pelanggan[], 4, 0)</f>
        <v>Palembang</v>
      </c>
      <c r="I147" s="1" t="str">
        <f>VLOOKUP(Summary_Laporan_Penjualan_20248[[#This Row],[ID_Produk]], Data_Produk[], 6, 0)</f>
        <v>Semarang</v>
      </c>
      <c r="J147" s="1">
        <f>VLOOKUP(Summary_Laporan_Penjualan_20248[[#This Row],[ID_Produk]], Data_Produk[], 7, 0)</f>
        <v>250000</v>
      </c>
      <c r="K147" s="1">
        <f>VLOOKUP(Summary_Laporan_Penjualan_20248[[#This Row],[ID_Produk]], Data_Produk[], 8, 0)</f>
        <v>354000</v>
      </c>
    </row>
    <row r="148" spans="1:11" x14ac:dyDescent="0.35">
      <c r="A148" s="1" t="s">
        <v>426</v>
      </c>
      <c r="B148" s="1" t="s">
        <v>133</v>
      </c>
      <c r="C148" s="1" t="s">
        <v>69</v>
      </c>
      <c r="D148" s="1" t="s">
        <v>121</v>
      </c>
      <c r="E148">
        <v>4</v>
      </c>
      <c r="F148" s="2">
        <v>45652</v>
      </c>
      <c r="G148" s="1" t="str">
        <f>VLOOKUP(Summary_Laporan_Penjualan_20248[[#This Row],[ID_Pelanggan]], Data_Pelanggan[], 2, 0)</f>
        <v>PT Teknologi Prima</v>
      </c>
      <c r="H148" s="1" t="str">
        <f>VLOOKUP(Summary_Laporan_Penjualan_20248[[#This Row],[ID_Pelanggan]], Data_Pelanggan[], 4, 0)</f>
        <v>Jakarta</v>
      </c>
      <c r="I148" s="1" t="str">
        <f>VLOOKUP(Summary_Laporan_Penjualan_20248[[#This Row],[ID_Produk]], Data_Produk[], 6, 0)</f>
        <v>Jakarta</v>
      </c>
      <c r="J148" s="1">
        <f>VLOOKUP(Summary_Laporan_Penjualan_20248[[#This Row],[ID_Produk]], Data_Produk[], 7, 0)</f>
        <v>2500000</v>
      </c>
      <c r="K148" s="1">
        <f>VLOOKUP(Summary_Laporan_Penjualan_20248[[#This Row],[ID_Produk]], Data_Produk[], 8, 0)</f>
        <v>3080000</v>
      </c>
    </row>
    <row r="149" spans="1:11" x14ac:dyDescent="0.35">
      <c r="A149" s="1" t="s">
        <v>428</v>
      </c>
      <c r="B149" s="1" t="s">
        <v>149</v>
      </c>
      <c r="C149" s="1" t="s">
        <v>51</v>
      </c>
      <c r="D149" s="1" t="s">
        <v>128</v>
      </c>
      <c r="E149">
        <v>3</v>
      </c>
      <c r="F149" s="2">
        <v>45394</v>
      </c>
      <c r="G149" s="1" t="str">
        <f>VLOOKUP(Summary_Laporan_Penjualan_20248[[#This Row],[ID_Pelanggan]], Data_Pelanggan[], 2, 0)</f>
        <v>Toko Musik Digital</v>
      </c>
      <c r="H149" s="1" t="str">
        <f>VLOOKUP(Summary_Laporan_Penjualan_20248[[#This Row],[ID_Pelanggan]], Data_Pelanggan[], 4, 0)</f>
        <v>Denpasar</v>
      </c>
      <c r="I149" s="1" t="str">
        <f>VLOOKUP(Summary_Laporan_Penjualan_20248[[#This Row],[ID_Produk]], Data_Produk[], 6, 0)</f>
        <v>Semarang</v>
      </c>
      <c r="J149" s="1">
        <f>VLOOKUP(Summary_Laporan_Penjualan_20248[[#This Row],[ID_Produk]], Data_Produk[], 7, 0)</f>
        <v>100000</v>
      </c>
      <c r="K149" s="1">
        <f>VLOOKUP(Summary_Laporan_Penjualan_20248[[#This Row],[ID_Produk]], Data_Produk[], 8, 0)</f>
        <v>169000</v>
      </c>
    </row>
    <row r="150" spans="1:11" x14ac:dyDescent="0.35">
      <c r="A150" s="1" t="s">
        <v>430</v>
      </c>
      <c r="B150" s="1" t="s">
        <v>137</v>
      </c>
      <c r="C150" s="1" t="s">
        <v>63</v>
      </c>
      <c r="D150" s="1" t="s">
        <v>124</v>
      </c>
      <c r="E150">
        <v>10</v>
      </c>
      <c r="F150" s="2">
        <v>45361</v>
      </c>
      <c r="G150" s="1" t="str">
        <f>VLOOKUP(Summary_Laporan_Penjualan_20248[[#This Row],[ID_Pelanggan]], Data_Pelanggan[], 2, 0)</f>
        <v>UD Makmur</v>
      </c>
      <c r="H150" s="1" t="str">
        <f>VLOOKUP(Summary_Laporan_Penjualan_20248[[#This Row],[ID_Pelanggan]], Data_Pelanggan[], 4, 0)</f>
        <v>Palembang</v>
      </c>
      <c r="I150" s="1" t="str">
        <f>VLOOKUP(Summary_Laporan_Penjualan_20248[[#This Row],[ID_Produk]], Data_Produk[], 6, 0)</f>
        <v>Jakarta</v>
      </c>
      <c r="J150" s="1">
        <f>VLOOKUP(Summary_Laporan_Penjualan_20248[[#This Row],[ID_Produk]], Data_Produk[], 7, 0)</f>
        <v>2000000</v>
      </c>
      <c r="K150" s="1">
        <f>VLOOKUP(Summary_Laporan_Penjualan_20248[[#This Row],[ID_Produk]], Data_Produk[], 8, 0)</f>
        <v>2533000</v>
      </c>
    </row>
    <row r="151" spans="1:11" x14ac:dyDescent="0.35">
      <c r="A151" s="1" t="s">
        <v>432</v>
      </c>
      <c r="B151" s="1" t="s">
        <v>164</v>
      </c>
      <c r="C151" s="1" t="s">
        <v>51</v>
      </c>
      <c r="D151" s="1" t="s">
        <v>157</v>
      </c>
      <c r="E151">
        <v>1</v>
      </c>
      <c r="F151" s="2">
        <v>45434</v>
      </c>
      <c r="G151" s="1" t="str">
        <f>VLOOKUP(Summary_Laporan_Penjualan_20248[[#This Row],[ID_Pelanggan]], Data_Pelanggan[], 2, 0)</f>
        <v>Toko Musik Digital</v>
      </c>
      <c r="H151" s="1" t="str">
        <f>VLOOKUP(Summary_Laporan_Penjualan_20248[[#This Row],[ID_Pelanggan]], Data_Pelanggan[], 4, 0)</f>
        <v>Denpasar</v>
      </c>
      <c r="I151" s="1" t="str">
        <f>VLOOKUP(Summary_Laporan_Penjualan_20248[[#This Row],[ID_Produk]], Data_Produk[], 6, 0)</f>
        <v>Jakarta</v>
      </c>
      <c r="J151" s="1">
        <f>VLOOKUP(Summary_Laporan_Penjualan_20248[[#This Row],[ID_Produk]], Data_Produk[], 7, 0)</f>
        <v>750000</v>
      </c>
      <c r="K151" s="1">
        <f>VLOOKUP(Summary_Laporan_Penjualan_20248[[#This Row],[ID_Produk]], Data_Produk[], 8, 0)</f>
        <v>971000</v>
      </c>
    </row>
    <row r="152" spans="1:11" x14ac:dyDescent="0.35">
      <c r="A152" s="1" t="s">
        <v>434</v>
      </c>
      <c r="B152" s="1" t="s">
        <v>137</v>
      </c>
      <c r="C152" s="1" t="s">
        <v>35</v>
      </c>
      <c r="D152" s="1" t="s">
        <v>128</v>
      </c>
      <c r="E152">
        <v>11</v>
      </c>
      <c r="F152" s="2">
        <v>45312</v>
      </c>
      <c r="G152" s="1" t="str">
        <f>VLOOKUP(Summary_Laporan_Penjualan_20248[[#This Row],[ID_Pelanggan]], Data_Pelanggan[], 2, 0)</f>
        <v>PT Digital Nusantara</v>
      </c>
      <c r="H152" s="1" t="str">
        <f>VLOOKUP(Summary_Laporan_Penjualan_20248[[#This Row],[ID_Pelanggan]], Data_Pelanggan[], 4, 0)</f>
        <v>Jakarta</v>
      </c>
      <c r="I152" s="1" t="str">
        <f>VLOOKUP(Summary_Laporan_Penjualan_20248[[#This Row],[ID_Produk]], Data_Produk[], 6, 0)</f>
        <v>Jakarta</v>
      </c>
      <c r="J152" s="1">
        <f>VLOOKUP(Summary_Laporan_Penjualan_20248[[#This Row],[ID_Produk]], Data_Produk[], 7, 0)</f>
        <v>2000000</v>
      </c>
      <c r="K152" s="1">
        <f>VLOOKUP(Summary_Laporan_Penjualan_20248[[#This Row],[ID_Produk]], Data_Produk[], 8, 0)</f>
        <v>2533000</v>
      </c>
    </row>
    <row r="153" spans="1:11" x14ac:dyDescent="0.35">
      <c r="A153" s="1" t="s">
        <v>436</v>
      </c>
      <c r="B153" s="1" t="s">
        <v>188</v>
      </c>
      <c r="C153" s="1" t="s">
        <v>63</v>
      </c>
      <c r="D153" s="1" t="s">
        <v>157</v>
      </c>
      <c r="E153">
        <v>13</v>
      </c>
      <c r="F153" s="2">
        <v>45391</v>
      </c>
      <c r="G153" s="1" t="str">
        <f>VLOOKUP(Summary_Laporan_Penjualan_20248[[#This Row],[ID_Pelanggan]], Data_Pelanggan[], 2, 0)</f>
        <v>UD Makmur</v>
      </c>
      <c r="H153" s="1" t="str">
        <f>VLOOKUP(Summary_Laporan_Penjualan_20248[[#This Row],[ID_Pelanggan]], Data_Pelanggan[], 4, 0)</f>
        <v>Palembang</v>
      </c>
      <c r="I153" s="1" t="str">
        <f>VLOOKUP(Summary_Laporan_Penjualan_20248[[#This Row],[ID_Produk]], Data_Produk[], 6, 0)</f>
        <v>Semarang</v>
      </c>
      <c r="J153" s="1">
        <f>VLOOKUP(Summary_Laporan_Penjualan_20248[[#This Row],[ID_Produk]], Data_Produk[], 7, 0)</f>
        <v>2800000</v>
      </c>
      <c r="K153" s="1">
        <f>VLOOKUP(Summary_Laporan_Penjualan_20248[[#This Row],[ID_Produk]], Data_Produk[], 8, 0)</f>
        <v>4747000</v>
      </c>
    </row>
    <row r="154" spans="1:11" x14ac:dyDescent="0.35">
      <c r="A154" s="1" t="s">
        <v>438</v>
      </c>
      <c r="B154" s="1" t="s">
        <v>149</v>
      </c>
      <c r="C154" s="1" t="s">
        <v>39</v>
      </c>
      <c r="D154" s="1" t="s">
        <v>143</v>
      </c>
      <c r="E154">
        <v>1</v>
      </c>
      <c r="F154" s="2">
        <v>45635</v>
      </c>
      <c r="G154" s="1" t="str">
        <f>VLOOKUP(Summary_Laporan_Penjualan_20248[[#This Row],[ID_Pelanggan]], Data_Pelanggan[], 2, 0)</f>
        <v>Toko Elektronik Jaya</v>
      </c>
      <c r="H154" s="1" t="str">
        <f>VLOOKUP(Summary_Laporan_Penjualan_20248[[#This Row],[ID_Pelanggan]], Data_Pelanggan[], 4, 0)</f>
        <v>Semarang</v>
      </c>
      <c r="I154" s="1" t="str">
        <f>VLOOKUP(Summary_Laporan_Penjualan_20248[[#This Row],[ID_Produk]], Data_Produk[], 6, 0)</f>
        <v>Semarang</v>
      </c>
      <c r="J154" s="1">
        <f>VLOOKUP(Summary_Laporan_Penjualan_20248[[#This Row],[ID_Produk]], Data_Produk[], 7, 0)</f>
        <v>100000</v>
      </c>
      <c r="K154" s="1">
        <f>VLOOKUP(Summary_Laporan_Penjualan_20248[[#This Row],[ID_Produk]], Data_Produk[], 8, 0)</f>
        <v>169000</v>
      </c>
    </row>
    <row r="155" spans="1:11" x14ac:dyDescent="0.35">
      <c r="A155" s="1" t="s">
        <v>440</v>
      </c>
      <c r="B155" s="1" t="s">
        <v>240</v>
      </c>
      <c r="C155" s="1" t="s">
        <v>73</v>
      </c>
      <c r="D155" s="1" t="s">
        <v>121</v>
      </c>
      <c r="E155">
        <v>3</v>
      </c>
      <c r="F155" s="2">
        <v>45413</v>
      </c>
      <c r="G155" s="1" t="str">
        <f>VLOOKUP(Summary_Laporan_Penjualan_20248[[#This Row],[ID_Pelanggan]], Data_Pelanggan[], 2, 0)</f>
        <v>Toko Gadget Center</v>
      </c>
      <c r="H155" s="1" t="str">
        <f>VLOOKUP(Summary_Laporan_Penjualan_20248[[#This Row],[ID_Pelanggan]], Data_Pelanggan[], 4, 0)</f>
        <v>Malang</v>
      </c>
      <c r="I155" s="1" t="str">
        <f>VLOOKUP(Summary_Laporan_Penjualan_20248[[#This Row],[ID_Produk]], Data_Produk[], 6, 0)</f>
        <v>Semarang</v>
      </c>
      <c r="J155" s="1">
        <f>VLOOKUP(Summary_Laporan_Penjualan_20248[[#This Row],[ID_Produk]], Data_Produk[], 7, 0)</f>
        <v>350000</v>
      </c>
      <c r="K155" s="1">
        <f>VLOOKUP(Summary_Laporan_Penjualan_20248[[#This Row],[ID_Produk]], Data_Produk[], 8, 0)</f>
        <v>626000</v>
      </c>
    </row>
    <row r="156" spans="1:11" x14ac:dyDescent="0.35">
      <c r="A156" s="1" t="s">
        <v>442</v>
      </c>
      <c r="B156" s="1" t="s">
        <v>106</v>
      </c>
      <c r="C156" s="1" t="s">
        <v>45</v>
      </c>
      <c r="D156" s="1" t="s">
        <v>157</v>
      </c>
      <c r="E156">
        <v>15</v>
      </c>
      <c r="F156" s="2">
        <v>45327</v>
      </c>
      <c r="G156" s="1" t="str">
        <f>VLOOKUP(Summary_Laporan_Penjualan_20248[[#This Row],[ID_Pelanggan]], Data_Pelanggan[], 2, 0)</f>
        <v>CV Techno</v>
      </c>
      <c r="H156" s="1" t="str">
        <f>VLOOKUP(Summary_Laporan_Penjualan_20248[[#This Row],[ID_Pelanggan]], Data_Pelanggan[], 4, 0)</f>
        <v>Yogyakarta</v>
      </c>
      <c r="I156" s="1" t="str">
        <f>VLOOKUP(Summary_Laporan_Penjualan_20248[[#This Row],[ID_Produk]], Data_Produk[], 6, 0)</f>
        <v>Depok</v>
      </c>
      <c r="J156" s="1">
        <f>VLOOKUP(Summary_Laporan_Penjualan_20248[[#This Row],[ID_Produk]], Data_Produk[], 7, 0)</f>
        <v>300000</v>
      </c>
      <c r="K156" s="1">
        <f>VLOOKUP(Summary_Laporan_Penjualan_20248[[#This Row],[ID_Produk]], Data_Produk[], 8, 0)</f>
        <v>355000</v>
      </c>
    </row>
    <row r="157" spans="1:11" x14ac:dyDescent="0.35">
      <c r="A157" s="1" t="s">
        <v>444</v>
      </c>
      <c r="B157" s="1" t="s">
        <v>172</v>
      </c>
      <c r="C157" s="1" t="s">
        <v>39</v>
      </c>
      <c r="D157" s="1" t="s">
        <v>143</v>
      </c>
      <c r="E157">
        <v>1</v>
      </c>
      <c r="F157" s="2">
        <v>45546</v>
      </c>
      <c r="G157" s="1" t="str">
        <f>VLOOKUP(Summary_Laporan_Penjualan_20248[[#This Row],[ID_Pelanggan]], Data_Pelanggan[], 2, 0)</f>
        <v>Toko Elektronik Jaya</v>
      </c>
      <c r="H157" s="1" t="str">
        <f>VLOOKUP(Summary_Laporan_Penjualan_20248[[#This Row],[ID_Pelanggan]], Data_Pelanggan[], 4, 0)</f>
        <v>Semarang</v>
      </c>
      <c r="I157" s="1" t="str">
        <f>VLOOKUP(Summary_Laporan_Penjualan_20248[[#This Row],[ID_Produk]], Data_Produk[], 6, 0)</f>
        <v>Semarang</v>
      </c>
      <c r="J157" s="1">
        <f>VLOOKUP(Summary_Laporan_Penjualan_20248[[#This Row],[ID_Produk]], Data_Produk[], 7, 0)</f>
        <v>950000</v>
      </c>
      <c r="K157" s="1">
        <f>VLOOKUP(Summary_Laporan_Penjualan_20248[[#This Row],[ID_Produk]], Data_Produk[], 8, 0)</f>
        <v>1649000</v>
      </c>
    </row>
    <row r="158" spans="1:11" x14ac:dyDescent="0.35">
      <c r="A158" s="1" t="s">
        <v>446</v>
      </c>
      <c r="B158" s="1" t="s">
        <v>141</v>
      </c>
      <c r="C158" s="1" t="s">
        <v>63</v>
      </c>
      <c r="D158" s="1" t="s">
        <v>124</v>
      </c>
      <c r="E158">
        <v>6</v>
      </c>
      <c r="F158" s="2">
        <v>45321</v>
      </c>
      <c r="G158" s="1" t="str">
        <f>VLOOKUP(Summary_Laporan_Penjualan_20248[[#This Row],[ID_Pelanggan]], Data_Pelanggan[], 2, 0)</f>
        <v>UD Makmur</v>
      </c>
      <c r="H158" s="1" t="str">
        <f>VLOOKUP(Summary_Laporan_Penjualan_20248[[#This Row],[ID_Pelanggan]], Data_Pelanggan[], 4, 0)</f>
        <v>Palembang</v>
      </c>
      <c r="I158" s="1" t="str">
        <f>VLOOKUP(Summary_Laporan_Penjualan_20248[[#This Row],[ID_Produk]], Data_Produk[], 6, 0)</f>
        <v>Semarang</v>
      </c>
      <c r="J158" s="1">
        <f>VLOOKUP(Summary_Laporan_Penjualan_20248[[#This Row],[ID_Produk]], Data_Produk[], 7, 0)</f>
        <v>400000</v>
      </c>
      <c r="K158" s="1">
        <f>VLOOKUP(Summary_Laporan_Penjualan_20248[[#This Row],[ID_Produk]], Data_Produk[], 8, 0)</f>
        <v>623000</v>
      </c>
    </row>
    <row r="159" spans="1:11" x14ac:dyDescent="0.35">
      <c r="A159" s="1" t="s">
        <v>448</v>
      </c>
      <c r="B159" s="1" t="s">
        <v>172</v>
      </c>
      <c r="C159" s="1" t="s">
        <v>8</v>
      </c>
      <c r="D159" s="1" t="s">
        <v>128</v>
      </c>
      <c r="E159">
        <v>3</v>
      </c>
      <c r="F159" s="2">
        <v>45354</v>
      </c>
      <c r="G159" s="1" t="str">
        <f>VLOOKUP(Summary_Laporan_Penjualan_20248[[#This Row],[ID_Pelanggan]], Data_Pelanggan[], 2, 0)</f>
        <v>PT Maju Jaya</v>
      </c>
      <c r="H159" s="1" t="str">
        <f>VLOOKUP(Summary_Laporan_Penjualan_20248[[#This Row],[ID_Pelanggan]], Data_Pelanggan[], 4, 0)</f>
        <v>Jakarta</v>
      </c>
      <c r="I159" s="1" t="str">
        <f>VLOOKUP(Summary_Laporan_Penjualan_20248[[#This Row],[ID_Produk]], Data_Produk[], 6, 0)</f>
        <v>Semarang</v>
      </c>
      <c r="J159" s="1">
        <f>VLOOKUP(Summary_Laporan_Penjualan_20248[[#This Row],[ID_Produk]], Data_Produk[], 7, 0)</f>
        <v>950000</v>
      </c>
      <c r="K159" s="1">
        <f>VLOOKUP(Summary_Laporan_Penjualan_20248[[#This Row],[ID_Produk]], Data_Produk[], 8, 0)</f>
        <v>1649000</v>
      </c>
    </row>
    <row r="160" spans="1:11" x14ac:dyDescent="0.35">
      <c r="A160" s="1" t="s">
        <v>450</v>
      </c>
      <c r="B160" s="1" t="s">
        <v>113</v>
      </c>
      <c r="C160" s="1" t="s">
        <v>69</v>
      </c>
      <c r="D160" s="1" t="s">
        <v>157</v>
      </c>
      <c r="E160">
        <v>1</v>
      </c>
      <c r="F160" s="2">
        <v>45546</v>
      </c>
      <c r="G160" s="1" t="str">
        <f>VLOOKUP(Summary_Laporan_Penjualan_20248[[#This Row],[ID_Pelanggan]], Data_Pelanggan[], 2, 0)</f>
        <v>PT Teknologi Prima</v>
      </c>
      <c r="H160" s="1" t="str">
        <f>VLOOKUP(Summary_Laporan_Penjualan_20248[[#This Row],[ID_Pelanggan]], Data_Pelanggan[], 4, 0)</f>
        <v>Jakarta</v>
      </c>
      <c r="I160" s="1" t="str">
        <f>VLOOKUP(Summary_Laporan_Penjualan_20248[[#This Row],[ID_Produk]], Data_Produk[], 6, 0)</f>
        <v>Depok</v>
      </c>
      <c r="J160" s="1">
        <f>VLOOKUP(Summary_Laporan_Penjualan_20248[[#This Row],[ID_Produk]], Data_Produk[], 7, 0)</f>
        <v>4500000</v>
      </c>
      <c r="K160" s="1">
        <f>VLOOKUP(Summary_Laporan_Penjualan_20248[[#This Row],[ID_Produk]], Data_Produk[], 8, 0)</f>
        <v>5522000</v>
      </c>
    </row>
    <row r="161" spans="1:11" x14ac:dyDescent="0.35">
      <c r="A161" s="1" t="s">
        <v>452</v>
      </c>
      <c r="B161" s="1" t="s">
        <v>111</v>
      </c>
      <c r="C161" s="1" t="s">
        <v>29</v>
      </c>
      <c r="D161" s="1" t="s">
        <v>157</v>
      </c>
      <c r="E161">
        <v>2</v>
      </c>
      <c r="F161" s="2">
        <v>45652</v>
      </c>
      <c r="G161" s="1" t="str">
        <f>VLOOKUP(Summary_Laporan_Penjualan_20248[[#This Row],[ID_Pelanggan]], Data_Pelanggan[], 2, 0)</f>
        <v>UD Sentosa</v>
      </c>
      <c r="H161" s="1" t="str">
        <f>VLOOKUP(Summary_Laporan_Penjualan_20248[[#This Row],[ID_Pelanggan]], Data_Pelanggan[], 4, 0)</f>
        <v>Medan</v>
      </c>
      <c r="I161" s="1" t="str">
        <f>VLOOKUP(Summary_Laporan_Penjualan_20248[[#This Row],[ID_Produk]], Data_Produk[], 6, 0)</f>
        <v>Depok</v>
      </c>
      <c r="J161" s="1">
        <f>VLOOKUP(Summary_Laporan_Penjualan_20248[[#This Row],[ID_Produk]], Data_Produk[], 7, 0)</f>
        <v>18000000</v>
      </c>
      <c r="K161" s="1">
        <f>VLOOKUP(Summary_Laporan_Penjualan_20248[[#This Row],[ID_Produk]], Data_Produk[], 8, 0)</f>
        <v>27603000</v>
      </c>
    </row>
    <row r="162" spans="1:11" x14ac:dyDescent="0.35">
      <c r="A162" s="1" t="s">
        <v>454</v>
      </c>
      <c r="B162" s="1" t="s">
        <v>168</v>
      </c>
      <c r="C162" s="1" t="s">
        <v>39</v>
      </c>
      <c r="D162" s="1" t="s">
        <v>121</v>
      </c>
      <c r="E162">
        <v>14</v>
      </c>
      <c r="F162" s="2">
        <v>45631</v>
      </c>
      <c r="G162" s="1" t="str">
        <f>VLOOKUP(Summary_Laporan_Penjualan_20248[[#This Row],[ID_Pelanggan]], Data_Pelanggan[], 2, 0)</f>
        <v>Toko Elektronik Jaya</v>
      </c>
      <c r="H162" s="1" t="str">
        <f>VLOOKUP(Summary_Laporan_Penjualan_20248[[#This Row],[ID_Pelanggan]], Data_Pelanggan[], 4, 0)</f>
        <v>Semarang</v>
      </c>
      <c r="I162" s="1" t="str">
        <f>VLOOKUP(Summary_Laporan_Penjualan_20248[[#This Row],[ID_Produk]], Data_Produk[], 6, 0)</f>
        <v>Semarang</v>
      </c>
      <c r="J162" s="1">
        <f>VLOOKUP(Summary_Laporan_Penjualan_20248[[#This Row],[ID_Produk]], Data_Produk[], 7, 0)</f>
        <v>500000</v>
      </c>
      <c r="K162" s="1">
        <f>VLOOKUP(Summary_Laporan_Penjualan_20248[[#This Row],[ID_Produk]], Data_Produk[], 8, 0)</f>
        <v>844000</v>
      </c>
    </row>
    <row r="163" spans="1:11" x14ac:dyDescent="0.35">
      <c r="A163" s="1" t="s">
        <v>456</v>
      </c>
      <c r="B163" s="1" t="s">
        <v>272</v>
      </c>
      <c r="C163" s="1" t="s">
        <v>82</v>
      </c>
      <c r="D163" s="1" t="s">
        <v>143</v>
      </c>
      <c r="E163">
        <v>8</v>
      </c>
      <c r="F163" s="2">
        <v>45419</v>
      </c>
      <c r="G163" s="1" t="str">
        <f>VLOOKUP(Summary_Laporan_Penjualan_20248[[#This Row],[ID_Pelanggan]], Data_Pelanggan[], 2, 0)</f>
        <v>Toko Komputer Maju</v>
      </c>
      <c r="H163" s="1" t="str">
        <f>VLOOKUP(Summary_Laporan_Penjualan_20248[[#This Row],[ID_Pelanggan]], Data_Pelanggan[], 4, 0)</f>
        <v>Solo</v>
      </c>
      <c r="I163" s="1" t="str">
        <f>VLOOKUP(Summary_Laporan_Penjualan_20248[[#This Row],[ID_Produk]], Data_Produk[], 6, 0)</f>
        <v>Depok</v>
      </c>
      <c r="J163" s="1">
        <f>VLOOKUP(Summary_Laporan_Penjualan_20248[[#This Row],[ID_Produk]], Data_Produk[], 7, 0)</f>
        <v>650000</v>
      </c>
      <c r="K163" s="1">
        <f>VLOOKUP(Summary_Laporan_Penjualan_20248[[#This Row],[ID_Produk]], Data_Produk[], 8, 0)</f>
        <v>741000</v>
      </c>
    </row>
    <row r="164" spans="1:11" x14ac:dyDescent="0.35">
      <c r="A164" s="1" t="s">
        <v>458</v>
      </c>
      <c r="B164" s="1" t="s">
        <v>149</v>
      </c>
      <c r="C164" s="1" t="s">
        <v>45</v>
      </c>
      <c r="D164" s="1" t="s">
        <v>143</v>
      </c>
      <c r="E164">
        <v>12</v>
      </c>
      <c r="F164" s="2">
        <v>45530</v>
      </c>
      <c r="G164" s="1" t="str">
        <f>VLOOKUP(Summary_Laporan_Penjualan_20248[[#This Row],[ID_Pelanggan]], Data_Pelanggan[], 2, 0)</f>
        <v>CV Techno</v>
      </c>
      <c r="H164" s="1" t="str">
        <f>VLOOKUP(Summary_Laporan_Penjualan_20248[[#This Row],[ID_Pelanggan]], Data_Pelanggan[], 4, 0)</f>
        <v>Yogyakarta</v>
      </c>
      <c r="I164" s="1" t="str">
        <f>VLOOKUP(Summary_Laporan_Penjualan_20248[[#This Row],[ID_Produk]], Data_Produk[], 6, 0)</f>
        <v>Semarang</v>
      </c>
      <c r="J164" s="1">
        <f>VLOOKUP(Summary_Laporan_Penjualan_20248[[#This Row],[ID_Produk]], Data_Produk[], 7, 0)</f>
        <v>100000</v>
      </c>
      <c r="K164" s="1">
        <f>VLOOKUP(Summary_Laporan_Penjualan_20248[[#This Row],[ID_Produk]], Data_Produk[], 8, 0)</f>
        <v>169000</v>
      </c>
    </row>
    <row r="165" spans="1:11" x14ac:dyDescent="0.35">
      <c r="A165" s="1" t="s">
        <v>460</v>
      </c>
      <c r="B165" s="1" t="s">
        <v>111</v>
      </c>
      <c r="C165" s="1" t="s">
        <v>15</v>
      </c>
      <c r="D165" s="1" t="s">
        <v>128</v>
      </c>
      <c r="E165">
        <v>4</v>
      </c>
      <c r="F165" s="2">
        <v>45424</v>
      </c>
      <c r="G165" s="1" t="str">
        <f>VLOOKUP(Summary_Laporan_Penjualan_20248[[#This Row],[ID_Pelanggan]], Data_Pelanggan[], 2, 0)</f>
        <v>CV Berkah</v>
      </c>
      <c r="H165" s="1" t="str">
        <f>VLOOKUP(Summary_Laporan_Penjualan_20248[[#This Row],[ID_Pelanggan]], Data_Pelanggan[], 4, 0)</f>
        <v>Bandung</v>
      </c>
      <c r="I165" s="1" t="str">
        <f>VLOOKUP(Summary_Laporan_Penjualan_20248[[#This Row],[ID_Produk]], Data_Produk[], 6, 0)</f>
        <v>Depok</v>
      </c>
      <c r="J165" s="1">
        <f>VLOOKUP(Summary_Laporan_Penjualan_20248[[#This Row],[ID_Produk]], Data_Produk[], 7, 0)</f>
        <v>18000000</v>
      </c>
      <c r="K165" s="1">
        <f>VLOOKUP(Summary_Laporan_Penjualan_20248[[#This Row],[ID_Produk]], Data_Produk[], 8, 0)</f>
        <v>27603000</v>
      </c>
    </row>
    <row r="166" spans="1:11" x14ac:dyDescent="0.35">
      <c r="A166" s="1" t="s">
        <v>462</v>
      </c>
      <c r="B166" s="1" t="s">
        <v>141</v>
      </c>
      <c r="C166" s="1" t="s">
        <v>45</v>
      </c>
      <c r="D166" s="1" t="s">
        <v>128</v>
      </c>
      <c r="E166">
        <v>3</v>
      </c>
      <c r="F166" s="2">
        <v>45598</v>
      </c>
      <c r="G166" s="1" t="str">
        <f>VLOOKUP(Summary_Laporan_Penjualan_20248[[#This Row],[ID_Pelanggan]], Data_Pelanggan[], 2, 0)</f>
        <v>CV Techno</v>
      </c>
      <c r="H166" s="1" t="str">
        <f>VLOOKUP(Summary_Laporan_Penjualan_20248[[#This Row],[ID_Pelanggan]], Data_Pelanggan[], 4, 0)</f>
        <v>Yogyakarta</v>
      </c>
      <c r="I166" s="1" t="str">
        <f>VLOOKUP(Summary_Laporan_Penjualan_20248[[#This Row],[ID_Produk]], Data_Produk[], 6, 0)</f>
        <v>Semarang</v>
      </c>
      <c r="J166" s="1">
        <f>VLOOKUP(Summary_Laporan_Penjualan_20248[[#This Row],[ID_Produk]], Data_Produk[], 7, 0)</f>
        <v>400000</v>
      </c>
      <c r="K166" s="1">
        <f>VLOOKUP(Summary_Laporan_Penjualan_20248[[#This Row],[ID_Produk]], Data_Produk[], 8, 0)</f>
        <v>623000</v>
      </c>
    </row>
    <row r="167" spans="1:11" x14ac:dyDescent="0.35">
      <c r="A167" s="1" t="s">
        <v>463</v>
      </c>
      <c r="B167" s="1" t="s">
        <v>172</v>
      </c>
      <c r="C167" s="1" t="s">
        <v>29</v>
      </c>
      <c r="D167" s="1" t="s">
        <v>143</v>
      </c>
      <c r="E167">
        <v>11</v>
      </c>
      <c r="F167" s="2">
        <v>45563</v>
      </c>
      <c r="G167" s="1" t="str">
        <f>VLOOKUP(Summary_Laporan_Penjualan_20248[[#This Row],[ID_Pelanggan]], Data_Pelanggan[], 2, 0)</f>
        <v>UD Sentosa</v>
      </c>
      <c r="H167" s="1" t="str">
        <f>VLOOKUP(Summary_Laporan_Penjualan_20248[[#This Row],[ID_Pelanggan]], Data_Pelanggan[], 4, 0)</f>
        <v>Medan</v>
      </c>
      <c r="I167" s="1" t="str">
        <f>VLOOKUP(Summary_Laporan_Penjualan_20248[[#This Row],[ID_Produk]], Data_Produk[], 6, 0)</f>
        <v>Semarang</v>
      </c>
      <c r="J167" s="1">
        <f>VLOOKUP(Summary_Laporan_Penjualan_20248[[#This Row],[ID_Produk]], Data_Produk[], 7, 0)</f>
        <v>950000</v>
      </c>
      <c r="K167" s="1">
        <f>VLOOKUP(Summary_Laporan_Penjualan_20248[[#This Row],[ID_Produk]], Data_Produk[], 8, 0)</f>
        <v>1649000</v>
      </c>
    </row>
    <row r="168" spans="1:11" x14ac:dyDescent="0.35">
      <c r="A168" s="1" t="s">
        <v>464</v>
      </c>
      <c r="B168" s="1" t="s">
        <v>149</v>
      </c>
      <c r="C168" s="1" t="s">
        <v>8</v>
      </c>
      <c r="D168" s="1" t="s">
        <v>143</v>
      </c>
      <c r="E168">
        <v>9</v>
      </c>
      <c r="F168" s="2">
        <v>45393</v>
      </c>
      <c r="G168" s="1" t="str">
        <f>VLOOKUP(Summary_Laporan_Penjualan_20248[[#This Row],[ID_Pelanggan]], Data_Pelanggan[], 2, 0)</f>
        <v>PT Maju Jaya</v>
      </c>
      <c r="H168" s="1" t="str">
        <f>VLOOKUP(Summary_Laporan_Penjualan_20248[[#This Row],[ID_Pelanggan]], Data_Pelanggan[], 4, 0)</f>
        <v>Jakarta</v>
      </c>
      <c r="I168" s="1" t="str">
        <f>VLOOKUP(Summary_Laporan_Penjualan_20248[[#This Row],[ID_Produk]], Data_Produk[], 6, 0)</f>
        <v>Semarang</v>
      </c>
      <c r="J168" s="1">
        <f>VLOOKUP(Summary_Laporan_Penjualan_20248[[#This Row],[ID_Produk]], Data_Produk[], 7, 0)</f>
        <v>100000</v>
      </c>
      <c r="K168" s="1">
        <f>VLOOKUP(Summary_Laporan_Penjualan_20248[[#This Row],[ID_Produk]], Data_Produk[], 8, 0)</f>
        <v>169000</v>
      </c>
    </row>
    <row r="169" spans="1:11" x14ac:dyDescent="0.35">
      <c r="A169" s="1" t="s">
        <v>465</v>
      </c>
      <c r="B169" s="1" t="s">
        <v>272</v>
      </c>
      <c r="C169" s="1" t="s">
        <v>39</v>
      </c>
      <c r="D169" s="1" t="s">
        <v>128</v>
      </c>
      <c r="E169">
        <v>13</v>
      </c>
      <c r="F169" s="2">
        <v>45345</v>
      </c>
      <c r="G169" s="1" t="str">
        <f>VLOOKUP(Summary_Laporan_Penjualan_20248[[#This Row],[ID_Pelanggan]], Data_Pelanggan[], 2, 0)</f>
        <v>Toko Elektronik Jaya</v>
      </c>
      <c r="H169" s="1" t="str">
        <f>VLOOKUP(Summary_Laporan_Penjualan_20248[[#This Row],[ID_Pelanggan]], Data_Pelanggan[], 4, 0)</f>
        <v>Semarang</v>
      </c>
      <c r="I169" s="1" t="str">
        <f>VLOOKUP(Summary_Laporan_Penjualan_20248[[#This Row],[ID_Produk]], Data_Produk[], 6, 0)</f>
        <v>Depok</v>
      </c>
      <c r="J169" s="1">
        <f>VLOOKUP(Summary_Laporan_Penjualan_20248[[#This Row],[ID_Produk]], Data_Produk[], 7, 0)</f>
        <v>650000</v>
      </c>
      <c r="K169" s="1">
        <f>VLOOKUP(Summary_Laporan_Penjualan_20248[[#This Row],[ID_Produk]], Data_Produk[], 8, 0)</f>
        <v>741000</v>
      </c>
    </row>
    <row r="170" spans="1:11" x14ac:dyDescent="0.35">
      <c r="A170" s="1" t="s">
        <v>467</v>
      </c>
      <c r="B170" s="1" t="s">
        <v>176</v>
      </c>
      <c r="C170" s="1" t="s">
        <v>63</v>
      </c>
      <c r="D170" s="1" t="s">
        <v>171</v>
      </c>
      <c r="E170">
        <v>14</v>
      </c>
      <c r="F170" s="2">
        <v>45473</v>
      </c>
      <c r="G170" s="1" t="str">
        <f>VLOOKUP(Summary_Laporan_Penjualan_20248[[#This Row],[ID_Pelanggan]], Data_Pelanggan[], 2, 0)</f>
        <v>UD Makmur</v>
      </c>
      <c r="H170" s="1" t="str">
        <f>VLOOKUP(Summary_Laporan_Penjualan_20248[[#This Row],[ID_Pelanggan]], Data_Pelanggan[], 4, 0)</f>
        <v>Palembang</v>
      </c>
      <c r="I170" s="1" t="str">
        <f>VLOOKUP(Summary_Laporan_Penjualan_20248[[#This Row],[ID_Produk]], Data_Produk[], 6, 0)</f>
        <v>Depok</v>
      </c>
      <c r="J170" s="1">
        <f>VLOOKUP(Summary_Laporan_Penjualan_20248[[#This Row],[ID_Produk]], Data_Produk[], 7, 0)</f>
        <v>1500000</v>
      </c>
      <c r="K170" s="1">
        <f>VLOOKUP(Summary_Laporan_Penjualan_20248[[#This Row],[ID_Produk]], Data_Produk[], 8, 0)</f>
        <v>1772000</v>
      </c>
    </row>
    <row r="171" spans="1:11" x14ac:dyDescent="0.35">
      <c r="A171" s="1" t="s">
        <v>469</v>
      </c>
      <c r="B171" s="1" t="s">
        <v>168</v>
      </c>
      <c r="C171" s="1" t="s">
        <v>51</v>
      </c>
      <c r="D171" s="1" t="s">
        <v>128</v>
      </c>
      <c r="E171">
        <v>12</v>
      </c>
      <c r="F171" s="2">
        <v>45533</v>
      </c>
      <c r="G171" s="1" t="str">
        <f>VLOOKUP(Summary_Laporan_Penjualan_20248[[#This Row],[ID_Pelanggan]], Data_Pelanggan[], 2, 0)</f>
        <v>Toko Musik Digital</v>
      </c>
      <c r="H171" s="1" t="str">
        <f>VLOOKUP(Summary_Laporan_Penjualan_20248[[#This Row],[ID_Pelanggan]], Data_Pelanggan[], 4, 0)</f>
        <v>Denpasar</v>
      </c>
      <c r="I171" s="1" t="str">
        <f>VLOOKUP(Summary_Laporan_Penjualan_20248[[#This Row],[ID_Produk]], Data_Produk[], 6, 0)</f>
        <v>Semarang</v>
      </c>
      <c r="J171" s="1">
        <f>VLOOKUP(Summary_Laporan_Penjualan_20248[[#This Row],[ID_Produk]], Data_Produk[], 7, 0)</f>
        <v>500000</v>
      </c>
      <c r="K171" s="1">
        <f>VLOOKUP(Summary_Laporan_Penjualan_20248[[#This Row],[ID_Produk]], Data_Produk[], 8, 0)</f>
        <v>844000</v>
      </c>
    </row>
    <row r="172" spans="1:11" x14ac:dyDescent="0.35">
      <c r="A172" s="1" t="s">
        <v>471</v>
      </c>
      <c r="B172" s="1" t="s">
        <v>106</v>
      </c>
      <c r="C172" s="1" t="s">
        <v>78</v>
      </c>
      <c r="D172" s="1" t="s">
        <v>143</v>
      </c>
      <c r="E172">
        <v>1</v>
      </c>
      <c r="F172" s="2">
        <v>45501</v>
      </c>
      <c r="G172" s="1" t="str">
        <f>VLOOKUP(Summary_Laporan_Penjualan_20248[[#This Row],[ID_Pelanggan]], Data_Pelanggan[], 2, 0)</f>
        <v>CV Sinar Terang</v>
      </c>
      <c r="H172" s="1" t="str">
        <f>VLOOKUP(Summary_Laporan_Penjualan_20248[[#This Row],[ID_Pelanggan]], Data_Pelanggan[], 4, 0)</f>
        <v>Bandung</v>
      </c>
      <c r="I172" s="1" t="str">
        <f>VLOOKUP(Summary_Laporan_Penjualan_20248[[#This Row],[ID_Produk]], Data_Produk[], 6, 0)</f>
        <v>Depok</v>
      </c>
      <c r="J172" s="1">
        <f>VLOOKUP(Summary_Laporan_Penjualan_20248[[#This Row],[ID_Produk]], Data_Produk[], 7, 0)</f>
        <v>300000</v>
      </c>
      <c r="K172" s="1">
        <f>VLOOKUP(Summary_Laporan_Penjualan_20248[[#This Row],[ID_Produk]], Data_Produk[], 8, 0)</f>
        <v>355000</v>
      </c>
    </row>
    <row r="173" spans="1:11" x14ac:dyDescent="0.35">
      <c r="A173" s="1" t="s">
        <v>473</v>
      </c>
      <c r="B173" s="1" t="s">
        <v>172</v>
      </c>
      <c r="C173" s="1" t="s">
        <v>63</v>
      </c>
      <c r="D173" s="1" t="s">
        <v>124</v>
      </c>
      <c r="E173">
        <v>11</v>
      </c>
      <c r="F173" s="2">
        <v>45657</v>
      </c>
      <c r="G173" s="1" t="str">
        <f>VLOOKUP(Summary_Laporan_Penjualan_20248[[#This Row],[ID_Pelanggan]], Data_Pelanggan[], 2, 0)</f>
        <v>UD Makmur</v>
      </c>
      <c r="H173" s="1" t="str">
        <f>VLOOKUP(Summary_Laporan_Penjualan_20248[[#This Row],[ID_Pelanggan]], Data_Pelanggan[], 4, 0)</f>
        <v>Palembang</v>
      </c>
      <c r="I173" s="1" t="str">
        <f>VLOOKUP(Summary_Laporan_Penjualan_20248[[#This Row],[ID_Produk]], Data_Produk[], 6, 0)</f>
        <v>Semarang</v>
      </c>
      <c r="J173" s="1">
        <f>VLOOKUP(Summary_Laporan_Penjualan_20248[[#This Row],[ID_Produk]], Data_Produk[], 7, 0)</f>
        <v>950000</v>
      </c>
      <c r="K173" s="1">
        <f>VLOOKUP(Summary_Laporan_Penjualan_20248[[#This Row],[ID_Produk]], Data_Produk[], 8, 0)</f>
        <v>1649000</v>
      </c>
    </row>
    <row r="174" spans="1:11" x14ac:dyDescent="0.35">
      <c r="A174" s="1" t="s">
        <v>475</v>
      </c>
      <c r="B174" s="1" t="s">
        <v>116</v>
      </c>
      <c r="C174" s="1" t="s">
        <v>35</v>
      </c>
      <c r="D174" s="1" t="s">
        <v>121</v>
      </c>
      <c r="E174">
        <v>11</v>
      </c>
      <c r="F174" s="2">
        <v>45529</v>
      </c>
      <c r="G174" s="1" t="str">
        <f>VLOOKUP(Summary_Laporan_Penjualan_20248[[#This Row],[ID_Pelanggan]], Data_Pelanggan[], 2, 0)</f>
        <v>PT Digital Nusantara</v>
      </c>
      <c r="H174" s="1" t="str">
        <f>VLOOKUP(Summary_Laporan_Penjualan_20248[[#This Row],[ID_Pelanggan]], Data_Pelanggan[], 4, 0)</f>
        <v>Jakarta</v>
      </c>
      <c r="I174" s="1" t="str">
        <f>VLOOKUP(Summary_Laporan_Penjualan_20248[[#This Row],[ID_Produk]], Data_Produk[], 6, 0)</f>
        <v>Depok</v>
      </c>
      <c r="J174" s="1">
        <f>VLOOKUP(Summary_Laporan_Penjualan_20248[[#This Row],[ID_Produk]], Data_Produk[], 7, 0)</f>
        <v>5000000</v>
      </c>
      <c r="K174" s="1">
        <f>VLOOKUP(Summary_Laporan_Penjualan_20248[[#This Row],[ID_Produk]], Data_Produk[], 8, 0)</f>
        <v>7546000</v>
      </c>
    </row>
    <row r="175" spans="1:11" x14ac:dyDescent="0.35">
      <c r="A175" s="1" t="s">
        <v>477</v>
      </c>
      <c r="B175" s="1" t="s">
        <v>172</v>
      </c>
      <c r="C175" s="1" t="s">
        <v>78</v>
      </c>
      <c r="D175" s="1" t="s">
        <v>157</v>
      </c>
      <c r="E175">
        <v>8</v>
      </c>
      <c r="F175" s="2">
        <v>45611</v>
      </c>
      <c r="G175" s="1" t="str">
        <f>VLOOKUP(Summary_Laporan_Penjualan_20248[[#This Row],[ID_Pelanggan]], Data_Pelanggan[], 2, 0)</f>
        <v>CV Sinar Terang</v>
      </c>
      <c r="H175" s="1" t="str">
        <f>VLOOKUP(Summary_Laporan_Penjualan_20248[[#This Row],[ID_Pelanggan]], Data_Pelanggan[], 4, 0)</f>
        <v>Bandung</v>
      </c>
      <c r="I175" s="1" t="str">
        <f>VLOOKUP(Summary_Laporan_Penjualan_20248[[#This Row],[ID_Produk]], Data_Produk[], 6, 0)</f>
        <v>Semarang</v>
      </c>
      <c r="J175" s="1">
        <f>VLOOKUP(Summary_Laporan_Penjualan_20248[[#This Row],[ID_Produk]], Data_Produk[], 7, 0)</f>
        <v>950000</v>
      </c>
      <c r="K175" s="1">
        <f>VLOOKUP(Summary_Laporan_Penjualan_20248[[#This Row],[ID_Produk]], Data_Produk[], 8, 0)</f>
        <v>1649000</v>
      </c>
    </row>
    <row r="176" spans="1:11" x14ac:dyDescent="0.35">
      <c r="A176" s="1" t="s">
        <v>479</v>
      </c>
      <c r="B176" s="1" t="s">
        <v>240</v>
      </c>
      <c r="C176" s="1" t="s">
        <v>15</v>
      </c>
      <c r="D176" s="1" t="s">
        <v>171</v>
      </c>
      <c r="E176">
        <v>5</v>
      </c>
      <c r="F176" s="2">
        <v>45381</v>
      </c>
      <c r="G176" s="1" t="str">
        <f>VLOOKUP(Summary_Laporan_Penjualan_20248[[#This Row],[ID_Pelanggan]], Data_Pelanggan[], 2, 0)</f>
        <v>CV Berkah</v>
      </c>
      <c r="H176" s="1" t="str">
        <f>VLOOKUP(Summary_Laporan_Penjualan_20248[[#This Row],[ID_Pelanggan]], Data_Pelanggan[], 4, 0)</f>
        <v>Bandung</v>
      </c>
      <c r="I176" s="1" t="str">
        <f>VLOOKUP(Summary_Laporan_Penjualan_20248[[#This Row],[ID_Produk]], Data_Produk[], 6, 0)</f>
        <v>Semarang</v>
      </c>
      <c r="J176" s="1">
        <f>VLOOKUP(Summary_Laporan_Penjualan_20248[[#This Row],[ID_Produk]], Data_Produk[], 7, 0)</f>
        <v>350000</v>
      </c>
      <c r="K176" s="1">
        <f>VLOOKUP(Summary_Laporan_Penjualan_20248[[#This Row],[ID_Produk]], Data_Produk[], 8, 0)</f>
        <v>626000</v>
      </c>
    </row>
    <row r="177" spans="1:11" x14ac:dyDescent="0.35">
      <c r="A177" s="1" t="s">
        <v>481</v>
      </c>
      <c r="B177" s="1" t="s">
        <v>197</v>
      </c>
      <c r="C177" s="1" t="s">
        <v>87</v>
      </c>
      <c r="D177" s="1" t="s">
        <v>171</v>
      </c>
      <c r="E177">
        <v>3</v>
      </c>
      <c r="F177" s="2">
        <v>45432</v>
      </c>
      <c r="G177" s="1" t="str">
        <f>VLOOKUP(Summary_Laporan_Penjualan_20248[[#This Row],[ID_Pelanggan]], Data_Pelanggan[], 2, 0)</f>
        <v>PT Indo Digital</v>
      </c>
      <c r="H177" s="1" t="str">
        <f>VLOOKUP(Summary_Laporan_Penjualan_20248[[#This Row],[ID_Pelanggan]], Data_Pelanggan[], 4, 0)</f>
        <v>Tangerang</v>
      </c>
      <c r="I177" s="1" t="str">
        <f>VLOOKUP(Summary_Laporan_Penjualan_20248[[#This Row],[ID_Produk]], Data_Produk[], 6, 0)</f>
        <v>Jakarta</v>
      </c>
      <c r="J177" s="1">
        <f>VLOOKUP(Summary_Laporan_Penjualan_20248[[#This Row],[ID_Produk]], Data_Produk[], 7, 0)</f>
        <v>1200000</v>
      </c>
      <c r="K177" s="1">
        <f>VLOOKUP(Summary_Laporan_Penjualan_20248[[#This Row],[ID_Produk]], Data_Produk[], 8, 0)</f>
        <v>1375000</v>
      </c>
    </row>
    <row r="178" spans="1:11" x14ac:dyDescent="0.35">
      <c r="A178" s="1" t="s">
        <v>483</v>
      </c>
      <c r="B178" s="1" t="s">
        <v>197</v>
      </c>
      <c r="C178" s="1" t="s">
        <v>29</v>
      </c>
      <c r="D178" s="1" t="s">
        <v>121</v>
      </c>
      <c r="E178">
        <v>8</v>
      </c>
      <c r="F178" s="2">
        <v>45640</v>
      </c>
      <c r="G178" s="1" t="str">
        <f>VLOOKUP(Summary_Laporan_Penjualan_20248[[#This Row],[ID_Pelanggan]], Data_Pelanggan[], 2, 0)</f>
        <v>UD Sentosa</v>
      </c>
      <c r="H178" s="1" t="str">
        <f>VLOOKUP(Summary_Laporan_Penjualan_20248[[#This Row],[ID_Pelanggan]], Data_Pelanggan[], 4, 0)</f>
        <v>Medan</v>
      </c>
      <c r="I178" s="1" t="str">
        <f>VLOOKUP(Summary_Laporan_Penjualan_20248[[#This Row],[ID_Produk]], Data_Produk[], 6, 0)</f>
        <v>Jakarta</v>
      </c>
      <c r="J178" s="1">
        <f>VLOOKUP(Summary_Laporan_Penjualan_20248[[#This Row],[ID_Produk]], Data_Produk[], 7, 0)</f>
        <v>1200000</v>
      </c>
      <c r="K178" s="1">
        <f>VLOOKUP(Summary_Laporan_Penjualan_20248[[#This Row],[ID_Produk]], Data_Produk[], 8, 0)</f>
        <v>1375000</v>
      </c>
    </row>
    <row r="179" spans="1:11" x14ac:dyDescent="0.35">
      <c r="A179" s="1" t="s">
        <v>485</v>
      </c>
      <c r="B179" s="1" t="s">
        <v>141</v>
      </c>
      <c r="C179" s="1" t="s">
        <v>8</v>
      </c>
      <c r="D179" s="1" t="s">
        <v>143</v>
      </c>
      <c r="E179">
        <v>10</v>
      </c>
      <c r="F179" s="2">
        <v>45332</v>
      </c>
      <c r="G179" s="1" t="str">
        <f>VLOOKUP(Summary_Laporan_Penjualan_20248[[#This Row],[ID_Pelanggan]], Data_Pelanggan[], 2, 0)</f>
        <v>PT Maju Jaya</v>
      </c>
      <c r="H179" s="1" t="str">
        <f>VLOOKUP(Summary_Laporan_Penjualan_20248[[#This Row],[ID_Pelanggan]], Data_Pelanggan[], 4, 0)</f>
        <v>Jakarta</v>
      </c>
      <c r="I179" s="1" t="str">
        <f>VLOOKUP(Summary_Laporan_Penjualan_20248[[#This Row],[ID_Produk]], Data_Produk[], 6, 0)</f>
        <v>Semarang</v>
      </c>
      <c r="J179" s="1">
        <f>VLOOKUP(Summary_Laporan_Penjualan_20248[[#This Row],[ID_Produk]], Data_Produk[], 7, 0)</f>
        <v>400000</v>
      </c>
      <c r="K179" s="1">
        <f>VLOOKUP(Summary_Laporan_Penjualan_20248[[#This Row],[ID_Produk]], Data_Produk[], 8, 0)</f>
        <v>623000</v>
      </c>
    </row>
    <row r="180" spans="1:11" x14ac:dyDescent="0.35">
      <c r="A180" s="1" t="s">
        <v>487</v>
      </c>
      <c r="B180" s="1" t="s">
        <v>111</v>
      </c>
      <c r="C180" s="1" t="s">
        <v>82</v>
      </c>
      <c r="D180" s="1" t="s">
        <v>143</v>
      </c>
      <c r="E180">
        <v>10</v>
      </c>
      <c r="F180" s="2">
        <v>45325</v>
      </c>
      <c r="G180" s="1" t="str">
        <f>VLOOKUP(Summary_Laporan_Penjualan_20248[[#This Row],[ID_Pelanggan]], Data_Pelanggan[], 2, 0)</f>
        <v>Toko Komputer Maju</v>
      </c>
      <c r="H180" s="1" t="str">
        <f>VLOOKUP(Summary_Laporan_Penjualan_20248[[#This Row],[ID_Pelanggan]], Data_Pelanggan[], 4, 0)</f>
        <v>Solo</v>
      </c>
      <c r="I180" s="1" t="str">
        <f>VLOOKUP(Summary_Laporan_Penjualan_20248[[#This Row],[ID_Produk]], Data_Produk[], 6, 0)</f>
        <v>Depok</v>
      </c>
      <c r="J180" s="1">
        <f>VLOOKUP(Summary_Laporan_Penjualan_20248[[#This Row],[ID_Produk]], Data_Produk[], 7, 0)</f>
        <v>18000000</v>
      </c>
      <c r="K180" s="1">
        <f>VLOOKUP(Summary_Laporan_Penjualan_20248[[#This Row],[ID_Produk]], Data_Produk[], 8, 0)</f>
        <v>27603000</v>
      </c>
    </row>
    <row r="181" spans="1:11" x14ac:dyDescent="0.35">
      <c r="A181" s="1" t="s">
        <v>489</v>
      </c>
      <c r="B181" s="1" t="s">
        <v>164</v>
      </c>
      <c r="C181" s="1" t="s">
        <v>15</v>
      </c>
      <c r="D181" s="1" t="s">
        <v>171</v>
      </c>
      <c r="E181">
        <v>6</v>
      </c>
      <c r="F181" s="2">
        <v>45408</v>
      </c>
      <c r="G181" s="1" t="str">
        <f>VLOOKUP(Summary_Laporan_Penjualan_20248[[#This Row],[ID_Pelanggan]], Data_Pelanggan[], 2, 0)</f>
        <v>CV Berkah</v>
      </c>
      <c r="H181" s="1" t="str">
        <f>VLOOKUP(Summary_Laporan_Penjualan_20248[[#This Row],[ID_Pelanggan]], Data_Pelanggan[], 4, 0)</f>
        <v>Bandung</v>
      </c>
      <c r="I181" s="1" t="str">
        <f>VLOOKUP(Summary_Laporan_Penjualan_20248[[#This Row],[ID_Produk]], Data_Produk[], 6, 0)</f>
        <v>Jakarta</v>
      </c>
      <c r="J181" s="1">
        <f>VLOOKUP(Summary_Laporan_Penjualan_20248[[#This Row],[ID_Produk]], Data_Produk[], 7, 0)</f>
        <v>750000</v>
      </c>
      <c r="K181" s="1">
        <f>VLOOKUP(Summary_Laporan_Penjualan_20248[[#This Row],[ID_Produk]], Data_Produk[], 8, 0)</f>
        <v>971000</v>
      </c>
    </row>
    <row r="182" spans="1:11" x14ac:dyDescent="0.35">
      <c r="A182" s="1" t="s">
        <v>491</v>
      </c>
      <c r="B182" s="1" t="s">
        <v>164</v>
      </c>
      <c r="C182" s="1" t="s">
        <v>82</v>
      </c>
      <c r="D182" s="1" t="s">
        <v>171</v>
      </c>
      <c r="E182">
        <v>10</v>
      </c>
      <c r="F182" s="2">
        <v>45526</v>
      </c>
      <c r="G182" s="1" t="str">
        <f>VLOOKUP(Summary_Laporan_Penjualan_20248[[#This Row],[ID_Pelanggan]], Data_Pelanggan[], 2, 0)</f>
        <v>Toko Komputer Maju</v>
      </c>
      <c r="H182" s="1" t="str">
        <f>VLOOKUP(Summary_Laporan_Penjualan_20248[[#This Row],[ID_Pelanggan]], Data_Pelanggan[], 4, 0)</f>
        <v>Solo</v>
      </c>
      <c r="I182" s="1" t="str">
        <f>VLOOKUP(Summary_Laporan_Penjualan_20248[[#This Row],[ID_Produk]], Data_Produk[], 6, 0)</f>
        <v>Jakarta</v>
      </c>
      <c r="J182" s="1">
        <f>VLOOKUP(Summary_Laporan_Penjualan_20248[[#This Row],[ID_Produk]], Data_Produk[], 7, 0)</f>
        <v>750000</v>
      </c>
      <c r="K182" s="1">
        <f>VLOOKUP(Summary_Laporan_Penjualan_20248[[#This Row],[ID_Produk]], Data_Produk[], 8, 0)</f>
        <v>971000</v>
      </c>
    </row>
    <row r="183" spans="1:11" x14ac:dyDescent="0.35">
      <c r="A183" s="1" t="s">
        <v>493</v>
      </c>
      <c r="B183" s="1" t="s">
        <v>111</v>
      </c>
      <c r="C183" s="1" t="s">
        <v>35</v>
      </c>
      <c r="D183" s="1" t="s">
        <v>121</v>
      </c>
      <c r="E183">
        <v>13</v>
      </c>
      <c r="F183" s="2">
        <v>45648</v>
      </c>
      <c r="G183" s="1" t="str">
        <f>VLOOKUP(Summary_Laporan_Penjualan_20248[[#This Row],[ID_Pelanggan]], Data_Pelanggan[], 2, 0)</f>
        <v>PT Digital Nusantara</v>
      </c>
      <c r="H183" s="1" t="str">
        <f>VLOOKUP(Summary_Laporan_Penjualan_20248[[#This Row],[ID_Pelanggan]], Data_Pelanggan[], 4, 0)</f>
        <v>Jakarta</v>
      </c>
      <c r="I183" s="1" t="str">
        <f>VLOOKUP(Summary_Laporan_Penjualan_20248[[#This Row],[ID_Produk]], Data_Produk[], 6, 0)</f>
        <v>Depok</v>
      </c>
      <c r="J183" s="1">
        <f>VLOOKUP(Summary_Laporan_Penjualan_20248[[#This Row],[ID_Produk]], Data_Produk[], 7, 0)</f>
        <v>18000000</v>
      </c>
      <c r="K183" s="1">
        <f>VLOOKUP(Summary_Laporan_Penjualan_20248[[#This Row],[ID_Produk]], Data_Produk[], 8, 0)</f>
        <v>27603000</v>
      </c>
    </row>
    <row r="184" spans="1:11" x14ac:dyDescent="0.35">
      <c r="A184" s="1" t="s">
        <v>495</v>
      </c>
      <c r="B184" s="1" t="s">
        <v>116</v>
      </c>
      <c r="C184" s="1" t="s">
        <v>15</v>
      </c>
      <c r="D184" s="1" t="s">
        <v>157</v>
      </c>
      <c r="E184">
        <v>1</v>
      </c>
      <c r="F184" s="2">
        <v>45416</v>
      </c>
      <c r="G184" s="1" t="str">
        <f>VLOOKUP(Summary_Laporan_Penjualan_20248[[#This Row],[ID_Pelanggan]], Data_Pelanggan[], 2, 0)</f>
        <v>CV Berkah</v>
      </c>
      <c r="H184" s="1" t="str">
        <f>VLOOKUP(Summary_Laporan_Penjualan_20248[[#This Row],[ID_Pelanggan]], Data_Pelanggan[], 4, 0)</f>
        <v>Bandung</v>
      </c>
      <c r="I184" s="1" t="str">
        <f>VLOOKUP(Summary_Laporan_Penjualan_20248[[#This Row],[ID_Produk]], Data_Produk[], 6, 0)</f>
        <v>Depok</v>
      </c>
      <c r="J184" s="1">
        <f>VLOOKUP(Summary_Laporan_Penjualan_20248[[#This Row],[ID_Produk]], Data_Produk[], 7, 0)</f>
        <v>5000000</v>
      </c>
      <c r="K184" s="1">
        <f>VLOOKUP(Summary_Laporan_Penjualan_20248[[#This Row],[ID_Produk]], Data_Produk[], 8, 0)</f>
        <v>7546000</v>
      </c>
    </row>
    <row r="185" spans="1:11" x14ac:dyDescent="0.35">
      <c r="A185" s="1" t="s">
        <v>497</v>
      </c>
      <c r="B185" s="1" t="s">
        <v>149</v>
      </c>
      <c r="C185" s="1" t="s">
        <v>8</v>
      </c>
      <c r="D185" s="1" t="s">
        <v>143</v>
      </c>
      <c r="E185">
        <v>15</v>
      </c>
      <c r="F185" s="2">
        <v>45545</v>
      </c>
      <c r="G185" s="1" t="str">
        <f>VLOOKUP(Summary_Laporan_Penjualan_20248[[#This Row],[ID_Pelanggan]], Data_Pelanggan[], 2, 0)</f>
        <v>PT Maju Jaya</v>
      </c>
      <c r="H185" s="1" t="str">
        <f>VLOOKUP(Summary_Laporan_Penjualan_20248[[#This Row],[ID_Pelanggan]], Data_Pelanggan[], 4, 0)</f>
        <v>Jakarta</v>
      </c>
      <c r="I185" s="1" t="str">
        <f>VLOOKUP(Summary_Laporan_Penjualan_20248[[#This Row],[ID_Produk]], Data_Produk[], 6, 0)</f>
        <v>Semarang</v>
      </c>
      <c r="J185" s="1">
        <f>VLOOKUP(Summary_Laporan_Penjualan_20248[[#This Row],[ID_Produk]], Data_Produk[], 7, 0)</f>
        <v>100000</v>
      </c>
      <c r="K185" s="1">
        <f>VLOOKUP(Summary_Laporan_Penjualan_20248[[#This Row],[ID_Produk]], Data_Produk[], 8, 0)</f>
        <v>169000</v>
      </c>
    </row>
    <row r="186" spans="1:11" x14ac:dyDescent="0.35">
      <c r="A186" s="1" t="s">
        <v>499</v>
      </c>
      <c r="B186" s="1" t="s">
        <v>188</v>
      </c>
      <c r="C186" s="1" t="s">
        <v>87</v>
      </c>
      <c r="D186" s="1" t="s">
        <v>143</v>
      </c>
      <c r="E186">
        <v>1</v>
      </c>
      <c r="F186" s="2">
        <v>45530</v>
      </c>
      <c r="G186" s="1" t="str">
        <f>VLOOKUP(Summary_Laporan_Penjualan_20248[[#This Row],[ID_Pelanggan]], Data_Pelanggan[], 2, 0)</f>
        <v>PT Indo Digital</v>
      </c>
      <c r="H186" s="1" t="str">
        <f>VLOOKUP(Summary_Laporan_Penjualan_20248[[#This Row],[ID_Pelanggan]], Data_Pelanggan[], 4, 0)</f>
        <v>Tangerang</v>
      </c>
      <c r="I186" s="1" t="str">
        <f>VLOOKUP(Summary_Laporan_Penjualan_20248[[#This Row],[ID_Produk]], Data_Produk[], 6, 0)</f>
        <v>Semarang</v>
      </c>
      <c r="J186" s="1">
        <f>VLOOKUP(Summary_Laporan_Penjualan_20248[[#This Row],[ID_Produk]], Data_Produk[], 7, 0)</f>
        <v>2800000</v>
      </c>
      <c r="K186" s="1">
        <f>VLOOKUP(Summary_Laporan_Penjualan_20248[[#This Row],[ID_Produk]], Data_Produk[], 8, 0)</f>
        <v>4747000</v>
      </c>
    </row>
    <row r="187" spans="1:11" x14ac:dyDescent="0.35">
      <c r="A187" s="1" t="s">
        <v>501</v>
      </c>
      <c r="B187" s="1" t="s">
        <v>164</v>
      </c>
      <c r="C187" s="1" t="s">
        <v>82</v>
      </c>
      <c r="D187" s="1" t="s">
        <v>121</v>
      </c>
      <c r="E187">
        <v>5</v>
      </c>
      <c r="F187" s="2">
        <v>45455</v>
      </c>
      <c r="G187" s="1" t="str">
        <f>VLOOKUP(Summary_Laporan_Penjualan_20248[[#This Row],[ID_Pelanggan]], Data_Pelanggan[], 2, 0)</f>
        <v>Toko Komputer Maju</v>
      </c>
      <c r="H187" s="1" t="str">
        <f>VLOOKUP(Summary_Laporan_Penjualan_20248[[#This Row],[ID_Pelanggan]], Data_Pelanggan[], 4, 0)</f>
        <v>Solo</v>
      </c>
      <c r="I187" s="1" t="str">
        <f>VLOOKUP(Summary_Laporan_Penjualan_20248[[#This Row],[ID_Produk]], Data_Produk[], 6, 0)</f>
        <v>Jakarta</v>
      </c>
      <c r="J187" s="1">
        <f>VLOOKUP(Summary_Laporan_Penjualan_20248[[#This Row],[ID_Produk]], Data_Produk[], 7, 0)</f>
        <v>750000</v>
      </c>
      <c r="K187" s="1">
        <f>VLOOKUP(Summary_Laporan_Penjualan_20248[[#This Row],[ID_Produk]], Data_Produk[], 8, 0)</f>
        <v>971000</v>
      </c>
    </row>
    <row r="188" spans="1:11" x14ac:dyDescent="0.35">
      <c r="A188" s="1" t="s">
        <v>503</v>
      </c>
      <c r="B188" s="1" t="s">
        <v>191</v>
      </c>
      <c r="C188" s="1" t="s">
        <v>63</v>
      </c>
      <c r="D188" s="1" t="s">
        <v>121</v>
      </c>
      <c r="E188">
        <v>15</v>
      </c>
      <c r="F188" s="2">
        <v>45643</v>
      </c>
      <c r="G188" s="1" t="str">
        <f>VLOOKUP(Summary_Laporan_Penjualan_20248[[#This Row],[ID_Pelanggan]], Data_Pelanggan[], 2, 0)</f>
        <v>UD Makmur</v>
      </c>
      <c r="H188" s="1" t="str">
        <f>VLOOKUP(Summary_Laporan_Penjualan_20248[[#This Row],[ID_Pelanggan]], Data_Pelanggan[], 4, 0)</f>
        <v>Palembang</v>
      </c>
      <c r="I188" s="1" t="str">
        <f>VLOOKUP(Summary_Laporan_Penjualan_20248[[#This Row],[ID_Produk]], Data_Produk[], 6, 0)</f>
        <v>Jakarta</v>
      </c>
      <c r="J188" s="1">
        <f>VLOOKUP(Summary_Laporan_Penjualan_20248[[#This Row],[ID_Produk]], Data_Produk[], 7, 0)</f>
        <v>12000000</v>
      </c>
      <c r="K188" s="1">
        <f>VLOOKUP(Summary_Laporan_Penjualan_20248[[#This Row],[ID_Produk]], Data_Produk[], 8, 0)</f>
        <v>13963000</v>
      </c>
    </row>
    <row r="189" spans="1:11" x14ac:dyDescent="0.35">
      <c r="A189" s="1" t="s">
        <v>505</v>
      </c>
      <c r="B189" s="1" t="s">
        <v>111</v>
      </c>
      <c r="C189" s="1" t="s">
        <v>78</v>
      </c>
      <c r="D189" s="1" t="s">
        <v>171</v>
      </c>
      <c r="E189">
        <v>5</v>
      </c>
      <c r="F189" s="2">
        <v>45412</v>
      </c>
      <c r="G189" s="1" t="str">
        <f>VLOOKUP(Summary_Laporan_Penjualan_20248[[#This Row],[ID_Pelanggan]], Data_Pelanggan[], 2, 0)</f>
        <v>CV Sinar Terang</v>
      </c>
      <c r="H189" s="1" t="str">
        <f>VLOOKUP(Summary_Laporan_Penjualan_20248[[#This Row],[ID_Pelanggan]], Data_Pelanggan[], 4, 0)</f>
        <v>Bandung</v>
      </c>
      <c r="I189" s="1" t="str">
        <f>VLOOKUP(Summary_Laporan_Penjualan_20248[[#This Row],[ID_Produk]], Data_Produk[], 6, 0)</f>
        <v>Depok</v>
      </c>
      <c r="J189" s="1">
        <f>VLOOKUP(Summary_Laporan_Penjualan_20248[[#This Row],[ID_Produk]], Data_Produk[], 7, 0)</f>
        <v>18000000</v>
      </c>
      <c r="K189" s="1">
        <f>VLOOKUP(Summary_Laporan_Penjualan_20248[[#This Row],[ID_Produk]], Data_Produk[], 8, 0)</f>
        <v>27603000</v>
      </c>
    </row>
    <row r="190" spans="1:11" x14ac:dyDescent="0.35">
      <c r="A190" s="1" t="s">
        <v>506</v>
      </c>
      <c r="B190" s="1" t="s">
        <v>116</v>
      </c>
      <c r="C190" s="1" t="s">
        <v>69</v>
      </c>
      <c r="D190" s="1" t="s">
        <v>143</v>
      </c>
      <c r="E190">
        <v>10</v>
      </c>
      <c r="F190" s="2">
        <v>45597</v>
      </c>
      <c r="G190" s="1" t="str">
        <f>VLOOKUP(Summary_Laporan_Penjualan_20248[[#This Row],[ID_Pelanggan]], Data_Pelanggan[], 2, 0)</f>
        <v>PT Teknologi Prima</v>
      </c>
      <c r="H190" s="1" t="str">
        <f>VLOOKUP(Summary_Laporan_Penjualan_20248[[#This Row],[ID_Pelanggan]], Data_Pelanggan[], 4, 0)</f>
        <v>Jakarta</v>
      </c>
      <c r="I190" s="1" t="str">
        <f>VLOOKUP(Summary_Laporan_Penjualan_20248[[#This Row],[ID_Produk]], Data_Produk[], 6, 0)</f>
        <v>Depok</v>
      </c>
      <c r="J190" s="1">
        <f>VLOOKUP(Summary_Laporan_Penjualan_20248[[#This Row],[ID_Produk]], Data_Produk[], 7, 0)</f>
        <v>5000000</v>
      </c>
      <c r="K190" s="1">
        <f>VLOOKUP(Summary_Laporan_Penjualan_20248[[#This Row],[ID_Produk]], Data_Produk[], 8, 0)</f>
        <v>7546000</v>
      </c>
    </row>
    <row r="191" spans="1:11" x14ac:dyDescent="0.35">
      <c r="A191" s="1" t="s">
        <v>508</v>
      </c>
      <c r="B191" s="1" t="s">
        <v>141</v>
      </c>
      <c r="C191" s="1" t="s">
        <v>51</v>
      </c>
      <c r="D191" s="1" t="s">
        <v>121</v>
      </c>
      <c r="E191">
        <v>1</v>
      </c>
      <c r="F191" s="2">
        <v>45655</v>
      </c>
      <c r="G191" s="1" t="str">
        <f>VLOOKUP(Summary_Laporan_Penjualan_20248[[#This Row],[ID_Pelanggan]], Data_Pelanggan[], 2, 0)</f>
        <v>Toko Musik Digital</v>
      </c>
      <c r="H191" s="1" t="str">
        <f>VLOOKUP(Summary_Laporan_Penjualan_20248[[#This Row],[ID_Pelanggan]], Data_Pelanggan[], 4, 0)</f>
        <v>Denpasar</v>
      </c>
      <c r="I191" s="1" t="str">
        <f>VLOOKUP(Summary_Laporan_Penjualan_20248[[#This Row],[ID_Produk]], Data_Produk[], 6, 0)</f>
        <v>Semarang</v>
      </c>
      <c r="J191" s="1">
        <f>VLOOKUP(Summary_Laporan_Penjualan_20248[[#This Row],[ID_Produk]], Data_Produk[], 7, 0)</f>
        <v>400000</v>
      </c>
      <c r="K191" s="1">
        <f>VLOOKUP(Summary_Laporan_Penjualan_20248[[#This Row],[ID_Produk]], Data_Produk[], 8, 0)</f>
        <v>623000</v>
      </c>
    </row>
    <row r="192" spans="1:11" x14ac:dyDescent="0.35">
      <c r="A192" s="1" t="s">
        <v>510</v>
      </c>
      <c r="B192" s="1" t="s">
        <v>141</v>
      </c>
      <c r="C192" s="1" t="s">
        <v>51</v>
      </c>
      <c r="D192" s="1" t="s">
        <v>124</v>
      </c>
      <c r="E192">
        <v>1</v>
      </c>
      <c r="F192" s="2">
        <v>45404</v>
      </c>
      <c r="G192" s="1" t="str">
        <f>VLOOKUP(Summary_Laporan_Penjualan_20248[[#This Row],[ID_Pelanggan]], Data_Pelanggan[], 2, 0)</f>
        <v>Toko Musik Digital</v>
      </c>
      <c r="H192" s="1" t="str">
        <f>VLOOKUP(Summary_Laporan_Penjualan_20248[[#This Row],[ID_Pelanggan]], Data_Pelanggan[], 4, 0)</f>
        <v>Denpasar</v>
      </c>
      <c r="I192" s="1" t="str">
        <f>VLOOKUP(Summary_Laporan_Penjualan_20248[[#This Row],[ID_Produk]], Data_Produk[], 6, 0)</f>
        <v>Semarang</v>
      </c>
      <c r="J192" s="1">
        <f>VLOOKUP(Summary_Laporan_Penjualan_20248[[#This Row],[ID_Produk]], Data_Produk[], 7, 0)</f>
        <v>400000</v>
      </c>
      <c r="K192" s="1">
        <f>VLOOKUP(Summary_Laporan_Penjualan_20248[[#This Row],[ID_Produk]], Data_Produk[], 8, 0)</f>
        <v>623000</v>
      </c>
    </row>
    <row r="193" spans="1:11" x14ac:dyDescent="0.35">
      <c r="A193" s="1" t="s">
        <v>512</v>
      </c>
      <c r="B193" s="1" t="s">
        <v>168</v>
      </c>
      <c r="C193" s="1" t="s">
        <v>87</v>
      </c>
      <c r="D193" s="1" t="s">
        <v>124</v>
      </c>
      <c r="E193">
        <v>7</v>
      </c>
      <c r="F193" s="2">
        <v>45599</v>
      </c>
      <c r="G193" s="1" t="str">
        <f>VLOOKUP(Summary_Laporan_Penjualan_20248[[#This Row],[ID_Pelanggan]], Data_Pelanggan[], 2, 0)</f>
        <v>PT Indo Digital</v>
      </c>
      <c r="H193" s="1" t="str">
        <f>VLOOKUP(Summary_Laporan_Penjualan_20248[[#This Row],[ID_Pelanggan]], Data_Pelanggan[], 4, 0)</f>
        <v>Tangerang</v>
      </c>
      <c r="I193" s="1" t="str">
        <f>VLOOKUP(Summary_Laporan_Penjualan_20248[[#This Row],[ID_Produk]], Data_Produk[], 6, 0)</f>
        <v>Semarang</v>
      </c>
      <c r="J193" s="1">
        <f>VLOOKUP(Summary_Laporan_Penjualan_20248[[#This Row],[ID_Produk]], Data_Produk[], 7, 0)</f>
        <v>500000</v>
      </c>
      <c r="K193" s="1">
        <f>VLOOKUP(Summary_Laporan_Penjualan_20248[[#This Row],[ID_Produk]], Data_Produk[], 8, 0)</f>
        <v>844000</v>
      </c>
    </row>
    <row r="194" spans="1:11" x14ac:dyDescent="0.35">
      <c r="A194" s="1" t="s">
        <v>514</v>
      </c>
      <c r="B194" s="1" t="s">
        <v>188</v>
      </c>
      <c r="C194" s="1" t="s">
        <v>15</v>
      </c>
      <c r="D194" s="1" t="s">
        <v>171</v>
      </c>
      <c r="E194">
        <v>9</v>
      </c>
      <c r="F194" s="2">
        <v>45522</v>
      </c>
      <c r="G194" s="1" t="str">
        <f>VLOOKUP(Summary_Laporan_Penjualan_20248[[#This Row],[ID_Pelanggan]], Data_Pelanggan[], 2, 0)</f>
        <v>CV Berkah</v>
      </c>
      <c r="H194" s="1" t="str">
        <f>VLOOKUP(Summary_Laporan_Penjualan_20248[[#This Row],[ID_Pelanggan]], Data_Pelanggan[], 4, 0)</f>
        <v>Bandung</v>
      </c>
      <c r="I194" s="1" t="str">
        <f>VLOOKUP(Summary_Laporan_Penjualan_20248[[#This Row],[ID_Produk]], Data_Produk[], 6, 0)</f>
        <v>Semarang</v>
      </c>
      <c r="J194" s="1">
        <f>VLOOKUP(Summary_Laporan_Penjualan_20248[[#This Row],[ID_Produk]], Data_Produk[], 7, 0)</f>
        <v>2800000</v>
      </c>
      <c r="K194" s="1">
        <f>VLOOKUP(Summary_Laporan_Penjualan_20248[[#This Row],[ID_Produk]], Data_Produk[], 8, 0)</f>
        <v>4747000</v>
      </c>
    </row>
    <row r="195" spans="1:11" x14ac:dyDescent="0.35">
      <c r="A195" s="1" t="s">
        <v>516</v>
      </c>
      <c r="B195" s="1" t="s">
        <v>137</v>
      </c>
      <c r="C195" s="1" t="s">
        <v>82</v>
      </c>
      <c r="D195" s="1" t="s">
        <v>171</v>
      </c>
      <c r="E195">
        <v>9</v>
      </c>
      <c r="F195" s="2">
        <v>45495</v>
      </c>
      <c r="G195" s="1" t="str">
        <f>VLOOKUP(Summary_Laporan_Penjualan_20248[[#This Row],[ID_Pelanggan]], Data_Pelanggan[], 2, 0)</f>
        <v>Toko Komputer Maju</v>
      </c>
      <c r="H195" s="1" t="str">
        <f>VLOOKUP(Summary_Laporan_Penjualan_20248[[#This Row],[ID_Pelanggan]], Data_Pelanggan[], 4, 0)</f>
        <v>Solo</v>
      </c>
      <c r="I195" s="1" t="str">
        <f>VLOOKUP(Summary_Laporan_Penjualan_20248[[#This Row],[ID_Produk]], Data_Produk[], 6, 0)</f>
        <v>Jakarta</v>
      </c>
      <c r="J195" s="1">
        <f>VLOOKUP(Summary_Laporan_Penjualan_20248[[#This Row],[ID_Produk]], Data_Produk[], 7, 0)</f>
        <v>2000000</v>
      </c>
      <c r="K195" s="1">
        <f>VLOOKUP(Summary_Laporan_Penjualan_20248[[#This Row],[ID_Produk]], Data_Produk[], 8, 0)</f>
        <v>2533000</v>
      </c>
    </row>
    <row r="196" spans="1:11" x14ac:dyDescent="0.35">
      <c r="A196" s="1" t="s">
        <v>518</v>
      </c>
      <c r="B196" s="1" t="s">
        <v>111</v>
      </c>
      <c r="C196" s="1" t="s">
        <v>8</v>
      </c>
      <c r="D196" s="1" t="s">
        <v>121</v>
      </c>
      <c r="E196">
        <v>11</v>
      </c>
      <c r="F196" s="2">
        <v>45428</v>
      </c>
      <c r="G196" s="1" t="str">
        <f>VLOOKUP(Summary_Laporan_Penjualan_20248[[#This Row],[ID_Pelanggan]], Data_Pelanggan[], 2, 0)</f>
        <v>PT Maju Jaya</v>
      </c>
      <c r="H196" s="1" t="str">
        <f>VLOOKUP(Summary_Laporan_Penjualan_20248[[#This Row],[ID_Pelanggan]], Data_Pelanggan[], 4, 0)</f>
        <v>Jakarta</v>
      </c>
      <c r="I196" s="1" t="str">
        <f>VLOOKUP(Summary_Laporan_Penjualan_20248[[#This Row],[ID_Produk]], Data_Produk[], 6, 0)</f>
        <v>Depok</v>
      </c>
      <c r="J196" s="1">
        <f>VLOOKUP(Summary_Laporan_Penjualan_20248[[#This Row],[ID_Produk]], Data_Produk[], 7, 0)</f>
        <v>18000000</v>
      </c>
      <c r="K196" s="1">
        <f>VLOOKUP(Summary_Laporan_Penjualan_20248[[#This Row],[ID_Produk]], Data_Produk[], 8, 0)</f>
        <v>27603000</v>
      </c>
    </row>
    <row r="197" spans="1:11" x14ac:dyDescent="0.35">
      <c r="A197" s="1" t="s">
        <v>520</v>
      </c>
      <c r="B197" s="1" t="s">
        <v>168</v>
      </c>
      <c r="C197" s="1" t="s">
        <v>87</v>
      </c>
      <c r="D197" s="1" t="s">
        <v>124</v>
      </c>
      <c r="E197">
        <v>1</v>
      </c>
      <c r="F197" s="2">
        <v>45479</v>
      </c>
      <c r="G197" s="1" t="str">
        <f>VLOOKUP(Summary_Laporan_Penjualan_20248[[#This Row],[ID_Pelanggan]], Data_Pelanggan[], 2, 0)</f>
        <v>PT Indo Digital</v>
      </c>
      <c r="H197" s="1" t="str">
        <f>VLOOKUP(Summary_Laporan_Penjualan_20248[[#This Row],[ID_Pelanggan]], Data_Pelanggan[], 4, 0)</f>
        <v>Tangerang</v>
      </c>
      <c r="I197" s="1" t="str">
        <f>VLOOKUP(Summary_Laporan_Penjualan_20248[[#This Row],[ID_Produk]], Data_Produk[], 6, 0)</f>
        <v>Semarang</v>
      </c>
      <c r="J197" s="1">
        <f>VLOOKUP(Summary_Laporan_Penjualan_20248[[#This Row],[ID_Produk]], Data_Produk[], 7, 0)</f>
        <v>500000</v>
      </c>
      <c r="K197" s="1">
        <f>VLOOKUP(Summary_Laporan_Penjualan_20248[[#This Row],[ID_Produk]], Data_Produk[], 8, 0)</f>
        <v>844000</v>
      </c>
    </row>
    <row r="198" spans="1:11" x14ac:dyDescent="0.35">
      <c r="A198" s="1" t="s">
        <v>522</v>
      </c>
      <c r="B198" s="1" t="s">
        <v>191</v>
      </c>
      <c r="C198" s="1" t="s">
        <v>51</v>
      </c>
      <c r="D198" s="1" t="s">
        <v>128</v>
      </c>
      <c r="E198">
        <v>7</v>
      </c>
      <c r="F198" s="2">
        <v>45455</v>
      </c>
      <c r="G198" s="1" t="str">
        <f>VLOOKUP(Summary_Laporan_Penjualan_20248[[#This Row],[ID_Pelanggan]], Data_Pelanggan[], 2, 0)</f>
        <v>Toko Musik Digital</v>
      </c>
      <c r="H198" s="1" t="str">
        <f>VLOOKUP(Summary_Laporan_Penjualan_20248[[#This Row],[ID_Pelanggan]], Data_Pelanggan[], 4, 0)</f>
        <v>Denpasar</v>
      </c>
      <c r="I198" s="1" t="str">
        <f>VLOOKUP(Summary_Laporan_Penjualan_20248[[#This Row],[ID_Produk]], Data_Produk[], 6, 0)</f>
        <v>Jakarta</v>
      </c>
      <c r="J198" s="1">
        <f>VLOOKUP(Summary_Laporan_Penjualan_20248[[#This Row],[ID_Produk]], Data_Produk[], 7, 0)</f>
        <v>12000000</v>
      </c>
      <c r="K198" s="1">
        <f>VLOOKUP(Summary_Laporan_Penjualan_20248[[#This Row],[ID_Produk]], Data_Produk[], 8, 0)</f>
        <v>13963000</v>
      </c>
    </row>
    <row r="199" spans="1:11" x14ac:dyDescent="0.35">
      <c r="A199" s="1" t="s">
        <v>524</v>
      </c>
      <c r="B199" s="1" t="s">
        <v>168</v>
      </c>
      <c r="C199" s="1" t="s">
        <v>78</v>
      </c>
      <c r="D199" s="1" t="s">
        <v>157</v>
      </c>
      <c r="E199">
        <v>12</v>
      </c>
      <c r="F199" s="2">
        <v>45373</v>
      </c>
      <c r="G199" s="1" t="str">
        <f>VLOOKUP(Summary_Laporan_Penjualan_20248[[#This Row],[ID_Pelanggan]], Data_Pelanggan[], 2, 0)</f>
        <v>CV Sinar Terang</v>
      </c>
      <c r="H199" s="1" t="str">
        <f>VLOOKUP(Summary_Laporan_Penjualan_20248[[#This Row],[ID_Pelanggan]], Data_Pelanggan[], 4, 0)</f>
        <v>Bandung</v>
      </c>
      <c r="I199" s="1" t="str">
        <f>VLOOKUP(Summary_Laporan_Penjualan_20248[[#This Row],[ID_Produk]], Data_Produk[], 6, 0)</f>
        <v>Semarang</v>
      </c>
      <c r="J199" s="1">
        <f>VLOOKUP(Summary_Laporan_Penjualan_20248[[#This Row],[ID_Produk]], Data_Produk[], 7, 0)</f>
        <v>500000</v>
      </c>
      <c r="K199" s="1">
        <f>VLOOKUP(Summary_Laporan_Penjualan_20248[[#This Row],[ID_Produk]], Data_Produk[], 8, 0)</f>
        <v>844000</v>
      </c>
    </row>
    <row r="200" spans="1:11" x14ac:dyDescent="0.35">
      <c r="A200" s="1" t="s">
        <v>526</v>
      </c>
      <c r="B200" s="1" t="s">
        <v>173</v>
      </c>
      <c r="C200" s="1" t="s">
        <v>87</v>
      </c>
      <c r="D200" s="1" t="s">
        <v>143</v>
      </c>
      <c r="E200">
        <v>13</v>
      </c>
      <c r="F200" s="2">
        <v>45400</v>
      </c>
      <c r="G200" s="1" t="str">
        <f>VLOOKUP(Summary_Laporan_Penjualan_20248[[#This Row],[ID_Pelanggan]], Data_Pelanggan[], 2, 0)</f>
        <v>PT Indo Digital</v>
      </c>
      <c r="H200" s="1" t="str">
        <f>VLOOKUP(Summary_Laporan_Penjualan_20248[[#This Row],[ID_Pelanggan]], Data_Pelanggan[], 4, 0)</f>
        <v>Tangerang</v>
      </c>
      <c r="I200" s="1" t="str">
        <f>VLOOKUP(Summary_Laporan_Penjualan_20248[[#This Row],[ID_Produk]], Data_Produk[], 6, 0)</f>
        <v>Depok</v>
      </c>
      <c r="J200" s="1">
        <f>VLOOKUP(Summary_Laporan_Penjualan_20248[[#This Row],[ID_Produk]], Data_Produk[], 7, 0)</f>
        <v>80000</v>
      </c>
      <c r="K200" s="1">
        <f>VLOOKUP(Summary_Laporan_Penjualan_20248[[#This Row],[ID_Produk]], Data_Produk[], 8, 0)</f>
        <v>92000</v>
      </c>
    </row>
    <row r="201" spans="1:11" x14ac:dyDescent="0.35">
      <c r="A201" s="1" t="s">
        <v>528</v>
      </c>
      <c r="B201" s="1" t="s">
        <v>149</v>
      </c>
      <c r="C201" s="1" t="s">
        <v>63</v>
      </c>
      <c r="D201" s="1" t="s">
        <v>124</v>
      </c>
      <c r="E201">
        <v>2</v>
      </c>
      <c r="F201" s="2">
        <v>45616</v>
      </c>
      <c r="G201" s="1" t="str">
        <f>VLOOKUP(Summary_Laporan_Penjualan_20248[[#This Row],[ID_Pelanggan]], Data_Pelanggan[], 2, 0)</f>
        <v>UD Makmur</v>
      </c>
      <c r="H201" s="1" t="str">
        <f>VLOOKUP(Summary_Laporan_Penjualan_20248[[#This Row],[ID_Pelanggan]], Data_Pelanggan[], 4, 0)</f>
        <v>Palembang</v>
      </c>
      <c r="I201" s="1" t="str">
        <f>VLOOKUP(Summary_Laporan_Penjualan_20248[[#This Row],[ID_Produk]], Data_Produk[], 6, 0)</f>
        <v>Semarang</v>
      </c>
      <c r="J201" s="1">
        <f>VLOOKUP(Summary_Laporan_Penjualan_20248[[#This Row],[ID_Produk]], Data_Produk[], 7, 0)</f>
        <v>100000</v>
      </c>
      <c r="K201" s="1">
        <f>VLOOKUP(Summary_Laporan_Penjualan_20248[[#This Row],[ID_Produk]], Data_Produk[], 8, 0)</f>
        <v>169000</v>
      </c>
    </row>
    <row r="202" spans="1:11" x14ac:dyDescent="0.35">
      <c r="A202" s="1" t="s">
        <v>530</v>
      </c>
      <c r="B202" s="1" t="s">
        <v>272</v>
      </c>
      <c r="C202" s="1" t="s">
        <v>39</v>
      </c>
      <c r="D202" s="1" t="s">
        <v>128</v>
      </c>
      <c r="E202">
        <v>15</v>
      </c>
      <c r="F202" s="2">
        <v>45470</v>
      </c>
      <c r="G202" s="1" t="str">
        <f>VLOOKUP(Summary_Laporan_Penjualan_20248[[#This Row],[ID_Pelanggan]], Data_Pelanggan[], 2, 0)</f>
        <v>Toko Elektronik Jaya</v>
      </c>
      <c r="H202" s="1" t="str">
        <f>VLOOKUP(Summary_Laporan_Penjualan_20248[[#This Row],[ID_Pelanggan]], Data_Pelanggan[], 4, 0)</f>
        <v>Semarang</v>
      </c>
      <c r="I202" s="1" t="str">
        <f>VLOOKUP(Summary_Laporan_Penjualan_20248[[#This Row],[ID_Produk]], Data_Produk[], 6, 0)</f>
        <v>Depok</v>
      </c>
      <c r="J202" s="1">
        <f>VLOOKUP(Summary_Laporan_Penjualan_20248[[#This Row],[ID_Produk]], Data_Produk[], 7, 0)</f>
        <v>650000</v>
      </c>
      <c r="K202" s="1">
        <f>VLOOKUP(Summary_Laporan_Penjualan_20248[[#This Row],[ID_Produk]], Data_Produk[], 8, 0)</f>
        <v>741000</v>
      </c>
    </row>
    <row r="203" spans="1:11" x14ac:dyDescent="0.35">
      <c r="A203" s="1" t="s">
        <v>532</v>
      </c>
      <c r="B203" s="1" t="s">
        <v>168</v>
      </c>
      <c r="C203" s="1" t="s">
        <v>82</v>
      </c>
      <c r="D203" s="1" t="s">
        <v>171</v>
      </c>
      <c r="E203">
        <v>14</v>
      </c>
      <c r="F203" s="2">
        <v>45400</v>
      </c>
      <c r="G203" s="1" t="str">
        <f>VLOOKUP(Summary_Laporan_Penjualan_20248[[#This Row],[ID_Pelanggan]], Data_Pelanggan[], 2, 0)</f>
        <v>Toko Komputer Maju</v>
      </c>
      <c r="H203" s="1" t="str">
        <f>VLOOKUP(Summary_Laporan_Penjualan_20248[[#This Row],[ID_Pelanggan]], Data_Pelanggan[], 4, 0)</f>
        <v>Solo</v>
      </c>
      <c r="I203" s="1" t="str">
        <f>VLOOKUP(Summary_Laporan_Penjualan_20248[[#This Row],[ID_Produk]], Data_Produk[], 6, 0)</f>
        <v>Semarang</v>
      </c>
      <c r="J203" s="1">
        <f>VLOOKUP(Summary_Laporan_Penjualan_20248[[#This Row],[ID_Produk]], Data_Produk[], 7, 0)</f>
        <v>500000</v>
      </c>
      <c r="K203" s="1">
        <f>VLOOKUP(Summary_Laporan_Penjualan_20248[[#This Row],[ID_Produk]], Data_Produk[], 8, 0)</f>
        <v>844000</v>
      </c>
    </row>
    <row r="204" spans="1:11" x14ac:dyDescent="0.35">
      <c r="A204" s="1" t="s">
        <v>534</v>
      </c>
      <c r="B204" s="1" t="s">
        <v>164</v>
      </c>
      <c r="C204" s="1" t="s">
        <v>87</v>
      </c>
      <c r="D204" s="1" t="s">
        <v>121</v>
      </c>
      <c r="E204">
        <v>8</v>
      </c>
      <c r="F204" s="2">
        <v>45396</v>
      </c>
      <c r="G204" s="1" t="str">
        <f>VLOOKUP(Summary_Laporan_Penjualan_20248[[#This Row],[ID_Pelanggan]], Data_Pelanggan[], 2, 0)</f>
        <v>PT Indo Digital</v>
      </c>
      <c r="H204" s="1" t="str">
        <f>VLOOKUP(Summary_Laporan_Penjualan_20248[[#This Row],[ID_Pelanggan]], Data_Pelanggan[], 4, 0)</f>
        <v>Tangerang</v>
      </c>
      <c r="I204" s="1" t="str">
        <f>VLOOKUP(Summary_Laporan_Penjualan_20248[[#This Row],[ID_Produk]], Data_Produk[], 6, 0)</f>
        <v>Jakarta</v>
      </c>
      <c r="J204" s="1">
        <f>VLOOKUP(Summary_Laporan_Penjualan_20248[[#This Row],[ID_Produk]], Data_Produk[], 7, 0)</f>
        <v>750000</v>
      </c>
      <c r="K204" s="1">
        <f>VLOOKUP(Summary_Laporan_Penjualan_20248[[#This Row],[ID_Produk]], Data_Produk[], 8, 0)</f>
        <v>971000</v>
      </c>
    </row>
    <row r="205" spans="1:11" x14ac:dyDescent="0.35">
      <c r="A205" s="1" t="s">
        <v>536</v>
      </c>
      <c r="B205" s="1" t="s">
        <v>111</v>
      </c>
      <c r="C205" s="1" t="s">
        <v>8</v>
      </c>
      <c r="D205" s="1" t="s">
        <v>143</v>
      </c>
      <c r="E205">
        <v>15</v>
      </c>
      <c r="F205" s="2">
        <v>45409</v>
      </c>
      <c r="G205" s="1" t="str">
        <f>VLOOKUP(Summary_Laporan_Penjualan_20248[[#This Row],[ID_Pelanggan]], Data_Pelanggan[], 2, 0)</f>
        <v>PT Maju Jaya</v>
      </c>
      <c r="H205" s="1" t="str">
        <f>VLOOKUP(Summary_Laporan_Penjualan_20248[[#This Row],[ID_Pelanggan]], Data_Pelanggan[], 4, 0)</f>
        <v>Jakarta</v>
      </c>
      <c r="I205" s="1" t="str">
        <f>VLOOKUP(Summary_Laporan_Penjualan_20248[[#This Row],[ID_Produk]], Data_Produk[], 6, 0)</f>
        <v>Depok</v>
      </c>
      <c r="J205" s="1">
        <f>VLOOKUP(Summary_Laporan_Penjualan_20248[[#This Row],[ID_Produk]], Data_Produk[], 7, 0)</f>
        <v>18000000</v>
      </c>
      <c r="K205" s="1">
        <f>VLOOKUP(Summary_Laporan_Penjualan_20248[[#This Row],[ID_Produk]], Data_Produk[], 8, 0)</f>
        <v>27603000</v>
      </c>
    </row>
    <row r="206" spans="1:11" x14ac:dyDescent="0.35">
      <c r="A206" s="1" t="s">
        <v>538</v>
      </c>
      <c r="B206" s="1" t="s">
        <v>191</v>
      </c>
      <c r="C206" s="1" t="s">
        <v>8</v>
      </c>
      <c r="D206" s="1" t="s">
        <v>157</v>
      </c>
      <c r="E206">
        <v>15</v>
      </c>
      <c r="F206" s="2">
        <v>45360</v>
      </c>
      <c r="G206" s="1" t="str">
        <f>VLOOKUP(Summary_Laporan_Penjualan_20248[[#This Row],[ID_Pelanggan]], Data_Pelanggan[], 2, 0)</f>
        <v>PT Maju Jaya</v>
      </c>
      <c r="H206" s="1" t="str">
        <f>VLOOKUP(Summary_Laporan_Penjualan_20248[[#This Row],[ID_Pelanggan]], Data_Pelanggan[], 4, 0)</f>
        <v>Jakarta</v>
      </c>
      <c r="I206" s="1" t="str">
        <f>VLOOKUP(Summary_Laporan_Penjualan_20248[[#This Row],[ID_Produk]], Data_Produk[], 6, 0)</f>
        <v>Jakarta</v>
      </c>
      <c r="J206" s="1">
        <f>VLOOKUP(Summary_Laporan_Penjualan_20248[[#This Row],[ID_Produk]], Data_Produk[], 7, 0)</f>
        <v>12000000</v>
      </c>
      <c r="K206" s="1">
        <f>VLOOKUP(Summary_Laporan_Penjualan_20248[[#This Row],[ID_Produk]], Data_Produk[], 8, 0)</f>
        <v>13963000</v>
      </c>
    </row>
    <row r="207" spans="1:11" x14ac:dyDescent="0.35">
      <c r="A207" s="1" t="s">
        <v>540</v>
      </c>
      <c r="B207" s="1" t="s">
        <v>272</v>
      </c>
      <c r="C207" s="1" t="s">
        <v>73</v>
      </c>
      <c r="D207" s="1" t="s">
        <v>157</v>
      </c>
      <c r="E207">
        <v>9</v>
      </c>
      <c r="F207" s="2">
        <v>45607</v>
      </c>
      <c r="G207" s="1" t="str">
        <f>VLOOKUP(Summary_Laporan_Penjualan_20248[[#This Row],[ID_Pelanggan]], Data_Pelanggan[], 2, 0)</f>
        <v>Toko Gadget Center</v>
      </c>
      <c r="H207" s="1" t="str">
        <f>VLOOKUP(Summary_Laporan_Penjualan_20248[[#This Row],[ID_Pelanggan]], Data_Pelanggan[], 4, 0)</f>
        <v>Malang</v>
      </c>
      <c r="I207" s="1" t="str">
        <f>VLOOKUP(Summary_Laporan_Penjualan_20248[[#This Row],[ID_Produk]], Data_Produk[], 6, 0)</f>
        <v>Depok</v>
      </c>
      <c r="J207" s="1">
        <f>VLOOKUP(Summary_Laporan_Penjualan_20248[[#This Row],[ID_Produk]], Data_Produk[], 7, 0)</f>
        <v>650000</v>
      </c>
      <c r="K207" s="1">
        <f>VLOOKUP(Summary_Laporan_Penjualan_20248[[#This Row],[ID_Produk]], Data_Produk[], 8, 0)</f>
        <v>741000</v>
      </c>
    </row>
    <row r="208" spans="1:11" x14ac:dyDescent="0.35">
      <c r="A208" s="1" t="s">
        <v>542</v>
      </c>
      <c r="B208" s="1" t="s">
        <v>133</v>
      </c>
      <c r="C208" s="1" t="s">
        <v>69</v>
      </c>
      <c r="D208" s="1" t="s">
        <v>157</v>
      </c>
      <c r="E208">
        <v>9</v>
      </c>
      <c r="F208" s="2">
        <v>45532</v>
      </c>
      <c r="G208" s="1" t="str">
        <f>VLOOKUP(Summary_Laporan_Penjualan_20248[[#This Row],[ID_Pelanggan]], Data_Pelanggan[], 2, 0)</f>
        <v>PT Teknologi Prima</v>
      </c>
      <c r="H208" s="1" t="str">
        <f>VLOOKUP(Summary_Laporan_Penjualan_20248[[#This Row],[ID_Pelanggan]], Data_Pelanggan[], 4, 0)</f>
        <v>Jakarta</v>
      </c>
      <c r="I208" s="1" t="str">
        <f>VLOOKUP(Summary_Laporan_Penjualan_20248[[#This Row],[ID_Produk]], Data_Produk[], 6, 0)</f>
        <v>Jakarta</v>
      </c>
      <c r="J208" s="1">
        <f>VLOOKUP(Summary_Laporan_Penjualan_20248[[#This Row],[ID_Produk]], Data_Produk[], 7, 0)</f>
        <v>2500000</v>
      </c>
      <c r="K208" s="1">
        <f>VLOOKUP(Summary_Laporan_Penjualan_20248[[#This Row],[ID_Produk]], Data_Produk[], 8, 0)</f>
        <v>3080000</v>
      </c>
    </row>
    <row r="209" spans="1:11" x14ac:dyDescent="0.35">
      <c r="A209" s="1" t="s">
        <v>544</v>
      </c>
      <c r="B209" s="1" t="s">
        <v>191</v>
      </c>
      <c r="C209" s="1" t="s">
        <v>78</v>
      </c>
      <c r="D209" s="1" t="s">
        <v>121</v>
      </c>
      <c r="E209">
        <v>7</v>
      </c>
      <c r="F209" s="2">
        <v>45420</v>
      </c>
      <c r="G209" s="1" t="str">
        <f>VLOOKUP(Summary_Laporan_Penjualan_20248[[#This Row],[ID_Pelanggan]], Data_Pelanggan[], 2, 0)</f>
        <v>CV Sinar Terang</v>
      </c>
      <c r="H209" s="1" t="str">
        <f>VLOOKUP(Summary_Laporan_Penjualan_20248[[#This Row],[ID_Pelanggan]], Data_Pelanggan[], 4, 0)</f>
        <v>Bandung</v>
      </c>
      <c r="I209" s="1" t="str">
        <f>VLOOKUP(Summary_Laporan_Penjualan_20248[[#This Row],[ID_Produk]], Data_Produk[], 6, 0)</f>
        <v>Jakarta</v>
      </c>
      <c r="J209" s="1">
        <f>VLOOKUP(Summary_Laporan_Penjualan_20248[[#This Row],[ID_Produk]], Data_Produk[], 7, 0)</f>
        <v>12000000</v>
      </c>
      <c r="K209" s="1">
        <f>VLOOKUP(Summary_Laporan_Penjualan_20248[[#This Row],[ID_Produk]], Data_Produk[], 8, 0)</f>
        <v>13963000</v>
      </c>
    </row>
    <row r="210" spans="1:11" x14ac:dyDescent="0.35">
      <c r="A210" s="1" t="s">
        <v>546</v>
      </c>
      <c r="B210" s="1" t="s">
        <v>116</v>
      </c>
      <c r="C210" s="1" t="s">
        <v>82</v>
      </c>
      <c r="D210" s="1" t="s">
        <v>157</v>
      </c>
      <c r="E210">
        <v>2</v>
      </c>
      <c r="F210" s="2">
        <v>45448</v>
      </c>
      <c r="G210" s="1" t="str">
        <f>VLOOKUP(Summary_Laporan_Penjualan_20248[[#This Row],[ID_Pelanggan]], Data_Pelanggan[], 2, 0)</f>
        <v>Toko Komputer Maju</v>
      </c>
      <c r="H210" s="1" t="str">
        <f>VLOOKUP(Summary_Laporan_Penjualan_20248[[#This Row],[ID_Pelanggan]], Data_Pelanggan[], 4, 0)</f>
        <v>Solo</v>
      </c>
      <c r="I210" s="1" t="str">
        <f>VLOOKUP(Summary_Laporan_Penjualan_20248[[#This Row],[ID_Produk]], Data_Produk[], 6, 0)</f>
        <v>Depok</v>
      </c>
      <c r="J210" s="1">
        <f>VLOOKUP(Summary_Laporan_Penjualan_20248[[#This Row],[ID_Produk]], Data_Produk[], 7, 0)</f>
        <v>5000000</v>
      </c>
      <c r="K210" s="1">
        <f>VLOOKUP(Summary_Laporan_Penjualan_20248[[#This Row],[ID_Produk]], Data_Produk[], 8, 0)</f>
        <v>7546000</v>
      </c>
    </row>
    <row r="211" spans="1:11" x14ac:dyDescent="0.35">
      <c r="A211" s="1" t="s">
        <v>548</v>
      </c>
      <c r="B211" s="1" t="s">
        <v>172</v>
      </c>
      <c r="C211" s="1" t="s">
        <v>51</v>
      </c>
      <c r="D211" s="1" t="s">
        <v>157</v>
      </c>
      <c r="E211">
        <v>12</v>
      </c>
      <c r="F211" s="2">
        <v>45493</v>
      </c>
      <c r="G211" s="1" t="str">
        <f>VLOOKUP(Summary_Laporan_Penjualan_20248[[#This Row],[ID_Pelanggan]], Data_Pelanggan[], 2, 0)</f>
        <v>Toko Musik Digital</v>
      </c>
      <c r="H211" s="1" t="str">
        <f>VLOOKUP(Summary_Laporan_Penjualan_20248[[#This Row],[ID_Pelanggan]], Data_Pelanggan[], 4, 0)</f>
        <v>Denpasar</v>
      </c>
      <c r="I211" s="1" t="str">
        <f>VLOOKUP(Summary_Laporan_Penjualan_20248[[#This Row],[ID_Produk]], Data_Produk[], 6, 0)</f>
        <v>Semarang</v>
      </c>
      <c r="J211" s="1">
        <f>VLOOKUP(Summary_Laporan_Penjualan_20248[[#This Row],[ID_Produk]], Data_Produk[], 7, 0)</f>
        <v>950000</v>
      </c>
      <c r="K211" s="1">
        <f>VLOOKUP(Summary_Laporan_Penjualan_20248[[#This Row],[ID_Produk]], Data_Produk[], 8, 0)</f>
        <v>1649000</v>
      </c>
    </row>
    <row r="212" spans="1:11" x14ac:dyDescent="0.35">
      <c r="A212" s="1" t="s">
        <v>550</v>
      </c>
      <c r="B212" s="1" t="s">
        <v>116</v>
      </c>
      <c r="C212" s="1" t="s">
        <v>35</v>
      </c>
      <c r="D212" s="1" t="s">
        <v>124</v>
      </c>
      <c r="E212">
        <v>11</v>
      </c>
      <c r="F212" s="2">
        <v>45380</v>
      </c>
      <c r="G212" s="1" t="str">
        <f>VLOOKUP(Summary_Laporan_Penjualan_20248[[#This Row],[ID_Pelanggan]], Data_Pelanggan[], 2, 0)</f>
        <v>PT Digital Nusantara</v>
      </c>
      <c r="H212" s="1" t="str">
        <f>VLOOKUP(Summary_Laporan_Penjualan_20248[[#This Row],[ID_Pelanggan]], Data_Pelanggan[], 4, 0)</f>
        <v>Jakarta</v>
      </c>
      <c r="I212" s="1" t="str">
        <f>VLOOKUP(Summary_Laporan_Penjualan_20248[[#This Row],[ID_Produk]], Data_Produk[], 6, 0)</f>
        <v>Depok</v>
      </c>
      <c r="J212" s="1">
        <f>VLOOKUP(Summary_Laporan_Penjualan_20248[[#This Row],[ID_Produk]], Data_Produk[], 7, 0)</f>
        <v>5000000</v>
      </c>
      <c r="K212" s="1">
        <f>VLOOKUP(Summary_Laporan_Penjualan_20248[[#This Row],[ID_Produk]], Data_Produk[], 8, 0)</f>
        <v>7546000</v>
      </c>
    </row>
    <row r="213" spans="1:11" x14ac:dyDescent="0.35">
      <c r="A213" s="1" t="s">
        <v>552</v>
      </c>
      <c r="B213" s="1" t="s">
        <v>197</v>
      </c>
      <c r="C213" s="1" t="s">
        <v>87</v>
      </c>
      <c r="D213" s="1" t="s">
        <v>171</v>
      </c>
      <c r="E213">
        <v>12</v>
      </c>
      <c r="F213" s="2">
        <v>45451</v>
      </c>
      <c r="G213" s="1" t="str">
        <f>VLOOKUP(Summary_Laporan_Penjualan_20248[[#This Row],[ID_Pelanggan]], Data_Pelanggan[], 2, 0)</f>
        <v>PT Indo Digital</v>
      </c>
      <c r="H213" s="1" t="str">
        <f>VLOOKUP(Summary_Laporan_Penjualan_20248[[#This Row],[ID_Pelanggan]], Data_Pelanggan[], 4, 0)</f>
        <v>Tangerang</v>
      </c>
      <c r="I213" s="1" t="str">
        <f>VLOOKUP(Summary_Laporan_Penjualan_20248[[#This Row],[ID_Produk]], Data_Produk[], 6, 0)</f>
        <v>Jakarta</v>
      </c>
      <c r="J213" s="1">
        <f>VLOOKUP(Summary_Laporan_Penjualan_20248[[#This Row],[ID_Produk]], Data_Produk[], 7, 0)</f>
        <v>1200000</v>
      </c>
      <c r="K213" s="1">
        <f>VLOOKUP(Summary_Laporan_Penjualan_20248[[#This Row],[ID_Produk]], Data_Produk[], 8, 0)</f>
        <v>1375000</v>
      </c>
    </row>
    <row r="214" spans="1:11" x14ac:dyDescent="0.35">
      <c r="A214" s="1" t="s">
        <v>554</v>
      </c>
      <c r="B214" s="1" t="s">
        <v>191</v>
      </c>
      <c r="C214" s="1" t="s">
        <v>15</v>
      </c>
      <c r="D214" s="1" t="s">
        <v>124</v>
      </c>
      <c r="E214">
        <v>12</v>
      </c>
      <c r="F214" s="2">
        <v>45501</v>
      </c>
      <c r="G214" s="1" t="str">
        <f>VLOOKUP(Summary_Laporan_Penjualan_20248[[#This Row],[ID_Pelanggan]], Data_Pelanggan[], 2, 0)</f>
        <v>CV Berkah</v>
      </c>
      <c r="H214" s="1" t="str">
        <f>VLOOKUP(Summary_Laporan_Penjualan_20248[[#This Row],[ID_Pelanggan]], Data_Pelanggan[], 4, 0)</f>
        <v>Bandung</v>
      </c>
      <c r="I214" s="1" t="str">
        <f>VLOOKUP(Summary_Laporan_Penjualan_20248[[#This Row],[ID_Produk]], Data_Produk[], 6, 0)</f>
        <v>Jakarta</v>
      </c>
      <c r="J214" s="1">
        <f>VLOOKUP(Summary_Laporan_Penjualan_20248[[#This Row],[ID_Produk]], Data_Produk[], 7, 0)</f>
        <v>12000000</v>
      </c>
      <c r="K214" s="1">
        <f>VLOOKUP(Summary_Laporan_Penjualan_20248[[#This Row],[ID_Produk]], Data_Produk[], 8, 0)</f>
        <v>13963000</v>
      </c>
    </row>
    <row r="215" spans="1:11" x14ac:dyDescent="0.35">
      <c r="A215" s="1" t="s">
        <v>556</v>
      </c>
      <c r="B215" s="1" t="s">
        <v>173</v>
      </c>
      <c r="C215" s="1" t="s">
        <v>69</v>
      </c>
      <c r="D215" s="1" t="s">
        <v>157</v>
      </c>
      <c r="E215">
        <v>8</v>
      </c>
      <c r="F215" s="2">
        <v>45542</v>
      </c>
      <c r="G215" s="1" t="str">
        <f>VLOOKUP(Summary_Laporan_Penjualan_20248[[#This Row],[ID_Pelanggan]], Data_Pelanggan[], 2, 0)</f>
        <v>PT Teknologi Prima</v>
      </c>
      <c r="H215" s="1" t="str">
        <f>VLOOKUP(Summary_Laporan_Penjualan_20248[[#This Row],[ID_Pelanggan]], Data_Pelanggan[], 4, 0)</f>
        <v>Jakarta</v>
      </c>
      <c r="I215" s="1" t="str">
        <f>VLOOKUP(Summary_Laporan_Penjualan_20248[[#This Row],[ID_Produk]], Data_Produk[], 6, 0)</f>
        <v>Depok</v>
      </c>
      <c r="J215" s="1">
        <f>VLOOKUP(Summary_Laporan_Penjualan_20248[[#This Row],[ID_Produk]], Data_Produk[], 7, 0)</f>
        <v>80000</v>
      </c>
      <c r="K215" s="1">
        <f>VLOOKUP(Summary_Laporan_Penjualan_20248[[#This Row],[ID_Produk]], Data_Produk[], 8, 0)</f>
        <v>92000</v>
      </c>
    </row>
    <row r="216" spans="1:11" x14ac:dyDescent="0.35">
      <c r="A216" s="1" t="s">
        <v>558</v>
      </c>
      <c r="B216" s="1" t="s">
        <v>188</v>
      </c>
      <c r="C216" s="1" t="s">
        <v>8</v>
      </c>
      <c r="D216" s="1" t="s">
        <v>124</v>
      </c>
      <c r="E216">
        <v>13</v>
      </c>
      <c r="F216" s="2">
        <v>45544</v>
      </c>
      <c r="G216" s="1" t="str">
        <f>VLOOKUP(Summary_Laporan_Penjualan_20248[[#This Row],[ID_Pelanggan]], Data_Pelanggan[], 2, 0)</f>
        <v>PT Maju Jaya</v>
      </c>
      <c r="H216" s="1" t="str">
        <f>VLOOKUP(Summary_Laporan_Penjualan_20248[[#This Row],[ID_Pelanggan]], Data_Pelanggan[], 4, 0)</f>
        <v>Jakarta</v>
      </c>
      <c r="I216" s="1" t="str">
        <f>VLOOKUP(Summary_Laporan_Penjualan_20248[[#This Row],[ID_Produk]], Data_Produk[], 6, 0)</f>
        <v>Semarang</v>
      </c>
      <c r="J216" s="1">
        <f>VLOOKUP(Summary_Laporan_Penjualan_20248[[#This Row],[ID_Produk]], Data_Produk[], 7, 0)</f>
        <v>2800000</v>
      </c>
      <c r="K216" s="1">
        <f>VLOOKUP(Summary_Laporan_Penjualan_20248[[#This Row],[ID_Produk]], Data_Produk[], 8, 0)</f>
        <v>4747000</v>
      </c>
    </row>
    <row r="217" spans="1:11" x14ac:dyDescent="0.35">
      <c r="A217" s="1" t="s">
        <v>560</v>
      </c>
      <c r="B217" s="1" t="s">
        <v>141</v>
      </c>
      <c r="C217" s="1" t="s">
        <v>15</v>
      </c>
      <c r="D217" s="1" t="s">
        <v>171</v>
      </c>
      <c r="E217">
        <v>10</v>
      </c>
      <c r="F217" s="2">
        <v>45353</v>
      </c>
      <c r="G217" s="1" t="str">
        <f>VLOOKUP(Summary_Laporan_Penjualan_20248[[#This Row],[ID_Pelanggan]], Data_Pelanggan[], 2, 0)</f>
        <v>CV Berkah</v>
      </c>
      <c r="H217" s="1" t="str">
        <f>VLOOKUP(Summary_Laporan_Penjualan_20248[[#This Row],[ID_Pelanggan]], Data_Pelanggan[], 4, 0)</f>
        <v>Bandung</v>
      </c>
      <c r="I217" s="1" t="str">
        <f>VLOOKUP(Summary_Laporan_Penjualan_20248[[#This Row],[ID_Produk]], Data_Produk[], 6, 0)</f>
        <v>Semarang</v>
      </c>
      <c r="J217" s="1">
        <f>VLOOKUP(Summary_Laporan_Penjualan_20248[[#This Row],[ID_Produk]], Data_Produk[], 7, 0)</f>
        <v>400000</v>
      </c>
      <c r="K217" s="1">
        <f>VLOOKUP(Summary_Laporan_Penjualan_20248[[#This Row],[ID_Produk]], Data_Produk[], 8, 0)</f>
        <v>623000</v>
      </c>
    </row>
    <row r="218" spans="1:11" x14ac:dyDescent="0.35">
      <c r="A218" s="1" t="s">
        <v>562</v>
      </c>
      <c r="B218" s="1" t="s">
        <v>191</v>
      </c>
      <c r="C218" s="1" t="s">
        <v>51</v>
      </c>
      <c r="D218" s="1" t="s">
        <v>171</v>
      </c>
      <c r="E218">
        <v>13</v>
      </c>
      <c r="F218" s="2">
        <v>45634</v>
      </c>
      <c r="G218" s="1" t="str">
        <f>VLOOKUP(Summary_Laporan_Penjualan_20248[[#This Row],[ID_Pelanggan]], Data_Pelanggan[], 2, 0)</f>
        <v>Toko Musik Digital</v>
      </c>
      <c r="H218" s="1" t="str">
        <f>VLOOKUP(Summary_Laporan_Penjualan_20248[[#This Row],[ID_Pelanggan]], Data_Pelanggan[], 4, 0)</f>
        <v>Denpasar</v>
      </c>
      <c r="I218" s="1" t="str">
        <f>VLOOKUP(Summary_Laporan_Penjualan_20248[[#This Row],[ID_Produk]], Data_Produk[], 6, 0)</f>
        <v>Jakarta</v>
      </c>
      <c r="J218" s="1">
        <f>VLOOKUP(Summary_Laporan_Penjualan_20248[[#This Row],[ID_Produk]], Data_Produk[], 7, 0)</f>
        <v>12000000</v>
      </c>
      <c r="K218" s="1">
        <f>VLOOKUP(Summary_Laporan_Penjualan_20248[[#This Row],[ID_Produk]], Data_Produk[], 8, 0)</f>
        <v>13963000</v>
      </c>
    </row>
    <row r="219" spans="1:11" x14ac:dyDescent="0.35">
      <c r="A219" s="1" t="s">
        <v>564</v>
      </c>
      <c r="B219" s="1" t="s">
        <v>173</v>
      </c>
      <c r="C219" s="1" t="s">
        <v>39</v>
      </c>
      <c r="D219" s="1" t="s">
        <v>124</v>
      </c>
      <c r="E219">
        <v>8</v>
      </c>
      <c r="F219" s="2">
        <v>45558</v>
      </c>
      <c r="G219" s="1" t="str">
        <f>VLOOKUP(Summary_Laporan_Penjualan_20248[[#This Row],[ID_Pelanggan]], Data_Pelanggan[], 2, 0)</f>
        <v>Toko Elektronik Jaya</v>
      </c>
      <c r="H219" s="1" t="str">
        <f>VLOOKUP(Summary_Laporan_Penjualan_20248[[#This Row],[ID_Pelanggan]], Data_Pelanggan[], 4, 0)</f>
        <v>Semarang</v>
      </c>
      <c r="I219" s="1" t="str">
        <f>VLOOKUP(Summary_Laporan_Penjualan_20248[[#This Row],[ID_Produk]], Data_Produk[], 6, 0)</f>
        <v>Depok</v>
      </c>
      <c r="J219" s="1">
        <f>VLOOKUP(Summary_Laporan_Penjualan_20248[[#This Row],[ID_Produk]], Data_Produk[], 7, 0)</f>
        <v>80000</v>
      </c>
      <c r="K219" s="1">
        <f>VLOOKUP(Summary_Laporan_Penjualan_20248[[#This Row],[ID_Produk]], Data_Produk[], 8, 0)</f>
        <v>92000</v>
      </c>
    </row>
    <row r="220" spans="1:11" x14ac:dyDescent="0.35">
      <c r="A220" s="1" t="s">
        <v>566</v>
      </c>
      <c r="B220" s="1" t="s">
        <v>172</v>
      </c>
      <c r="C220" s="1" t="s">
        <v>35</v>
      </c>
      <c r="D220" s="1" t="s">
        <v>124</v>
      </c>
      <c r="E220">
        <v>12</v>
      </c>
      <c r="F220" s="2">
        <v>45557</v>
      </c>
      <c r="G220" s="1" t="str">
        <f>VLOOKUP(Summary_Laporan_Penjualan_20248[[#This Row],[ID_Pelanggan]], Data_Pelanggan[], 2, 0)</f>
        <v>PT Digital Nusantara</v>
      </c>
      <c r="H220" s="1" t="str">
        <f>VLOOKUP(Summary_Laporan_Penjualan_20248[[#This Row],[ID_Pelanggan]], Data_Pelanggan[], 4, 0)</f>
        <v>Jakarta</v>
      </c>
      <c r="I220" s="1" t="str">
        <f>VLOOKUP(Summary_Laporan_Penjualan_20248[[#This Row],[ID_Produk]], Data_Produk[], 6, 0)</f>
        <v>Semarang</v>
      </c>
      <c r="J220" s="1">
        <f>VLOOKUP(Summary_Laporan_Penjualan_20248[[#This Row],[ID_Produk]], Data_Produk[], 7, 0)</f>
        <v>950000</v>
      </c>
      <c r="K220" s="1">
        <f>VLOOKUP(Summary_Laporan_Penjualan_20248[[#This Row],[ID_Produk]], Data_Produk[], 8, 0)</f>
        <v>1649000</v>
      </c>
    </row>
    <row r="221" spans="1:11" x14ac:dyDescent="0.35">
      <c r="A221" s="1" t="s">
        <v>568</v>
      </c>
      <c r="B221" s="1" t="s">
        <v>113</v>
      </c>
      <c r="C221" s="1" t="s">
        <v>78</v>
      </c>
      <c r="D221" s="1" t="s">
        <v>143</v>
      </c>
      <c r="E221">
        <v>2</v>
      </c>
      <c r="F221" s="2">
        <v>45373</v>
      </c>
      <c r="G221" s="1" t="str">
        <f>VLOOKUP(Summary_Laporan_Penjualan_20248[[#This Row],[ID_Pelanggan]], Data_Pelanggan[], 2, 0)</f>
        <v>CV Sinar Terang</v>
      </c>
      <c r="H221" s="1" t="str">
        <f>VLOOKUP(Summary_Laporan_Penjualan_20248[[#This Row],[ID_Pelanggan]], Data_Pelanggan[], 4, 0)</f>
        <v>Bandung</v>
      </c>
      <c r="I221" s="1" t="str">
        <f>VLOOKUP(Summary_Laporan_Penjualan_20248[[#This Row],[ID_Produk]], Data_Produk[], 6, 0)</f>
        <v>Depok</v>
      </c>
      <c r="J221" s="1">
        <f>VLOOKUP(Summary_Laporan_Penjualan_20248[[#This Row],[ID_Produk]], Data_Produk[], 7, 0)</f>
        <v>4500000</v>
      </c>
      <c r="K221" s="1">
        <f>VLOOKUP(Summary_Laporan_Penjualan_20248[[#This Row],[ID_Produk]], Data_Produk[], 8, 0)</f>
        <v>5522000</v>
      </c>
    </row>
    <row r="222" spans="1:11" x14ac:dyDescent="0.35">
      <c r="A222" s="1" t="s">
        <v>570</v>
      </c>
      <c r="B222" s="1" t="s">
        <v>168</v>
      </c>
      <c r="C222" s="1" t="s">
        <v>73</v>
      </c>
      <c r="D222" s="1" t="s">
        <v>124</v>
      </c>
      <c r="E222">
        <v>8</v>
      </c>
      <c r="F222" s="2">
        <v>45547</v>
      </c>
      <c r="G222" s="1" t="str">
        <f>VLOOKUP(Summary_Laporan_Penjualan_20248[[#This Row],[ID_Pelanggan]], Data_Pelanggan[], 2, 0)</f>
        <v>Toko Gadget Center</v>
      </c>
      <c r="H222" s="1" t="str">
        <f>VLOOKUP(Summary_Laporan_Penjualan_20248[[#This Row],[ID_Pelanggan]], Data_Pelanggan[], 4, 0)</f>
        <v>Malang</v>
      </c>
      <c r="I222" s="1" t="str">
        <f>VLOOKUP(Summary_Laporan_Penjualan_20248[[#This Row],[ID_Produk]], Data_Produk[], 6, 0)</f>
        <v>Semarang</v>
      </c>
      <c r="J222" s="1">
        <f>VLOOKUP(Summary_Laporan_Penjualan_20248[[#This Row],[ID_Produk]], Data_Produk[], 7, 0)</f>
        <v>500000</v>
      </c>
      <c r="K222" s="1">
        <f>VLOOKUP(Summary_Laporan_Penjualan_20248[[#This Row],[ID_Produk]], Data_Produk[], 8, 0)</f>
        <v>844000</v>
      </c>
    </row>
    <row r="223" spans="1:11" x14ac:dyDescent="0.35">
      <c r="A223" s="1" t="s">
        <v>572</v>
      </c>
      <c r="B223" s="1" t="s">
        <v>109</v>
      </c>
      <c r="C223" s="1" t="s">
        <v>15</v>
      </c>
      <c r="D223" s="1" t="s">
        <v>121</v>
      </c>
      <c r="E223">
        <v>5</v>
      </c>
      <c r="F223" s="2">
        <v>45639</v>
      </c>
      <c r="G223" s="1" t="str">
        <f>VLOOKUP(Summary_Laporan_Penjualan_20248[[#This Row],[ID_Pelanggan]], Data_Pelanggan[], 2, 0)</f>
        <v>CV Berkah</v>
      </c>
      <c r="H223" s="1" t="str">
        <f>VLOOKUP(Summary_Laporan_Penjualan_20248[[#This Row],[ID_Pelanggan]], Data_Pelanggan[], 4, 0)</f>
        <v>Bandung</v>
      </c>
      <c r="I223" s="1" t="str">
        <f>VLOOKUP(Summary_Laporan_Penjualan_20248[[#This Row],[ID_Produk]], Data_Produk[], 6, 0)</f>
        <v>Semarang</v>
      </c>
      <c r="J223" s="1">
        <f>VLOOKUP(Summary_Laporan_Penjualan_20248[[#This Row],[ID_Produk]], Data_Produk[], 7, 0)</f>
        <v>2000000</v>
      </c>
      <c r="K223" s="1">
        <f>VLOOKUP(Summary_Laporan_Penjualan_20248[[#This Row],[ID_Produk]], Data_Produk[], 8, 0)</f>
        <v>3382000</v>
      </c>
    </row>
    <row r="224" spans="1:11" x14ac:dyDescent="0.35">
      <c r="A224" s="1" t="s">
        <v>574</v>
      </c>
      <c r="B224" s="1" t="s">
        <v>173</v>
      </c>
      <c r="C224" s="1" t="s">
        <v>8</v>
      </c>
      <c r="D224" s="1" t="s">
        <v>128</v>
      </c>
      <c r="E224">
        <v>5</v>
      </c>
      <c r="F224" s="2">
        <v>45600</v>
      </c>
      <c r="G224" s="1" t="str">
        <f>VLOOKUP(Summary_Laporan_Penjualan_20248[[#This Row],[ID_Pelanggan]], Data_Pelanggan[], 2, 0)</f>
        <v>PT Maju Jaya</v>
      </c>
      <c r="H224" s="1" t="str">
        <f>VLOOKUP(Summary_Laporan_Penjualan_20248[[#This Row],[ID_Pelanggan]], Data_Pelanggan[], 4, 0)</f>
        <v>Jakarta</v>
      </c>
      <c r="I224" s="1" t="str">
        <f>VLOOKUP(Summary_Laporan_Penjualan_20248[[#This Row],[ID_Produk]], Data_Produk[], 6, 0)</f>
        <v>Depok</v>
      </c>
      <c r="J224" s="1">
        <f>VLOOKUP(Summary_Laporan_Penjualan_20248[[#This Row],[ID_Produk]], Data_Produk[], 7, 0)</f>
        <v>80000</v>
      </c>
      <c r="K224" s="1">
        <f>VLOOKUP(Summary_Laporan_Penjualan_20248[[#This Row],[ID_Produk]], Data_Produk[], 8, 0)</f>
        <v>92000</v>
      </c>
    </row>
    <row r="225" spans="1:11" x14ac:dyDescent="0.35">
      <c r="A225" s="1" t="s">
        <v>576</v>
      </c>
      <c r="B225" s="1" t="s">
        <v>191</v>
      </c>
      <c r="C225" s="1" t="s">
        <v>15</v>
      </c>
      <c r="D225" s="1" t="s">
        <v>143</v>
      </c>
      <c r="E225">
        <v>5</v>
      </c>
      <c r="F225" s="2">
        <v>45559</v>
      </c>
      <c r="G225" s="1" t="str">
        <f>VLOOKUP(Summary_Laporan_Penjualan_20248[[#This Row],[ID_Pelanggan]], Data_Pelanggan[], 2, 0)</f>
        <v>CV Berkah</v>
      </c>
      <c r="H225" s="1" t="str">
        <f>VLOOKUP(Summary_Laporan_Penjualan_20248[[#This Row],[ID_Pelanggan]], Data_Pelanggan[], 4, 0)</f>
        <v>Bandung</v>
      </c>
      <c r="I225" s="1" t="str">
        <f>VLOOKUP(Summary_Laporan_Penjualan_20248[[#This Row],[ID_Produk]], Data_Produk[], 6, 0)</f>
        <v>Jakarta</v>
      </c>
      <c r="J225" s="1">
        <f>VLOOKUP(Summary_Laporan_Penjualan_20248[[#This Row],[ID_Produk]], Data_Produk[], 7, 0)</f>
        <v>12000000</v>
      </c>
      <c r="K225" s="1">
        <f>VLOOKUP(Summary_Laporan_Penjualan_20248[[#This Row],[ID_Produk]], Data_Produk[], 8, 0)</f>
        <v>13963000</v>
      </c>
    </row>
    <row r="226" spans="1:11" x14ac:dyDescent="0.35">
      <c r="A226" s="1" t="s">
        <v>578</v>
      </c>
      <c r="B226" s="1" t="s">
        <v>116</v>
      </c>
      <c r="C226" s="1" t="s">
        <v>15</v>
      </c>
      <c r="D226" s="1" t="s">
        <v>171</v>
      </c>
      <c r="E226">
        <v>10</v>
      </c>
      <c r="F226" s="2">
        <v>45496</v>
      </c>
      <c r="G226" s="1" t="str">
        <f>VLOOKUP(Summary_Laporan_Penjualan_20248[[#This Row],[ID_Pelanggan]], Data_Pelanggan[], 2, 0)</f>
        <v>CV Berkah</v>
      </c>
      <c r="H226" s="1" t="str">
        <f>VLOOKUP(Summary_Laporan_Penjualan_20248[[#This Row],[ID_Pelanggan]], Data_Pelanggan[], 4, 0)</f>
        <v>Bandung</v>
      </c>
      <c r="I226" s="1" t="str">
        <f>VLOOKUP(Summary_Laporan_Penjualan_20248[[#This Row],[ID_Produk]], Data_Produk[], 6, 0)</f>
        <v>Depok</v>
      </c>
      <c r="J226" s="1">
        <f>VLOOKUP(Summary_Laporan_Penjualan_20248[[#This Row],[ID_Produk]], Data_Produk[], 7, 0)</f>
        <v>5000000</v>
      </c>
      <c r="K226" s="1">
        <f>VLOOKUP(Summary_Laporan_Penjualan_20248[[#This Row],[ID_Produk]], Data_Produk[], 8, 0)</f>
        <v>7546000</v>
      </c>
    </row>
    <row r="227" spans="1:11" x14ac:dyDescent="0.35">
      <c r="A227" s="1" t="s">
        <v>580</v>
      </c>
      <c r="B227" s="1" t="s">
        <v>197</v>
      </c>
      <c r="C227" s="1" t="s">
        <v>45</v>
      </c>
      <c r="D227" s="1" t="s">
        <v>143</v>
      </c>
      <c r="E227">
        <v>9</v>
      </c>
      <c r="F227" s="2">
        <v>45611</v>
      </c>
      <c r="G227" s="1" t="str">
        <f>VLOOKUP(Summary_Laporan_Penjualan_20248[[#This Row],[ID_Pelanggan]], Data_Pelanggan[], 2, 0)</f>
        <v>CV Techno</v>
      </c>
      <c r="H227" s="1" t="str">
        <f>VLOOKUP(Summary_Laporan_Penjualan_20248[[#This Row],[ID_Pelanggan]], Data_Pelanggan[], 4, 0)</f>
        <v>Yogyakarta</v>
      </c>
      <c r="I227" s="1" t="str">
        <f>VLOOKUP(Summary_Laporan_Penjualan_20248[[#This Row],[ID_Produk]], Data_Produk[], 6, 0)</f>
        <v>Jakarta</v>
      </c>
      <c r="J227" s="1">
        <f>VLOOKUP(Summary_Laporan_Penjualan_20248[[#This Row],[ID_Produk]], Data_Produk[], 7, 0)</f>
        <v>1200000</v>
      </c>
      <c r="K227" s="1">
        <f>VLOOKUP(Summary_Laporan_Penjualan_20248[[#This Row],[ID_Produk]], Data_Produk[], 8, 0)</f>
        <v>1375000</v>
      </c>
    </row>
    <row r="228" spans="1:11" x14ac:dyDescent="0.35">
      <c r="A228" s="1" t="s">
        <v>582</v>
      </c>
      <c r="B228" s="1" t="s">
        <v>113</v>
      </c>
      <c r="C228" s="1" t="s">
        <v>82</v>
      </c>
      <c r="D228" s="1" t="s">
        <v>171</v>
      </c>
      <c r="E228">
        <v>10</v>
      </c>
      <c r="F228" s="2">
        <v>45579</v>
      </c>
      <c r="G228" s="1" t="str">
        <f>VLOOKUP(Summary_Laporan_Penjualan_20248[[#This Row],[ID_Pelanggan]], Data_Pelanggan[], 2, 0)</f>
        <v>Toko Komputer Maju</v>
      </c>
      <c r="H228" s="1" t="str">
        <f>VLOOKUP(Summary_Laporan_Penjualan_20248[[#This Row],[ID_Pelanggan]], Data_Pelanggan[], 4, 0)</f>
        <v>Solo</v>
      </c>
      <c r="I228" s="1" t="str">
        <f>VLOOKUP(Summary_Laporan_Penjualan_20248[[#This Row],[ID_Produk]], Data_Produk[], 6, 0)</f>
        <v>Depok</v>
      </c>
      <c r="J228" s="1">
        <f>VLOOKUP(Summary_Laporan_Penjualan_20248[[#This Row],[ID_Produk]], Data_Produk[], 7, 0)</f>
        <v>4500000</v>
      </c>
      <c r="K228" s="1">
        <f>VLOOKUP(Summary_Laporan_Penjualan_20248[[#This Row],[ID_Produk]], Data_Produk[], 8, 0)</f>
        <v>5522000</v>
      </c>
    </row>
    <row r="229" spans="1:11" x14ac:dyDescent="0.35">
      <c r="A229" s="1" t="s">
        <v>584</v>
      </c>
      <c r="B229" s="1" t="s">
        <v>109</v>
      </c>
      <c r="C229" s="1" t="s">
        <v>82</v>
      </c>
      <c r="D229" s="1" t="s">
        <v>171</v>
      </c>
      <c r="E229">
        <v>5</v>
      </c>
      <c r="F229" s="2">
        <v>45568</v>
      </c>
      <c r="G229" s="1" t="str">
        <f>VLOOKUP(Summary_Laporan_Penjualan_20248[[#This Row],[ID_Pelanggan]], Data_Pelanggan[], 2, 0)</f>
        <v>Toko Komputer Maju</v>
      </c>
      <c r="H229" s="1" t="str">
        <f>VLOOKUP(Summary_Laporan_Penjualan_20248[[#This Row],[ID_Pelanggan]], Data_Pelanggan[], 4, 0)</f>
        <v>Solo</v>
      </c>
      <c r="I229" s="1" t="str">
        <f>VLOOKUP(Summary_Laporan_Penjualan_20248[[#This Row],[ID_Produk]], Data_Produk[], 6, 0)</f>
        <v>Semarang</v>
      </c>
      <c r="J229" s="1">
        <f>VLOOKUP(Summary_Laporan_Penjualan_20248[[#This Row],[ID_Produk]], Data_Produk[], 7, 0)</f>
        <v>2000000</v>
      </c>
      <c r="K229" s="1">
        <f>VLOOKUP(Summary_Laporan_Penjualan_20248[[#This Row],[ID_Produk]], Data_Produk[], 8, 0)</f>
        <v>3382000</v>
      </c>
    </row>
    <row r="230" spans="1:11" x14ac:dyDescent="0.35">
      <c r="A230" s="1" t="s">
        <v>586</v>
      </c>
      <c r="B230" s="1" t="s">
        <v>168</v>
      </c>
      <c r="C230" s="1" t="s">
        <v>35</v>
      </c>
      <c r="D230" s="1" t="s">
        <v>121</v>
      </c>
      <c r="E230">
        <v>2</v>
      </c>
      <c r="F230" s="2">
        <v>45344</v>
      </c>
      <c r="G230" s="1" t="str">
        <f>VLOOKUP(Summary_Laporan_Penjualan_20248[[#This Row],[ID_Pelanggan]], Data_Pelanggan[], 2, 0)</f>
        <v>PT Digital Nusantara</v>
      </c>
      <c r="H230" s="1" t="str">
        <f>VLOOKUP(Summary_Laporan_Penjualan_20248[[#This Row],[ID_Pelanggan]], Data_Pelanggan[], 4, 0)</f>
        <v>Jakarta</v>
      </c>
      <c r="I230" s="1" t="str">
        <f>VLOOKUP(Summary_Laporan_Penjualan_20248[[#This Row],[ID_Produk]], Data_Produk[], 6, 0)</f>
        <v>Semarang</v>
      </c>
      <c r="J230" s="1">
        <f>VLOOKUP(Summary_Laporan_Penjualan_20248[[#This Row],[ID_Produk]], Data_Produk[], 7, 0)</f>
        <v>500000</v>
      </c>
      <c r="K230" s="1">
        <f>VLOOKUP(Summary_Laporan_Penjualan_20248[[#This Row],[ID_Produk]], Data_Produk[], 8, 0)</f>
        <v>844000</v>
      </c>
    </row>
    <row r="231" spans="1:11" x14ac:dyDescent="0.35">
      <c r="A231" s="1" t="s">
        <v>588</v>
      </c>
      <c r="B231" s="1" t="s">
        <v>149</v>
      </c>
      <c r="C231" s="1" t="s">
        <v>87</v>
      </c>
      <c r="D231" s="1" t="s">
        <v>128</v>
      </c>
      <c r="E231">
        <v>13</v>
      </c>
      <c r="F231" s="2">
        <v>45537</v>
      </c>
      <c r="G231" s="1" t="str">
        <f>VLOOKUP(Summary_Laporan_Penjualan_20248[[#This Row],[ID_Pelanggan]], Data_Pelanggan[], 2, 0)</f>
        <v>PT Indo Digital</v>
      </c>
      <c r="H231" s="1" t="str">
        <f>VLOOKUP(Summary_Laporan_Penjualan_20248[[#This Row],[ID_Pelanggan]], Data_Pelanggan[], 4, 0)</f>
        <v>Tangerang</v>
      </c>
      <c r="I231" s="1" t="str">
        <f>VLOOKUP(Summary_Laporan_Penjualan_20248[[#This Row],[ID_Produk]], Data_Produk[], 6, 0)</f>
        <v>Semarang</v>
      </c>
      <c r="J231" s="1">
        <f>VLOOKUP(Summary_Laporan_Penjualan_20248[[#This Row],[ID_Produk]], Data_Produk[], 7, 0)</f>
        <v>100000</v>
      </c>
      <c r="K231" s="1">
        <f>VLOOKUP(Summary_Laporan_Penjualan_20248[[#This Row],[ID_Produk]], Data_Produk[], 8, 0)</f>
        <v>169000</v>
      </c>
    </row>
    <row r="232" spans="1:11" x14ac:dyDescent="0.35">
      <c r="A232" s="1" t="s">
        <v>590</v>
      </c>
      <c r="B232" s="1" t="s">
        <v>197</v>
      </c>
      <c r="C232" s="1" t="s">
        <v>15</v>
      </c>
      <c r="D232" s="1" t="s">
        <v>157</v>
      </c>
      <c r="E232">
        <v>2</v>
      </c>
      <c r="F232" s="2">
        <v>45637</v>
      </c>
      <c r="G232" s="1" t="str">
        <f>VLOOKUP(Summary_Laporan_Penjualan_20248[[#This Row],[ID_Pelanggan]], Data_Pelanggan[], 2, 0)</f>
        <v>CV Berkah</v>
      </c>
      <c r="H232" s="1" t="str">
        <f>VLOOKUP(Summary_Laporan_Penjualan_20248[[#This Row],[ID_Pelanggan]], Data_Pelanggan[], 4, 0)</f>
        <v>Bandung</v>
      </c>
      <c r="I232" s="1" t="str">
        <f>VLOOKUP(Summary_Laporan_Penjualan_20248[[#This Row],[ID_Produk]], Data_Produk[], 6, 0)</f>
        <v>Jakarta</v>
      </c>
      <c r="J232" s="1">
        <f>VLOOKUP(Summary_Laporan_Penjualan_20248[[#This Row],[ID_Produk]], Data_Produk[], 7, 0)</f>
        <v>1200000</v>
      </c>
      <c r="K232" s="1">
        <f>VLOOKUP(Summary_Laporan_Penjualan_20248[[#This Row],[ID_Produk]], Data_Produk[], 8, 0)</f>
        <v>1375000</v>
      </c>
    </row>
    <row r="233" spans="1:11" x14ac:dyDescent="0.35">
      <c r="A233" s="1" t="s">
        <v>592</v>
      </c>
      <c r="B233" s="1" t="s">
        <v>197</v>
      </c>
      <c r="C233" s="1" t="s">
        <v>35</v>
      </c>
      <c r="D233" s="1" t="s">
        <v>128</v>
      </c>
      <c r="E233">
        <v>9</v>
      </c>
      <c r="F233" s="2">
        <v>45343</v>
      </c>
      <c r="G233" s="1" t="str">
        <f>VLOOKUP(Summary_Laporan_Penjualan_20248[[#This Row],[ID_Pelanggan]], Data_Pelanggan[], 2, 0)</f>
        <v>PT Digital Nusantara</v>
      </c>
      <c r="H233" s="1" t="str">
        <f>VLOOKUP(Summary_Laporan_Penjualan_20248[[#This Row],[ID_Pelanggan]], Data_Pelanggan[], 4, 0)</f>
        <v>Jakarta</v>
      </c>
      <c r="I233" s="1" t="str">
        <f>VLOOKUP(Summary_Laporan_Penjualan_20248[[#This Row],[ID_Produk]], Data_Produk[], 6, 0)</f>
        <v>Jakarta</v>
      </c>
      <c r="J233" s="1">
        <f>VLOOKUP(Summary_Laporan_Penjualan_20248[[#This Row],[ID_Produk]], Data_Produk[], 7, 0)</f>
        <v>1200000</v>
      </c>
      <c r="K233" s="1">
        <f>VLOOKUP(Summary_Laporan_Penjualan_20248[[#This Row],[ID_Produk]], Data_Produk[], 8, 0)</f>
        <v>1375000</v>
      </c>
    </row>
    <row r="234" spans="1:11" x14ac:dyDescent="0.35">
      <c r="A234" s="1" t="s">
        <v>594</v>
      </c>
      <c r="B234" s="1" t="s">
        <v>106</v>
      </c>
      <c r="C234" s="1" t="s">
        <v>39</v>
      </c>
      <c r="D234" s="1" t="s">
        <v>143</v>
      </c>
      <c r="E234">
        <v>13</v>
      </c>
      <c r="F234" s="2">
        <v>45361</v>
      </c>
      <c r="G234" s="1" t="str">
        <f>VLOOKUP(Summary_Laporan_Penjualan_20248[[#This Row],[ID_Pelanggan]], Data_Pelanggan[], 2, 0)</f>
        <v>Toko Elektronik Jaya</v>
      </c>
      <c r="H234" s="1" t="str">
        <f>VLOOKUP(Summary_Laporan_Penjualan_20248[[#This Row],[ID_Pelanggan]], Data_Pelanggan[], 4, 0)</f>
        <v>Semarang</v>
      </c>
      <c r="I234" s="1" t="str">
        <f>VLOOKUP(Summary_Laporan_Penjualan_20248[[#This Row],[ID_Produk]], Data_Produk[], 6, 0)</f>
        <v>Depok</v>
      </c>
      <c r="J234" s="1">
        <f>VLOOKUP(Summary_Laporan_Penjualan_20248[[#This Row],[ID_Produk]], Data_Produk[], 7, 0)</f>
        <v>300000</v>
      </c>
      <c r="K234" s="1">
        <f>VLOOKUP(Summary_Laporan_Penjualan_20248[[#This Row],[ID_Produk]], Data_Produk[], 8, 0)</f>
        <v>355000</v>
      </c>
    </row>
    <row r="235" spans="1:11" x14ac:dyDescent="0.35">
      <c r="A235" s="1" t="s">
        <v>596</v>
      </c>
      <c r="B235" s="1" t="s">
        <v>141</v>
      </c>
      <c r="C235" s="1" t="s">
        <v>87</v>
      </c>
      <c r="D235" s="1" t="s">
        <v>143</v>
      </c>
      <c r="E235">
        <v>4</v>
      </c>
      <c r="F235" s="2">
        <v>45575</v>
      </c>
      <c r="G235" s="1" t="str">
        <f>VLOOKUP(Summary_Laporan_Penjualan_20248[[#This Row],[ID_Pelanggan]], Data_Pelanggan[], 2, 0)</f>
        <v>PT Indo Digital</v>
      </c>
      <c r="H235" s="1" t="str">
        <f>VLOOKUP(Summary_Laporan_Penjualan_20248[[#This Row],[ID_Pelanggan]], Data_Pelanggan[], 4, 0)</f>
        <v>Tangerang</v>
      </c>
      <c r="I235" s="1" t="str">
        <f>VLOOKUP(Summary_Laporan_Penjualan_20248[[#This Row],[ID_Produk]], Data_Produk[], 6, 0)</f>
        <v>Semarang</v>
      </c>
      <c r="J235" s="1">
        <f>VLOOKUP(Summary_Laporan_Penjualan_20248[[#This Row],[ID_Produk]], Data_Produk[], 7, 0)</f>
        <v>400000</v>
      </c>
      <c r="K235" s="1">
        <f>VLOOKUP(Summary_Laporan_Penjualan_20248[[#This Row],[ID_Produk]], Data_Produk[], 8, 0)</f>
        <v>623000</v>
      </c>
    </row>
    <row r="236" spans="1:11" x14ac:dyDescent="0.35">
      <c r="A236" s="1" t="s">
        <v>598</v>
      </c>
      <c r="B236" s="1" t="s">
        <v>173</v>
      </c>
      <c r="C236" s="1" t="s">
        <v>57</v>
      </c>
      <c r="D236" s="1" t="s">
        <v>128</v>
      </c>
      <c r="E236">
        <v>6</v>
      </c>
      <c r="F236" s="2">
        <v>45553</v>
      </c>
      <c r="G236" s="1" t="str">
        <f>VLOOKUP(Summary_Laporan_Penjualan_20248[[#This Row],[ID_Pelanggan]], Data_Pelanggan[], 2, 0)</f>
        <v>PT Karya Mandiri</v>
      </c>
      <c r="H236" s="1" t="str">
        <f>VLOOKUP(Summary_Laporan_Penjualan_20248[[#This Row],[ID_Pelanggan]], Data_Pelanggan[], 4, 0)</f>
        <v>Makassar</v>
      </c>
      <c r="I236" s="1" t="str">
        <f>VLOOKUP(Summary_Laporan_Penjualan_20248[[#This Row],[ID_Produk]], Data_Produk[], 6, 0)</f>
        <v>Depok</v>
      </c>
      <c r="J236" s="1">
        <f>VLOOKUP(Summary_Laporan_Penjualan_20248[[#This Row],[ID_Produk]], Data_Produk[], 7, 0)</f>
        <v>80000</v>
      </c>
      <c r="K236" s="1">
        <f>VLOOKUP(Summary_Laporan_Penjualan_20248[[#This Row],[ID_Produk]], Data_Produk[], 8, 0)</f>
        <v>92000</v>
      </c>
    </row>
    <row r="237" spans="1:11" x14ac:dyDescent="0.35">
      <c r="A237" s="1" t="s">
        <v>600</v>
      </c>
      <c r="B237" s="1" t="s">
        <v>168</v>
      </c>
      <c r="C237" s="1" t="s">
        <v>69</v>
      </c>
      <c r="D237" s="1" t="s">
        <v>157</v>
      </c>
      <c r="E237">
        <v>2</v>
      </c>
      <c r="F237" s="2">
        <v>45383</v>
      </c>
      <c r="G237" s="1" t="str">
        <f>VLOOKUP(Summary_Laporan_Penjualan_20248[[#This Row],[ID_Pelanggan]], Data_Pelanggan[], 2, 0)</f>
        <v>PT Teknologi Prima</v>
      </c>
      <c r="H237" s="1" t="str">
        <f>VLOOKUP(Summary_Laporan_Penjualan_20248[[#This Row],[ID_Pelanggan]], Data_Pelanggan[], 4, 0)</f>
        <v>Jakarta</v>
      </c>
      <c r="I237" s="1" t="str">
        <f>VLOOKUP(Summary_Laporan_Penjualan_20248[[#This Row],[ID_Produk]], Data_Produk[], 6, 0)</f>
        <v>Semarang</v>
      </c>
      <c r="J237" s="1">
        <f>VLOOKUP(Summary_Laporan_Penjualan_20248[[#This Row],[ID_Produk]], Data_Produk[], 7, 0)</f>
        <v>500000</v>
      </c>
      <c r="K237" s="1">
        <f>VLOOKUP(Summary_Laporan_Penjualan_20248[[#This Row],[ID_Produk]], Data_Produk[], 8, 0)</f>
        <v>844000</v>
      </c>
    </row>
    <row r="238" spans="1:11" x14ac:dyDescent="0.35">
      <c r="A238" s="1" t="s">
        <v>602</v>
      </c>
      <c r="B238" s="1" t="s">
        <v>133</v>
      </c>
      <c r="C238" s="1" t="s">
        <v>82</v>
      </c>
      <c r="D238" s="1" t="s">
        <v>171</v>
      </c>
      <c r="E238">
        <v>1</v>
      </c>
      <c r="F238" s="2">
        <v>45621</v>
      </c>
      <c r="G238" s="1" t="str">
        <f>VLOOKUP(Summary_Laporan_Penjualan_20248[[#This Row],[ID_Pelanggan]], Data_Pelanggan[], 2, 0)</f>
        <v>Toko Komputer Maju</v>
      </c>
      <c r="H238" s="1" t="str">
        <f>VLOOKUP(Summary_Laporan_Penjualan_20248[[#This Row],[ID_Pelanggan]], Data_Pelanggan[], 4, 0)</f>
        <v>Solo</v>
      </c>
      <c r="I238" s="1" t="str">
        <f>VLOOKUP(Summary_Laporan_Penjualan_20248[[#This Row],[ID_Produk]], Data_Produk[], 6, 0)</f>
        <v>Jakarta</v>
      </c>
      <c r="J238" s="1">
        <f>VLOOKUP(Summary_Laporan_Penjualan_20248[[#This Row],[ID_Produk]], Data_Produk[], 7, 0)</f>
        <v>2500000</v>
      </c>
      <c r="K238" s="1">
        <f>VLOOKUP(Summary_Laporan_Penjualan_20248[[#This Row],[ID_Produk]], Data_Produk[], 8, 0)</f>
        <v>3080000</v>
      </c>
    </row>
    <row r="239" spans="1:11" x14ac:dyDescent="0.35">
      <c r="A239" s="1" t="s">
        <v>604</v>
      </c>
      <c r="B239" s="1" t="s">
        <v>188</v>
      </c>
      <c r="C239" s="1" t="s">
        <v>8</v>
      </c>
      <c r="D239" s="1" t="s">
        <v>128</v>
      </c>
      <c r="E239">
        <v>2</v>
      </c>
      <c r="F239" s="2">
        <v>45488</v>
      </c>
      <c r="G239" s="1" t="str">
        <f>VLOOKUP(Summary_Laporan_Penjualan_20248[[#This Row],[ID_Pelanggan]], Data_Pelanggan[], 2, 0)</f>
        <v>PT Maju Jaya</v>
      </c>
      <c r="H239" s="1" t="str">
        <f>VLOOKUP(Summary_Laporan_Penjualan_20248[[#This Row],[ID_Pelanggan]], Data_Pelanggan[], 4, 0)</f>
        <v>Jakarta</v>
      </c>
      <c r="I239" s="1" t="str">
        <f>VLOOKUP(Summary_Laporan_Penjualan_20248[[#This Row],[ID_Produk]], Data_Produk[], 6, 0)</f>
        <v>Semarang</v>
      </c>
      <c r="J239" s="1">
        <f>VLOOKUP(Summary_Laporan_Penjualan_20248[[#This Row],[ID_Produk]], Data_Produk[], 7, 0)</f>
        <v>2800000</v>
      </c>
      <c r="K239" s="1">
        <f>VLOOKUP(Summary_Laporan_Penjualan_20248[[#This Row],[ID_Produk]], Data_Produk[], 8, 0)</f>
        <v>4747000</v>
      </c>
    </row>
    <row r="240" spans="1:11" x14ac:dyDescent="0.35">
      <c r="A240" s="1" t="s">
        <v>606</v>
      </c>
      <c r="B240" s="1" t="s">
        <v>191</v>
      </c>
      <c r="C240" s="1" t="s">
        <v>82</v>
      </c>
      <c r="D240" s="1" t="s">
        <v>128</v>
      </c>
      <c r="E240">
        <v>4</v>
      </c>
      <c r="F240" s="2">
        <v>45297</v>
      </c>
      <c r="G240" s="1" t="str">
        <f>VLOOKUP(Summary_Laporan_Penjualan_20248[[#This Row],[ID_Pelanggan]], Data_Pelanggan[], 2, 0)</f>
        <v>Toko Komputer Maju</v>
      </c>
      <c r="H240" s="1" t="str">
        <f>VLOOKUP(Summary_Laporan_Penjualan_20248[[#This Row],[ID_Pelanggan]], Data_Pelanggan[], 4, 0)</f>
        <v>Solo</v>
      </c>
      <c r="I240" s="1" t="str">
        <f>VLOOKUP(Summary_Laporan_Penjualan_20248[[#This Row],[ID_Produk]], Data_Produk[], 6, 0)</f>
        <v>Jakarta</v>
      </c>
      <c r="J240" s="1">
        <f>VLOOKUP(Summary_Laporan_Penjualan_20248[[#This Row],[ID_Produk]], Data_Produk[], 7, 0)</f>
        <v>12000000</v>
      </c>
      <c r="K240" s="1">
        <f>VLOOKUP(Summary_Laporan_Penjualan_20248[[#This Row],[ID_Produk]], Data_Produk[], 8, 0)</f>
        <v>13963000</v>
      </c>
    </row>
    <row r="241" spans="1:11" x14ac:dyDescent="0.35">
      <c r="A241" s="1" t="s">
        <v>608</v>
      </c>
      <c r="B241" s="1" t="s">
        <v>172</v>
      </c>
      <c r="C241" s="1" t="s">
        <v>15</v>
      </c>
      <c r="D241" s="1" t="s">
        <v>143</v>
      </c>
      <c r="E241">
        <v>7</v>
      </c>
      <c r="F241" s="2">
        <v>45481</v>
      </c>
      <c r="G241" s="1" t="str">
        <f>VLOOKUP(Summary_Laporan_Penjualan_20248[[#This Row],[ID_Pelanggan]], Data_Pelanggan[], 2, 0)</f>
        <v>CV Berkah</v>
      </c>
      <c r="H241" s="1" t="str">
        <f>VLOOKUP(Summary_Laporan_Penjualan_20248[[#This Row],[ID_Pelanggan]], Data_Pelanggan[], 4, 0)</f>
        <v>Bandung</v>
      </c>
      <c r="I241" s="1" t="str">
        <f>VLOOKUP(Summary_Laporan_Penjualan_20248[[#This Row],[ID_Produk]], Data_Produk[], 6, 0)</f>
        <v>Semarang</v>
      </c>
      <c r="J241" s="1">
        <f>VLOOKUP(Summary_Laporan_Penjualan_20248[[#This Row],[ID_Produk]], Data_Produk[], 7, 0)</f>
        <v>950000</v>
      </c>
      <c r="K241" s="1">
        <f>VLOOKUP(Summary_Laporan_Penjualan_20248[[#This Row],[ID_Produk]], Data_Produk[], 8, 0)</f>
        <v>1649000</v>
      </c>
    </row>
    <row r="242" spans="1:11" x14ac:dyDescent="0.35">
      <c r="A242" s="1" t="s">
        <v>610</v>
      </c>
      <c r="B242" s="1" t="s">
        <v>137</v>
      </c>
      <c r="C242" s="1" t="s">
        <v>87</v>
      </c>
      <c r="D242" s="1" t="s">
        <v>121</v>
      </c>
      <c r="E242">
        <v>8</v>
      </c>
      <c r="F242" s="2">
        <v>45400</v>
      </c>
      <c r="G242" s="1" t="str">
        <f>VLOOKUP(Summary_Laporan_Penjualan_20248[[#This Row],[ID_Pelanggan]], Data_Pelanggan[], 2, 0)</f>
        <v>PT Indo Digital</v>
      </c>
      <c r="H242" s="1" t="str">
        <f>VLOOKUP(Summary_Laporan_Penjualan_20248[[#This Row],[ID_Pelanggan]], Data_Pelanggan[], 4, 0)</f>
        <v>Tangerang</v>
      </c>
      <c r="I242" s="1" t="str">
        <f>VLOOKUP(Summary_Laporan_Penjualan_20248[[#This Row],[ID_Produk]], Data_Produk[], 6, 0)</f>
        <v>Jakarta</v>
      </c>
      <c r="J242" s="1">
        <f>VLOOKUP(Summary_Laporan_Penjualan_20248[[#This Row],[ID_Produk]], Data_Produk[], 7, 0)</f>
        <v>2000000</v>
      </c>
      <c r="K242" s="1">
        <f>VLOOKUP(Summary_Laporan_Penjualan_20248[[#This Row],[ID_Produk]], Data_Produk[], 8, 0)</f>
        <v>2533000</v>
      </c>
    </row>
    <row r="243" spans="1:11" x14ac:dyDescent="0.35">
      <c r="A243" s="1" t="s">
        <v>612</v>
      </c>
      <c r="B243" s="1" t="s">
        <v>164</v>
      </c>
      <c r="C243" s="1" t="s">
        <v>63</v>
      </c>
      <c r="D243" s="1" t="s">
        <v>121</v>
      </c>
      <c r="E243">
        <v>3</v>
      </c>
      <c r="F243" s="2">
        <v>45380</v>
      </c>
      <c r="G243" s="1" t="str">
        <f>VLOOKUP(Summary_Laporan_Penjualan_20248[[#This Row],[ID_Pelanggan]], Data_Pelanggan[], 2, 0)</f>
        <v>UD Makmur</v>
      </c>
      <c r="H243" s="1" t="str">
        <f>VLOOKUP(Summary_Laporan_Penjualan_20248[[#This Row],[ID_Pelanggan]], Data_Pelanggan[], 4, 0)</f>
        <v>Palembang</v>
      </c>
      <c r="I243" s="1" t="str">
        <f>VLOOKUP(Summary_Laporan_Penjualan_20248[[#This Row],[ID_Produk]], Data_Produk[], 6, 0)</f>
        <v>Jakarta</v>
      </c>
      <c r="J243" s="1">
        <f>VLOOKUP(Summary_Laporan_Penjualan_20248[[#This Row],[ID_Produk]], Data_Produk[], 7, 0)</f>
        <v>750000</v>
      </c>
      <c r="K243" s="1">
        <f>VLOOKUP(Summary_Laporan_Penjualan_20248[[#This Row],[ID_Produk]], Data_Produk[], 8, 0)</f>
        <v>971000</v>
      </c>
    </row>
    <row r="244" spans="1:11" x14ac:dyDescent="0.35">
      <c r="A244" s="1" t="s">
        <v>613</v>
      </c>
      <c r="B244" s="1" t="s">
        <v>106</v>
      </c>
      <c r="C244" s="1" t="s">
        <v>8</v>
      </c>
      <c r="D244" s="1" t="s">
        <v>121</v>
      </c>
      <c r="E244">
        <v>15</v>
      </c>
      <c r="F244" s="2">
        <v>45309</v>
      </c>
      <c r="G244" s="1" t="str">
        <f>VLOOKUP(Summary_Laporan_Penjualan_20248[[#This Row],[ID_Pelanggan]], Data_Pelanggan[], 2, 0)</f>
        <v>PT Maju Jaya</v>
      </c>
      <c r="H244" s="1" t="str">
        <f>VLOOKUP(Summary_Laporan_Penjualan_20248[[#This Row],[ID_Pelanggan]], Data_Pelanggan[], 4, 0)</f>
        <v>Jakarta</v>
      </c>
      <c r="I244" s="1" t="str">
        <f>VLOOKUP(Summary_Laporan_Penjualan_20248[[#This Row],[ID_Produk]], Data_Produk[], 6, 0)</f>
        <v>Depok</v>
      </c>
      <c r="J244" s="1">
        <f>VLOOKUP(Summary_Laporan_Penjualan_20248[[#This Row],[ID_Produk]], Data_Produk[], 7, 0)</f>
        <v>300000</v>
      </c>
      <c r="K244" s="1">
        <f>VLOOKUP(Summary_Laporan_Penjualan_20248[[#This Row],[ID_Produk]], Data_Produk[], 8, 0)</f>
        <v>355000</v>
      </c>
    </row>
    <row r="245" spans="1:11" x14ac:dyDescent="0.35">
      <c r="A245" s="1" t="s">
        <v>615</v>
      </c>
      <c r="B245" s="1" t="s">
        <v>168</v>
      </c>
      <c r="C245" s="1" t="s">
        <v>21</v>
      </c>
      <c r="D245" s="1" t="s">
        <v>171</v>
      </c>
      <c r="E245">
        <v>9</v>
      </c>
      <c r="F245" s="2">
        <v>45621</v>
      </c>
      <c r="G245" s="1" t="str">
        <f>VLOOKUP(Summary_Laporan_Penjualan_20248[[#This Row],[ID_Pelanggan]], Data_Pelanggan[], 2, 0)</f>
        <v>Toko Komputer Sejahtera</v>
      </c>
      <c r="H245" s="1" t="str">
        <f>VLOOKUP(Summary_Laporan_Penjualan_20248[[#This Row],[ID_Pelanggan]], Data_Pelanggan[], 4, 0)</f>
        <v>Surabaya</v>
      </c>
      <c r="I245" s="1" t="str">
        <f>VLOOKUP(Summary_Laporan_Penjualan_20248[[#This Row],[ID_Produk]], Data_Produk[], 6, 0)</f>
        <v>Semarang</v>
      </c>
      <c r="J245" s="1">
        <f>VLOOKUP(Summary_Laporan_Penjualan_20248[[#This Row],[ID_Produk]], Data_Produk[], 7, 0)</f>
        <v>500000</v>
      </c>
      <c r="K245" s="1">
        <f>VLOOKUP(Summary_Laporan_Penjualan_20248[[#This Row],[ID_Produk]], Data_Produk[], 8, 0)</f>
        <v>844000</v>
      </c>
    </row>
    <row r="246" spans="1:11" x14ac:dyDescent="0.35">
      <c r="A246" s="1" t="s">
        <v>616</v>
      </c>
      <c r="B246" s="1" t="s">
        <v>149</v>
      </c>
      <c r="C246" s="1" t="s">
        <v>82</v>
      </c>
      <c r="D246" s="1" t="s">
        <v>121</v>
      </c>
      <c r="E246">
        <v>14</v>
      </c>
      <c r="F246" s="2">
        <v>45647</v>
      </c>
      <c r="G246" s="1" t="str">
        <f>VLOOKUP(Summary_Laporan_Penjualan_20248[[#This Row],[ID_Pelanggan]], Data_Pelanggan[], 2, 0)</f>
        <v>Toko Komputer Maju</v>
      </c>
      <c r="H246" s="1" t="str">
        <f>VLOOKUP(Summary_Laporan_Penjualan_20248[[#This Row],[ID_Pelanggan]], Data_Pelanggan[], 4, 0)</f>
        <v>Solo</v>
      </c>
      <c r="I246" s="1" t="str">
        <f>VLOOKUP(Summary_Laporan_Penjualan_20248[[#This Row],[ID_Produk]], Data_Produk[], 6, 0)</f>
        <v>Semarang</v>
      </c>
      <c r="J246" s="1">
        <f>VLOOKUP(Summary_Laporan_Penjualan_20248[[#This Row],[ID_Produk]], Data_Produk[], 7, 0)</f>
        <v>100000</v>
      </c>
      <c r="K246" s="1">
        <f>VLOOKUP(Summary_Laporan_Penjualan_20248[[#This Row],[ID_Produk]], Data_Produk[], 8, 0)</f>
        <v>169000</v>
      </c>
    </row>
    <row r="247" spans="1:11" x14ac:dyDescent="0.35">
      <c r="A247" s="1" t="s">
        <v>618</v>
      </c>
      <c r="B247" s="1" t="s">
        <v>149</v>
      </c>
      <c r="C247" s="1" t="s">
        <v>8</v>
      </c>
      <c r="D247" s="1" t="s">
        <v>157</v>
      </c>
      <c r="E247">
        <v>15</v>
      </c>
      <c r="F247" s="2">
        <v>45463</v>
      </c>
      <c r="G247" s="1" t="str">
        <f>VLOOKUP(Summary_Laporan_Penjualan_20248[[#This Row],[ID_Pelanggan]], Data_Pelanggan[], 2, 0)</f>
        <v>PT Maju Jaya</v>
      </c>
      <c r="H247" s="1" t="str">
        <f>VLOOKUP(Summary_Laporan_Penjualan_20248[[#This Row],[ID_Pelanggan]], Data_Pelanggan[], 4, 0)</f>
        <v>Jakarta</v>
      </c>
      <c r="I247" s="1" t="str">
        <f>VLOOKUP(Summary_Laporan_Penjualan_20248[[#This Row],[ID_Produk]], Data_Produk[], 6, 0)</f>
        <v>Semarang</v>
      </c>
      <c r="J247" s="1">
        <f>VLOOKUP(Summary_Laporan_Penjualan_20248[[#This Row],[ID_Produk]], Data_Produk[], 7, 0)</f>
        <v>100000</v>
      </c>
      <c r="K247" s="1">
        <f>VLOOKUP(Summary_Laporan_Penjualan_20248[[#This Row],[ID_Produk]], Data_Produk[], 8, 0)</f>
        <v>169000</v>
      </c>
    </row>
    <row r="248" spans="1:11" x14ac:dyDescent="0.35">
      <c r="A248" s="1" t="s">
        <v>620</v>
      </c>
      <c r="B248" s="1" t="s">
        <v>173</v>
      </c>
      <c r="C248" s="1" t="s">
        <v>51</v>
      </c>
      <c r="D248" s="1" t="s">
        <v>124</v>
      </c>
      <c r="E248">
        <v>1</v>
      </c>
      <c r="F248" s="2">
        <v>45333</v>
      </c>
      <c r="G248" s="1" t="str">
        <f>VLOOKUP(Summary_Laporan_Penjualan_20248[[#This Row],[ID_Pelanggan]], Data_Pelanggan[], 2, 0)</f>
        <v>Toko Musik Digital</v>
      </c>
      <c r="H248" s="1" t="str">
        <f>VLOOKUP(Summary_Laporan_Penjualan_20248[[#This Row],[ID_Pelanggan]], Data_Pelanggan[], 4, 0)</f>
        <v>Denpasar</v>
      </c>
      <c r="I248" s="1" t="str">
        <f>VLOOKUP(Summary_Laporan_Penjualan_20248[[#This Row],[ID_Produk]], Data_Produk[], 6, 0)</f>
        <v>Depok</v>
      </c>
      <c r="J248" s="1">
        <f>VLOOKUP(Summary_Laporan_Penjualan_20248[[#This Row],[ID_Produk]], Data_Produk[], 7, 0)</f>
        <v>80000</v>
      </c>
      <c r="K248" s="1">
        <f>VLOOKUP(Summary_Laporan_Penjualan_20248[[#This Row],[ID_Produk]], Data_Produk[], 8, 0)</f>
        <v>92000</v>
      </c>
    </row>
    <row r="249" spans="1:11" x14ac:dyDescent="0.35">
      <c r="A249" s="1" t="s">
        <v>622</v>
      </c>
      <c r="B249" s="1" t="s">
        <v>176</v>
      </c>
      <c r="C249" s="1" t="s">
        <v>57</v>
      </c>
      <c r="D249" s="1" t="s">
        <v>157</v>
      </c>
      <c r="E249">
        <v>5</v>
      </c>
      <c r="F249" s="2">
        <v>45479</v>
      </c>
      <c r="G249" s="1" t="str">
        <f>VLOOKUP(Summary_Laporan_Penjualan_20248[[#This Row],[ID_Pelanggan]], Data_Pelanggan[], 2, 0)</f>
        <v>PT Karya Mandiri</v>
      </c>
      <c r="H249" s="1" t="str">
        <f>VLOOKUP(Summary_Laporan_Penjualan_20248[[#This Row],[ID_Pelanggan]], Data_Pelanggan[], 4, 0)</f>
        <v>Makassar</v>
      </c>
      <c r="I249" s="1" t="str">
        <f>VLOOKUP(Summary_Laporan_Penjualan_20248[[#This Row],[ID_Produk]], Data_Produk[], 6, 0)</f>
        <v>Depok</v>
      </c>
      <c r="J249" s="1">
        <f>VLOOKUP(Summary_Laporan_Penjualan_20248[[#This Row],[ID_Produk]], Data_Produk[], 7, 0)</f>
        <v>1500000</v>
      </c>
      <c r="K249" s="1">
        <f>VLOOKUP(Summary_Laporan_Penjualan_20248[[#This Row],[ID_Produk]], Data_Produk[], 8, 0)</f>
        <v>1772000</v>
      </c>
    </row>
    <row r="250" spans="1:11" x14ac:dyDescent="0.35">
      <c r="A250" s="1" t="s">
        <v>624</v>
      </c>
      <c r="B250" s="1" t="s">
        <v>113</v>
      </c>
      <c r="C250" s="1" t="s">
        <v>51</v>
      </c>
      <c r="D250" s="1" t="s">
        <v>157</v>
      </c>
      <c r="E250">
        <v>5</v>
      </c>
      <c r="F250" s="2">
        <v>45628</v>
      </c>
      <c r="G250" s="1" t="str">
        <f>VLOOKUP(Summary_Laporan_Penjualan_20248[[#This Row],[ID_Pelanggan]], Data_Pelanggan[], 2, 0)</f>
        <v>Toko Musik Digital</v>
      </c>
      <c r="H250" s="1" t="str">
        <f>VLOOKUP(Summary_Laporan_Penjualan_20248[[#This Row],[ID_Pelanggan]], Data_Pelanggan[], 4, 0)</f>
        <v>Denpasar</v>
      </c>
      <c r="I250" s="1" t="str">
        <f>VLOOKUP(Summary_Laporan_Penjualan_20248[[#This Row],[ID_Produk]], Data_Produk[], 6, 0)</f>
        <v>Depok</v>
      </c>
      <c r="J250" s="1">
        <f>VLOOKUP(Summary_Laporan_Penjualan_20248[[#This Row],[ID_Produk]], Data_Produk[], 7, 0)</f>
        <v>4500000</v>
      </c>
      <c r="K250" s="1">
        <f>VLOOKUP(Summary_Laporan_Penjualan_20248[[#This Row],[ID_Produk]], Data_Produk[], 8, 0)</f>
        <v>5522000</v>
      </c>
    </row>
    <row r="251" spans="1:11" x14ac:dyDescent="0.35">
      <c r="A251" s="1" t="s">
        <v>626</v>
      </c>
      <c r="B251" s="1" t="s">
        <v>176</v>
      </c>
      <c r="C251" s="1" t="s">
        <v>39</v>
      </c>
      <c r="D251" s="1" t="s">
        <v>171</v>
      </c>
      <c r="E251">
        <v>14</v>
      </c>
      <c r="F251" s="2">
        <v>45413</v>
      </c>
      <c r="G251" s="1" t="str">
        <f>VLOOKUP(Summary_Laporan_Penjualan_20248[[#This Row],[ID_Pelanggan]], Data_Pelanggan[], 2, 0)</f>
        <v>Toko Elektronik Jaya</v>
      </c>
      <c r="H251" s="1" t="str">
        <f>VLOOKUP(Summary_Laporan_Penjualan_20248[[#This Row],[ID_Pelanggan]], Data_Pelanggan[], 4, 0)</f>
        <v>Semarang</v>
      </c>
      <c r="I251" s="1" t="str">
        <f>VLOOKUP(Summary_Laporan_Penjualan_20248[[#This Row],[ID_Produk]], Data_Produk[], 6, 0)</f>
        <v>Depok</v>
      </c>
      <c r="J251" s="1">
        <f>VLOOKUP(Summary_Laporan_Penjualan_20248[[#This Row],[ID_Produk]], Data_Produk[], 7, 0)</f>
        <v>1500000</v>
      </c>
      <c r="K251" s="1">
        <f>VLOOKUP(Summary_Laporan_Penjualan_20248[[#This Row],[ID_Produk]], Data_Produk[], 8, 0)</f>
        <v>1772000</v>
      </c>
    </row>
    <row r="252" spans="1:11" x14ac:dyDescent="0.35">
      <c r="A252" s="1" t="s">
        <v>628</v>
      </c>
      <c r="B252" s="1" t="s">
        <v>106</v>
      </c>
      <c r="C252" s="1" t="s">
        <v>63</v>
      </c>
      <c r="D252" s="1" t="s">
        <v>157</v>
      </c>
      <c r="E252">
        <v>10</v>
      </c>
      <c r="F252" s="2">
        <v>45528</v>
      </c>
      <c r="G252" s="1" t="str">
        <f>VLOOKUP(Summary_Laporan_Penjualan_20248[[#This Row],[ID_Pelanggan]], Data_Pelanggan[], 2, 0)</f>
        <v>UD Makmur</v>
      </c>
      <c r="H252" s="1" t="str">
        <f>VLOOKUP(Summary_Laporan_Penjualan_20248[[#This Row],[ID_Pelanggan]], Data_Pelanggan[], 4, 0)</f>
        <v>Palembang</v>
      </c>
      <c r="I252" s="1" t="str">
        <f>VLOOKUP(Summary_Laporan_Penjualan_20248[[#This Row],[ID_Produk]], Data_Produk[], 6, 0)</f>
        <v>Depok</v>
      </c>
      <c r="J252" s="1">
        <f>VLOOKUP(Summary_Laporan_Penjualan_20248[[#This Row],[ID_Produk]], Data_Produk[], 7, 0)</f>
        <v>300000</v>
      </c>
      <c r="K252" s="1">
        <f>VLOOKUP(Summary_Laporan_Penjualan_20248[[#This Row],[ID_Produk]], Data_Produk[], 8, 0)</f>
        <v>355000</v>
      </c>
    </row>
    <row r="253" spans="1:11" x14ac:dyDescent="0.35">
      <c r="A253" s="1" t="s">
        <v>630</v>
      </c>
      <c r="B253" s="1" t="s">
        <v>176</v>
      </c>
      <c r="C253" s="1" t="s">
        <v>15</v>
      </c>
      <c r="D253" s="1" t="s">
        <v>128</v>
      </c>
      <c r="E253">
        <v>10</v>
      </c>
      <c r="F253" s="2">
        <v>45626</v>
      </c>
      <c r="G253" s="1" t="str">
        <f>VLOOKUP(Summary_Laporan_Penjualan_20248[[#This Row],[ID_Pelanggan]], Data_Pelanggan[], 2, 0)</f>
        <v>CV Berkah</v>
      </c>
      <c r="H253" s="1" t="str">
        <f>VLOOKUP(Summary_Laporan_Penjualan_20248[[#This Row],[ID_Pelanggan]], Data_Pelanggan[], 4, 0)</f>
        <v>Bandung</v>
      </c>
      <c r="I253" s="1" t="str">
        <f>VLOOKUP(Summary_Laporan_Penjualan_20248[[#This Row],[ID_Produk]], Data_Produk[], 6, 0)</f>
        <v>Depok</v>
      </c>
      <c r="J253" s="1">
        <f>VLOOKUP(Summary_Laporan_Penjualan_20248[[#This Row],[ID_Produk]], Data_Produk[], 7, 0)</f>
        <v>1500000</v>
      </c>
      <c r="K253" s="1">
        <f>VLOOKUP(Summary_Laporan_Penjualan_20248[[#This Row],[ID_Produk]], Data_Produk[], 8, 0)</f>
        <v>1772000</v>
      </c>
    </row>
    <row r="254" spans="1:11" x14ac:dyDescent="0.35">
      <c r="A254" s="1" t="s">
        <v>632</v>
      </c>
      <c r="B254" s="1" t="s">
        <v>133</v>
      </c>
      <c r="C254" s="1" t="s">
        <v>45</v>
      </c>
      <c r="D254" s="1" t="s">
        <v>143</v>
      </c>
      <c r="E254">
        <v>14</v>
      </c>
      <c r="F254" s="2">
        <v>45548</v>
      </c>
      <c r="G254" s="1" t="str">
        <f>VLOOKUP(Summary_Laporan_Penjualan_20248[[#This Row],[ID_Pelanggan]], Data_Pelanggan[], 2, 0)</f>
        <v>CV Techno</v>
      </c>
      <c r="H254" s="1" t="str">
        <f>VLOOKUP(Summary_Laporan_Penjualan_20248[[#This Row],[ID_Pelanggan]], Data_Pelanggan[], 4, 0)</f>
        <v>Yogyakarta</v>
      </c>
      <c r="I254" s="1" t="str">
        <f>VLOOKUP(Summary_Laporan_Penjualan_20248[[#This Row],[ID_Produk]], Data_Produk[], 6, 0)</f>
        <v>Jakarta</v>
      </c>
      <c r="J254" s="1">
        <f>VLOOKUP(Summary_Laporan_Penjualan_20248[[#This Row],[ID_Produk]], Data_Produk[], 7, 0)</f>
        <v>2500000</v>
      </c>
      <c r="K254" s="1">
        <f>VLOOKUP(Summary_Laporan_Penjualan_20248[[#This Row],[ID_Produk]], Data_Produk[], 8, 0)</f>
        <v>3080000</v>
      </c>
    </row>
    <row r="255" spans="1:11" x14ac:dyDescent="0.35">
      <c r="A255" s="1" t="s">
        <v>634</v>
      </c>
      <c r="B255" s="1" t="s">
        <v>137</v>
      </c>
      <c r="C255" s="1" t="s">
        <v>21</v>
      </c>
      <c r="D255" s="1" t="s">
        <v>128</v>
      </c>
      <c r="E255">
        <v>8</v>
      </c>
      <c r="F255" s="2">
        <v>45543</v>
      </c>
      <c r="G255" s="1" t="str">
        <f>VLOOKUP(Summary_Laporan_Penjualan_20248[[#This Row],[ID_Pelanggan]], Data_Pelanggan[], 2, 0)</f>
        <v>Toko Komputer Sejahtera</v>
      </c>
      <c r="H255" s="1" t="str">
        <f>VLOOKUP(Summary_Laporan_Penjualan_20248[[#This Row],[ID_Pelanggan]], Data_Pelanggan[], 4, 0)</f>
        <v>Surabaya</v>
      </c>
      <c r="I255" s="1" t="str">
        <f>VLOOKUP(Summary_Laporan_Penjualan_20248[[#This Row],[ID_Produk]], Data_Produk[], 6, 0)</f>
        <v>Jakarta</v>
      </c>
      <c r="J255" s="1">
        <f>VLOOKUP(Summary_Laporan_Penjualan_20248[[#This Row],[ID_Produk]], Data_Produk[], 7, 0)</f>
        <v>2000000</v>
      </c>
      <c r="K255" s="1">
        <f>VLOOKUP(Summary_Laporan_Penjualan_20248[[#This Row],[ID_Produk]], Data_Produk[], 8, 0)</f>
        <v>2533000</v>
      </c>
    </row>
    <row r="256" spans="1:11" x14ac:dyDescent="0.35">
      <c r="A256" s="1" t="s">
        <v>636</v>
      </c>
      <c r="B256" s="1" t="s">
        <v>240</v>
      </c>
      <c r="C256" s="1" t="s">
        <v>78</v>
      </c>
      <c r="D256" s="1" t="s">
        <v>124</v>
      </c>
      <c r="E256">
        <v>11</v>
      </c>
      <c r="F256" s="2">
        <v>45501</v>
      </c>
      <c r="G256" s="1" t="str">
        <f>VLOOKUP(Summary_Laporan_Penjualan_20248[[#This Row],[ID_Pelanggan]], Data_Pelanggan[], 2, 0)</f>
        <v>CV Sinar Terang</v>
      </c>
      <c r="H256" s="1" t="str">
        <f>VLOOKUP(Summary_Laporan_Penjualan_20248[[#This Row],[ID_Pelanggan]], Data_Pelanggan[], 4, 0)</f>
        <v>Bandung</v>
      </c>
      <c r="I256" s="1" t="str">
        <f>VLOOKUP(Summary_Laporan_Penjualan_20248[[#This Row],[ID_Produk]], Data_Produk[], 6, 0)</f>
        <v>Semarang</v>
      </c>
      <c r="J256" s="1">
        <f>VLOOKUP(Summary_Laporan_Penjualan_20248[[#This Row],[ID_Produk]], Data_Produk[], 7, 0)</f>
        <v>350000</v>
      </c>
      <c r="K256" s="1">
        <f>VLOOKUP(Summary_Laporan_Penjualan_20248[[#This Row],[ID_Produk]], Data_Produk[], 8, 0)</f>
        <v>626000</v>
      </c>
    </row>
    <row r="257" spans="1:11" x14ac:dyDescent="0.35">
      <c r="A257" s="1" t="s">
        <v>637</v>
      </c>
      <c r="B257" s="1" t="s">
        <v>141</v>
      </c>
      <c r="C257" s="1" t="s">
        <v>57</v>
      </c>
      <c r="D257" s="1" t="s">
        <v>143</v>
      </c>
      <c r="E257">
        <v>10</v>
      </c>
      <c r="F257" s="2">
        <v>45517</v>
      </c>
      <c r="G257" s="1" t="str">
        <f>VLOOKUP(Summary_Laporan_Penjualan_20248[[#This Row],[ID_Pelanggan]], Data_Pelanggan[], 2, 0)</f>
        <v>PT Karya Mandiri</v>
      </c>
      <c r="H257" s="1" t="str">
        <f>VLOOKUP(Summary_Laporan_Penjualan_20248[[#This Row],[ID_Pelanggan]], Data_Pelanggan[], 4, 0)</f>
        <v>Makassar</v>
      </c>
      <c r="I257" s="1" t="str">
        <f>VLOOKUP(Summary_Laporan_Penjualan_20248[[#This Row],[ID_Produk]], Data_Produk[], 6, 0)</f>
        <v>Semarang</v>
      </c>
      <c r="J257" s="1">
        <f>VLOOKUP(Summary_Laporan_Penjualan_20248[[#This Row],[ID_Produk]], Data_Produk[], 7, 0)</f>
        <v>400000</v>
      </c>
      <c r="K257" s="1">
        <f>VLOOKUP(Summary_Laporan_Penjualan_20248[[#This Row],[ID_Produk]], Data_Produk[], 8, 0)</f>
        <v>623000</v>
      </c>
    </row>
    <row r="258" spans="1:11" x14ac:dyDescent="0.35">
      <c r="A258" s="1" t="s">
        <v>637</v>
      </c>
      <c r="B258" s="1" t="s">
        <v>109</v>
      </c>
      <c r="C258" s="1" t="s">
        <v>57</v>
      </c>
      <c r="D258" s="1" t="s">
        <v>143</v>
      </c>
      <c r="E258">
        <v>10</v>
      </c>
      <c r="F258" s="2">
        <v>45517</v>
      </c>
      <c r="G258" s="1" t="str">
        <f>VLOOKUP(Summary_Laporan_Penjualan_20248[[#This Row],[ID_Pelanggan]], Data_Pelanggan[], 2, 0)</f>
        <v>PT Karya Mandiri</v>
      </c>
      <c r="H258" s="1" t="str">
        <f>VLOOKUP(Summary_Laporan_Penjualan_20248[[#This Row],[ID_Pelanggan]], Data_Pelanggan[], 4, 0)</f>
        <v>Makassar</v>
      </c>
      <c r="I258" s="1" t="str">
        <f>VLOOKUP(Summary_Laporan_Penjualan_20248[[#This Row],[ID_Produk]], Data_Produk[], 6, 0)</f>
        <v>Semarang</v>
      </c>
      <c r="J258" s="1">
        <f>VLOOKUP(Summary_Laporan_Penjualan_20248[[#This Row],[ID_Produk]], Data_Produk[], 7, 0)</f>
        <v>2000000</v>
      </c>
      <c r="K258" s="1">
        <f>VLOOKUP(Summary_Laporan_Penjualan_20248[[#This Row],[ID_Produk]], Data_Produk[], 8, 0)</f>
        <v>3382000</v>
      </c>
    </row>
    <row r="259" spans="1:11" x14ac:dyDescent="0.35">
      <c r="A259" s="1" t="s">
        <v>637</v>
      </c>
      <c r="B259" s="1" t="s">
        <v>639</v>
      </c>
      <c r="C259" s="1" t="s">
        <v>57</v>
      </c>
      <c r="D259" s="1" t="s">
        <v>143</v>
      </c>
      <c r="E259">
        <v>10</v>
      </c>
      <c r="F259" s="2">
        <v>45517</v>
      </c>
      <c r="G259" s="1" t="str">
        <f>VLOOKUP(Summary_Laporan_Penjualan_20248[[#This Row],[ID_Pelanggan]], Data_Pelanggan[], 2, 0)</f>
        <v>PT Karya Mandiri</v>
      </c>
      <c r="H259" s="1" t="str">
        <f>VLOOKUP(Summary_Laporan_Penjualan_20248[[#This Row],[ID_Pelanggan]], Data_Pelanggan[], 4, 0)</f>
        <v>Makassar</v>
      </c>
      <c r="I259" s="1" t="str">
        <f>VLOOKUP(Summary_Laporan_Penjualan_20248[[#This Row],[ID_Produk]], Data_Produk[], 6, 0)</f>
        <v>Jakarta</v>
      </c>
      <c r="J259" s="1">
        <f>VLOOKUP(Summary_Laporan_Penjualan_20248[[#This Row],[ID_Produk]], Data_Produk[], 7, 0)</f>
        <v>7000000</v>
      </c>
      <c r="K259" s="1">
        <f>VLOOKUP(Summary_Laporan_Penjualan_20248[[#This Row],[ID_Produk]], Data_Produk[], 8, 0)</f>
        <v>10409000</v>
      </c>
    </row>
    <row r="260" spans="1:11" x14ac:dyDescent="0.35">
      <c r="A260" s="1" t="s">
        <v>640</v>
      </c>
      <c r="B260" s="1" t="s">
        <v>116</v>
      </c>
      <c r="C260" s="1" t="s">
        <v>73</v>
      </c>
      <c r="D260" s="1" t="s">
        <v>124</v>
      </c>
      <c r="E260">
        <v>9</v>
      </c>
      <c r="F260" s="2">
        <v>45480</v>
      </c>
      <c r="G260" s="1" t="str">
        <f>VLOOKUP(Summary_Laporan_Penjualan_20248[[#This Row],[ID_Pelanggan]], Data_Pelanggan[], 2, 0)</f>
        <v>Toko Gadget Center</v>
      </c>
      <c r="H260" s="1" t="str">
        <f>VLOOKUP(Summary_Laporan_Penjualan_20248[[#This Row],[ID_Pelanggan]], Data_Pelanggan[], 4, 0)</f>
        <v>Malang</v>
      </c>
      <c r="I260" s="1" t="str">
        <f>VLOOKUP(Summary_Laporan_Penjualan_20248[[#This Row],[ID_Produk]], Data_Produk[], 6, 0)</f>
        <v>Depok</v>
      </c>
      <c r="J260" s="1">
        <f>VLOOKUP(Summary_Laporan_Penjualan_20248[[#This Row],[ID_Produk]], Data_Produk[], 7, 0)</f>
        <v>5000000</v>
      </c>
      <c r="K260" s="1">
        <f>VLOOKUP(Summary_Laporan_Penjualan_20248[[#This Row],[ID_Produk]], Data_Produk[], 8, 0)</f>
        <v>7546000</v>
      </c>
    </row>
    <row r="261" spans="1:11" x14ac:dyDescent="0.35">
      <c r="A261" s="1" t="s">
        <v>642</v>
      </c>
      <c r="B261" s="1" t="s">
        <v>164</v>
      </c>
      <c r="C261" s="1" t="s">
        <v>78</v>
      </c>
      <c r="D261" s="1" t="s">
        <v>171</v>
      </c>
      <c r="E261">
        <v>11</v>
      </c>
      <c r="F261" s="2">
        <v>45548</v>
      </c>
      <c r="G261" s="1" t="str">
        <f>VLOOKUP(Summary_Laporan_Penjualan_20248[[#This Row],[ID_Pelanggan]], Data_Pelanggan[], 2, 0)</f>
        <v>CV Sinar Terang</v>
      </c>
      <c r="H261" s="1" t="str">
        <f>VLOOKUP(Summary_Laporan_Penjualan_20248[[#This Row],[ID_Pelanggan]], Data_Pelanggan[], 4, 0)</f>
        <v>Bandung</v>
      </c>
      <c r="I261" s="1" t="str">
        <f>VLOOKUP(Summary_Laporan_Penjualan_20248[[#This Row],[ID_Produk]], Data_Produk[], 6, 0)</f>
        <v>Jakarta</v>
      </c>
      <c r="J261" s="1">
        <f>VLOOKUP(Summary_Laporan_Penjualan_20248[[#This Row],[ID_Produk]], Data_Produk[], 7, 0)</f>
        <v>750000</v>
      </c>
      <c r="K261" s="1">
        <f>VLOOKUP(Summary_Laporan_Penjualan_20248[[#This Row],[ID_Produk]], Data_Produk[], 8, 0)</f>
        <v>971000</v>
      </c>
    </row>
    <row r="262" spans="1:11" x14ac:dyDescent="0.35">
      <c r="A262" s="1" t="s">
        <v>643</v>
      </c>
      <c r="B262" s="1" t="s">
        <v>113</v>
      </c>
      <c r="C262" s="1" t="s">
        <v>35</v>
      </c>
      <c r="D262" s="1" t="s">
        <v>143</v>
      </c>
      <c r="E262">
        <v>15</v>
      </c>
      <c r="F262" s="2">
        <v>45447</v>
      </c>
      <c r="G262" s="1" t="str">
        <f>VLOOKUP(Summary_Laporan_Penjualan_20248[[#This Row],[ID_Pelanggan]], Data_Pelanggan[], 2, 0)</f>
        <v>PT Digital Nusantara</v>
      </c>
      <c r="H262" s="1" t="str">
        <f>VLOOKUP(Summary_Laporan_Penjualan_20248[[#This Row],[ID_Pelanggan]], Data_Pelanggan[], 4, 0)</f>
        <v>Jakarta</v>
      </c>
      <c r="I262" s="1" t="str">
        <f>VLOOKUP(Summary_Laporan_Penjualan_20248[[#This Row],[ID_Produk]], Data_Produk[], 6, 0)</f>
        <v>Depok</v>
      </c>
      <c r="J262" s="1">
        <f>VLOOKUP(Summary_Laporan_Penjualan_20248[[#This Row],[ID_Produk]], Data_Produk[], 7, 0)</f>
        <v>4500000</v>
      </c>
      <c r="K262" s="1">
        <f>VLOOKUP(Summary_Laporan_Penjualan_20248[[#This Row],[ID_Produk]], Data_Produk[], 8, 0)</f>
        <v>5522000</v>
      </c>
    </row>
    <row r="263" spans="1:11" x14ac:dyDescent="0.35">
      <c r="A263" s="1" t="s">
        <v>645</v>
      </c>
      <c r="B263" s="1" t="s">
        <v>168</v>
      </c>
      <c r="C263" s="1" t="s">
        <v>21</v>
      </c>
      <c r="D263" s="1" t="s">
        <v>124</v>
      </c>
      <c r="E263">
        <v>15</v>
      </c>
      <c r="F263" s="2">
        <v>45374</v>
      </c>
      <c r="G263" s="1" t="str">
        <f>VLOOKUP(Summary_Laporan_Penjualan_20248[[#This Row],[ID_Pelanggan]], Data_Pelanggan[], 2, 0)</f>
        <v>Toko Komputer Sejahtera</v>
      </c>
      <c r="H263" s="1" t="str">
        <f>VLOOKUP(Summary_Laporan_Penjualan_20248[[#This Row],[ID_Pelanggan]], Data_Pelanggan[], 4, 0)</f>
        <v>Surabaya</v>
      </c>
      <c r="I263" s="1" t="str">
        <f>VLOOKUP(Summary_Laporan_Penjualan_20248[[#This Row],[ID_Produk]], Data_Produk[], 6, 0)</f>
        <v>Semarang</v>
      </c>
      <c r="J263" s="1">
        <f>VLOOKUP(Summary_Laporan_Penjualan_20248[[#This Row],[ID_Produk]], Data_Produk[], 7, 0)</f>
        <v>500000</v>
      </c>
      <c r="K263" s="1">
        <f>VLOOKUP(Summary_Laporan_Penjualan_20248[[#This Row],[ID_Produk]], Data_Produk[], 8, 0)</f>
        <v>844000</v>
      </c>
    </row>
    <row r="264" spans="1:11" x14ac:dyDescent="0.35">
      <c r="A264" s="1" t="s">
        <v>647</v>
      </c>
      <c r="B264" s="1" t="s">
        <v>164</v>
      </c>
      <c r="C264" s="1" t="s">
        <v>82</v>
      </c>
      <c r="D264" s="1" t="s">
        <v>171</v>
      </c>
      <c r="E264">
        <v>13</v>
      </c>
      <c r="F264" s="2">
        <v>45447</v>
      </c>
      <c r="G264" s="1" t="str">
        <f>VLOOKUP(Summary_Laporan_Penjualan_20248[[#This Row],[ID_Pelanggan]], Data_Pelanggan[], 2, 0)</f>
        <v>Toko Komputer Maju</v>
      </c>
      <c r="H264" s="1" t="str">
        <f>VLOOKUP(Summary_Laporan_Penjualan_20248[[#This Row],[ID_Pelanggan]], Data_Pelanggan[], 4, 0)</f>
        <v>Solo</v>
      </c>
      <c r="I264" s="1" t="str">
        <f>VLOOKUP(Summary_Laporan_Penjualan_20248[[#This Row],[ID_Produk]], Data_Produk[], 6, 0)</f>
        <v>Jakarta</v>
      </c>
      <c r="J264" s="1">
        <f>VLOOKUP(Summary_Laporan_Penjualan_20248[[#This Row],[ID_Produk]], Data_Produk[], 7, 0)</f>
        <v>750000</v>
      </c>
      <c r="K264" s="1">
        <f>VLOOKUP(Summary_Laporan_Penjualan_20248[[#This Row],[ID_Produk]], Data_Produk[], 8, 0)</f>
        <v>971000</v>
      </c>
    </row>
    <row r="265" spans="1:11" x14ac:dyDescent="0.35">
      <c r="A265" s="1" t="s">
        <v>648</v>
      </c>
      <c r="B265" s="1" t="s">
        <v>106</v>
      </c>
      <c r="C265" s="1" t="s">
        <v>8</v>
      </c>
      <c r="D265" s="1" t="s">
        <v>157</v>
      </c>
      <c r="E265">
        <v>6</v>
      </c>
      <c r="F265" s="2">
        <v>45292</v>
      </c>
      <c r="G265" s="1" t="str">
        <f>VLOOKUP(Summary_Laporan_Penjualan_20248[[#This Row],[ID_Pelanggan]], Data_Pelanggan[], 2, 0)</f>
        <v>PT Maju Jaya</v>
      </c>
      <c r="H265" s="1" t="str">
        <f>VLOOKUP(Summary_Laporan_Penjualan_20248[[#This Row],[ID_Pelanggan]], Data_Pelanggan[], 4, 0)</f>
        <v>Jakarta</v>
      </c>
      <c r="I265" s="1" t="str">
        <f>VLOOKUP(Summary_Laporan_Penjualan_20248[[#This Row],[ID_Produk]], Data_Produk[], 6, 0)</f>
        <v>Depok</v>
      </c>
      <c r="J265" s="1">
        <f>VLOOKUP(Summary_Laporan_Penjualan_20248[[#This Row],[ID_Produk]], Data_Produk[], 7, 0)</f>
        <v>300000</v>
      </c>
      <c r="K265" s="1">
        <f>VLOOKUP(Summary_Laporan_Penjualan_20248[[#This Row],[ID_Produk]], Data_Produk[], 8, 0)</f>
        <v>355000</v>
      </c>
    </row>
    <row r="266" spans="1:11" x14ac:dyDescent="0.35">
      <c r="A266" s="1" t="s">
        <v>650</v>
      </c>
      <c r="B266" s="1" t="s">
        <v>133</v>
      </c>
      <c r="C266" s="1" t="s">
        <v>63</v>
      </c>
      <c r="D266" s="1" t="s">
        <v>171</v>
      </c>
      <c r="E266">
        <v>9</v>
      </c>
      <c r="F266" s="2">
        <v>45516</v>
      </c>
      <c r="G266" s="1" t="str">
        <f>VLOOKUP(Summary_Laporan_Penjualan_20248[[#This Row],[ID_Pelanggan]], Data_Pelanggan[], 2, 0)</f>
        <v>UD Makmur</v>
      </c>
      <c r="H266" s="1" t="str">
        <f>VLOOKUP(Summary_Laporan_Penjualan_20248[[#This Row],[ID_Pelanggan]], Data_Pelanggan[], 4, 0)</f>
        <v>Palembang</v>
      </c>
      <c r="I266" s="1" t="str">
        <f>VLOOKUP(Summary_Laporan_Penjualan_20248[[#This Row],[ID_Produk]], Data_Produk[], 6, 0)</f>
        <v>Jakarta</v>
      </c>
      <c r="J266" s="1">
        <f>VLOOKUP(Summary_Laporan_Penjualan_20248[[#This Row],[ID_Produk]], Data_Produk[], 7, 0)</f>
        <v>2500000</v>
      </c>
      <c r="K266" s="1">
        <f>VLOOKUP(Summary_Laporan_Penjualan_20248[[#This Row],[ID_Produk]], Data_Produk[], 8, 0)</f>
        <v>3080000</v>
      </c>
    </row>
    <row r="267" spans="1:11" x14ac:dyDescent="0.35">
      <c r="A267" s="1" t="s">
        <v>652</v>
      </c>
      <c r="B267" s="1" t="s">
        <v>141</v>
      </c>
      <c r="C267" s="1" t="s">
        <v>51</v>
      </c>
      <c r="D267" s="1" t="s">
        <v>143</v>
      </c>
      <c r="E267">
        <v>4</v>
      </c>
      <c r="F267" s="2">
        <v>45592</v>
      </c>
      <c r="G267" s="1" t="str">
        <f>VLOOKUP(Summary_Laporan_Penjualan_20248[[#This Row],[ID_Pelanggan]], Data_Pelanggan[], 2, 0)</f>
        <v>Toko Musik Digital</v>
      </c>
      <c r="H267" s="1" t="str">
        <f>VLOOKUP(Summary_Laporan_Penjualan_20248[[#This Row],[ID_Pelanggan]], Data_Pelanggan[], 4, 0)</f>
        <v>Denpasar</v>
      </c>
      <c r="I267" s="1" t="str">
        <f>VLOOKUP(Summary_Laporan_Penjualan_20248[[#This Row],[ID_Produk]], Data_Produk[], 6, 0)</f>
        <v>Semarang</v>
      </c>
      <c r="J267" s="1">
        <f>VLOOKUP(Summary_Laporan_Penjualan_20248[[#This Row],[ID_Produk]], Data_Produk[], 7, 0)</f>
        <v>400000</v>
      </c>
      <c r="K267" s="1">
        <f>VLOOKUP(Summary_Laporan_Penjualan_20248[[#This Row],[ID_Produk]], Data_Produk[], 8, 0)</f>
        <v>623000</v>
      </c>
    </row>
    <row r="268" spans="1:11" x14ac:dyDescent="0.35">
      <c r="A268" s="1" t="s">
        <v>654</v>
      </c>
      <c r="B268" s="1" t="s">
        <v>173</v>
      </c>
      <c r="C268" s="1" t="s">
        <v>87</v>
      </c>
      <c r="D268" s="1" t="s">
        <v>143</v>
      </c>
      <c r="E268">
        <v>14</v>
      </c>
      <c r="F268" s="2">
        <v>45425</v>
      </c>
      <c r="G268" s="1" t="str">
        <f>VLOOKUP(Summary_Laporan_Penjualan_20248[[#This Row],[ID_Pelanggan]], Data_Pelanggan[], 2, 0)</f>
        <v>PT Indo Digital</v>
      </c>
      <c r="H268" s="1" t="str">
        <f>VLOOKUP(Summary_Laporan_Penjualan_20248[[#This Row],[ID_Pelanggan]], Data_Pelanggan[], 4, 0)</f>
        <v>Tangerang</v>
      </c>
      <c r="I268" s="1" t="str">
        <f>VLOOKUP(Summary_Laporan_Penjualan_20248[[#This Row],[ID_Produk]], Data_Produk[], 6, 0)</f>
        <v>Depok</v>
      </c>
      <c r="J268" s="1">
        <f>VLOOKUP(Summary_Laporan_Penjualan_20248[[#This Row],[ID_Produk]], Data_Produk[], 7, 0)</f>
        <v>80000</v>
      </c>
      <c r="K268" s="1">
        <f>VLOOKUP(Summary_Laporan_Penjualan_20248[[#This Row],[ID_Produk]], Data_Produk[], 8, 0)</f>
        <v>92000</v>
      </c>
    </row>
    <row r="269" spans="1:11" x14ac:dyDescent="0.35">
      <c r="A269" s="1" t="s">
        <v>656</v>
      </c>
      <c r="B269" s="1" t="s">
        <v>172</v>
      </c>
      <c r="C269" s="1" t="s">
        <v>63</v>
      </c>
      <c r="D269" s="1" t="s">
        <v>143</v>
      </c>
      <c r="E269">
        <v>2</v>
      </c>
      <c r="F269" s="2">
        <v>45347</v>
      </c>
      <c r="G269" s="1" t="str">
        <f>VLOOKUP(Summary_Laporan_Penjualan_20248[[#This Row],[ID_Pelanggan]], Data_Pelanggan[], 2, 0)</f>
        <v>UD Makmur</v>
      </c>
      <c r="H269" s="1" t="str">
        <f>VLOOKUP(Summary_Laporan_Penjualan_20248[[#This Row],[ID_Pelanggan]], Data_Pelanggan[], 4, 0)</f>
        <v>Palembang</v>
      </c>
      <c r="I269" s="1" t="str">
        <f>VLOOKUP(Summary_Laporan_Penjualan_20248[[#This Row],[ID_Produk]], Data_Produk[], 6, 0)</f>
        <v>Semarang</v>
      </c>
      <c r="J269" s="1">
        <f>VLOOKUP(Summary_Laporan_Penjualan_20248[[#This Row],[ID_Produk]], Data_Produk[], 7, 0)</f>
        <v>950000</v>
      </c>
      <c r="K269" s="1">
        <f>VLOOKUP(Summary_Laporan_Penjualan_20248[[#This Row],[ID_Produk]], Data_Produk[], 8, 0)</f>
        <v>1649000</v>
      </c>
    </row>
    <row r="270" spans="1:11" x14ac:dyDescent="0.35">
      <c r="A270" s="1" t="s">
        <v>658</v>
      </c>
      <c r="B270" s="1" t="s">
        <v>248</v>
      </c>
      <c r="C270" s="1" t="s">
        <v>87</v>
      </c>
      <c r="D270" s="1" t="s">
        <v>128</v>
      </c>
      <c r="E270">
        <v>11</v>
      </c>
      <c r="F270" s="2">
        <v>45581</v>
      </c>
      <c r="G270" s="1" t="str">
        <f>VLOOKUP(Summary_Laporan_Penjualan_20248[[#This Row],[ID_Pelanggan]], Data_Pelanggan[], 2, 0)</f>
        <v>PT Indo Digital</v>
      </c>
      <c r="H270" s="1" t="str">
        <f>VLOOKUP(Summary_Laporan_Penjualan_20248[[#This Row],[ID_Pelanggan]], Data_Pelanggan[], 4, 0)</f>
        <v>Tangerang</v>
      </c>
      <c r="I270" s="1" t="str">
        <f>VLOOKUP(Summary_Laporan_Penjualan_20248[[#This Row],[ID_Produk]], Data_Produk[], 6, 0)</f>
        <v>Semarang</v>
      </c>
      <c r="J270" s="1">
        <f>VLOOKUP(Summary_Laporan_Penjualan_20248[[#This Row],[ID_Produk]], Data_Produk[], 7, 0)</f>
        <v>250000</v>
      </c>
      <c r="K270" s="1">
        <f>VLOOKUP(Summary_Laporan_Penjualan_20248[[#This Row],[ID_Produk]], Data_Produk[], 8, 0)</f>
        <v>354000</v>
      </c>
    </row>
    <row r="271" spans="1:11" x14ac:dyDescent="0.35">
      <c r="A271" s="1" t="s">
        <v>660</v>
      </c>
      <c r="B271" s="1" t="s">
        <v>172</v>
      </c>
      <c r="C271" s="1" t="s">
        <v>8</v>
      </c>
      <c r="D271" s="1" t="s">
        <v>121</v>
      </c>
      <c r="E271">
        <v>3</v>
      </c>
      <c r="F271" s="2">
        <v>45656</v>
      </c>
      <c r="G271" s="1" t="str">
        <f>VLOOKUP(Summary_Laporan_Penjualan_20248[[#This Row],[ID_Pelanggan]], Data_Pelanggan[], 2, 0)</f>
        <v>PT Maju Jaya</v>
      </c>
      <c r="H271" s="1" t="str">
        <f>VLOOKUP(Summary_Laporan_Penjualan_20248[[#This Row],[ID_Pelanggan]], Data_Pelanggan[], 4, 0)</f>
        <v>Jakarta</v>
      </c>
      <c r="I271" s="1" t="str">
        <f>VLOOKUP(Summary_Laporan_Penjualan_20248[[#This Row],[ID_Produk]], Data_Produk[], 6, 0)</f>
        <v>Semarang</v>
      </c>
      <c r="J271" s="1">
        <f>VLOOKUP(Summary_Laporan_Penjualan_20248[[#This Row],[ID_Produk]], Data_Produk[], 7, 0)</f>
        <v>950000</v>
      </c>
      <c r="K271" s="1">
        <f>VLOOKUP(Summary_Laporan_Penjualan_20248[[#This Row],[ID_Produk]], Data_Produk[], 8, 0)</f>
        <v>1649000</v>
      </c>
    </row>
    <row r="272" spans="1:11" x14ac:dyDescent="0.35">
      <c r="A272" s="1" t="s">
        <v>662</v>
      </c>
      <c r="B272" s="1" t="s">
        <v>197</v>
      </c>
      <c r="C272" s="1" t="s">
        <v>87</v>
      </c>
      <c r="D272" s="1" t="s">
        <v>128</v>
      </c>
      <c r="E272">
        <v>8</v>
      </c>
      <c r="F272" s="2">
        <v>45293</v>
      </c>
      <c r="G272" s="1" t="str">
        <f>VLOOKUP(Summary_Laporan_Penjualan_20248[[#This Row],[ID_Pelanggan]], Data_Pelanggan[], 2, 0)</f>
        <v>PT Indo Digital</v>
      </c>
      <c r="H272" s="1" t="str">
        <f>VLOOKUP(Summary_Laporan_Penjualan_20248[[#This Row],[ID_Pelanggan]], Data_Pelanggan[], 4, 0)</f>
        <v>Tangerang</v>
      </c>
      <c r="I272" s="1" t="str">
        <f>VLOOKUP(Summary_Laporan_Penjualan_20248[[#This Row],[ID_Produk]], Data_Produk[], 6, 0)</f>
        <v>Jakarta</v>
      </c>
      <c r="J272" s="1">
        <f>VLOOKUP(Summary_Laporan_Penjualan_20248[[#This Row],[ID_Produk]], Data_Produk[], 7, 0)</f>
        <v>1200000</v>
      </c>
      <c r="K272" s="1">
        <f>VLOOKUP(Summary_Laporan_Penjualan_20248[[#This Row],[ID_Produk]], Data_Produk[], 8, 0)</f>
        <v>1375000</v>
      </c>
    </row>
    <row r="273" spans="1:11" x14ac:dyDescent="0.35">
      <c r="A273" s="1" t="s">
        <v>664</v>
      </c>
      <c r="B273" s="1" t="s">
        <v>164</v>
      </c>
      <c r="C273" s="1" t="s">
        <v>73</v>
      </c>
      <c r="D273" s="1" t="s">
        <v>143</v>
      </c>
      <c r="E273">
        <v>2</v>
      </c>
      <c r="F273" s="2">
        <v>45349</v>
      </c>
      <c r="G273" s="1" t="str">
        <f>VLOOKUP(Summary_Laporan_Penjualan_20248[[#This Row],[ID_Pelanggan]], Data_Pelanggan[], 2, 0)</f>
        <v>Toko Gadget Center</v>
      </c>
      <c r="H273" s="1" t="str">
        <f>VLOOKUP(Summary_Laporan_Penjualan_20248[[#This Row],[ID_Pelanggan]], Data_Pelanggan[], 4, 0)</f>
        <v>Malang</v>
      </c>
      <c r="I273" s="1" t="str">
        <f>VLOOKUP(Summary_Laporan_Penjualan_20248[[#This Row],[ID_Produk]], Data_Produk[], 6, 0)</f>
        <v>Jakarta</v>
      </c>
      <c r="J273" s="1">
        <f>VLOOKUP(Summary_Laporan_Penjualan_20248[[#This Row],[ID_Produk]], Data_Produk[], 7, 0)</f>
        <v>750000</v>
      </c>
      <c r="K273" s="1">
        <f>VLOOKUP(Summary_Laporan_Penjualan_20248[[#This Row],[ID_Produk]], Data_Produk[], 8, 0)</f>
        <v>971000</v>
      </c>
    </row>
    <row r="274" spans="1:11" x14ac:dyDescent="0.35">
      <c r="A274" s="1" t="s">
        <v>666</v>
      </c>
      <c r="B274" s="1" t="s">
        <v>176</v>
      </c>
      <c r="C274" s="1" t="s">
        <v>29</v>
      </c>
      <c r="D274" s="1" t="s">
        <v>157</v>
      </c>
      <c r="E274">
        <v>2</v>
      </c>
      <c r="F274" s="2">
        <v>45356</v>
      </c>
      <c r="G274" s="1" t="str">
        <f>VLOOKUP(Summary_Laporan_Penjualan_20248[[#This Row],[ID_Pelanggan]], Data_Pelanggan[], 2, 0)</f>
        <v>UD Sentosa</v>
      </c>
      <c r="H274" s="1" t="str">
        <f>VLOOKUP(Summary_Laporan_Penjualan_20248[[#This Row],[ID_Pelanggan]], Data_Pelanggan[], 4, 0)</f>
        <v>Medan</v>
      </c>
      <c r="I274" s="1" t="str">
        <f>VLOOKUP(Summary_Laporan_Penjualan_20248[[#This Row],[ID_Produk]], Data_Produk[], 6, 0)</f>
        <v>Depok</v>
      </c>
      <c r="J274" s="1">
        <f>VLOOKUP(Summary_Laporan_Penjualan_20248[[#This Row],[ID_Produk]], Data_Produk[], 7, 0)</f>
        <v>1500000</v>
      </c>
      <c r="K274" s="1">
        <f>VLOOKUP(Summary_Laporan_Penjualan_20248[[#This Row],[ID_Produk]], Data_Produk[], 8, 0)</f>
        <v>1772000</v>
      </c>
    </row>
    <row r="275" spans="1:11" x14ac:dyDescent="0.35">
      <c r="A275" s="1" t="s">
        <v>668</v>
      </c>
      <c r="B275" s="1" t="s">
        <v>173</v>
      </c>
      <c r="C275" s="1" t="s">
        <v>63</v>
      </c>
      <c r="D275" s="1" t="s">
        <v>124</v>
      </c>
      <c r="E275">
        <v>11</v>
      </c>
      <c r="F275" s="2">
        <v>45550</v>
      </c>
      <c r="G275" s="1" t="str">
        <f>VLOOKUP(Summary_Laporan_Penjualan_20248[[#This Row],[ID_Pelanggan]], Data_Pelanggan[], 2, 0)</f>
        <v>UD Makmur</v>
      </c>
      <c r="H275" s="1" t="str">
        <f>VLOOKUP(Summary_Laporan_Penjualan_20248[[#This Row],[ID_Pelanggan]], Data_Pelanggan[], 4, 0)</f>
        <v>Palembang</v>
      </c>
      <c r="I275" s="1" t="str">
        <f>VLOOKUP(Summary_Laporan_Penjualan_20248[[#This Row],[ID_Produk]], Data_Produk[], 6, 0)</f>
        <v>Depok</v>
      </c>
      <c r="J275" s="1">
        <f>VLOOKUP(Summary_Laporan_Penjualan_20248[[#This Row],[ID_Produk]], Data_Produk[], 7, 0)</f>
        <v>80000</v>
      </c>
      <c r="K275" s="1">
        <f>VLOOKUP(Summary_Laporan_Penjualan_20248[[#This Row],[ID_Produk]], Data_Produk[], 8, 0)</f>
        <v>92000</v>
      </c>
    </row>
    <row r="276" spans="1:11" x14ac:dyDescent="0.35">
      <c r="A276" s="1" t="s">
        <v>670</v>
      </c>
      <c r="B276" s="1" t="s">
        <v>168</v>
      </c>
      <c r="C276" s="1" t="s">
        <v>57</v>
      </c>
      <c r="D276" s="1" t="s">
        <v>121</v>
      </c>
      <c r="E276">
        <v>10</v>
      </c>
      <c r="F276" s="2">
        <v>45311</v>
      </c>
      <c r="G276" s="1" t="str">
        <f>VLOOKUP(Summary_Laporan_Penjualan_20248[[#This Row],[ID_Pelanggan]], Data_Pelanggan[], 2, 0)</f>
        <v>PT Karya Mandiri</v>
      </c>
      <c r="H276" s="1" t="str">
        <f>VLOOKUP(Summary_Laporan_Penjualan_20248[[#This Row],[ID_Pelanggan]], Data_Pelanggan[], 4, 0)</f>
        <v>Makassar</v>
      </c>
      <c r="I276" s="1" t="str">
        <f>VLOOKUP(Summary_Laporan_Penjualan_20248[[#This Row],[ID_Produk]], Data_Produk[], 6, 0)</f>
        <v>Semarang</v>
      </c>
      <c r="J276" s="1">
        <f>VLOOKUP(Summary_Laporan_Penjualan_20248[[#This Row],[ID_Produk]], Data_Produk[], 7, 0)</f>
        <v>500000</v>
      </c>
      <c r="K276" s="1">
        <f>VLOOKUP(Summary_Laporan_Penjualan_20248[[#This Row],[ID_Produk]], Data_Produk[], 8, 0)</f>
        <v>844000</v>
      </c>
    </row>
    <row r="277" spans="1:11" x14ac:dyDescent="0.35">
      <c r="A277" s="1" t="s">
        <v>672</v>
      </c>
      <c r="B277" s="1" t="s">
        <v>176</v>
      </c>
      <c r="C277" s="1" t="s">
        <v>69</v>
      </c>
      <c r="D277" s="1" t="s">
        <v>157</v>
      </c>
      <c r="E277">
        <v>1</v>
      </c>
      <c r="F277" s="2">
        <v>45295</v>
      </c>
      <c r="G277" s="1" t="str">
        <f>VLOOKUP(Summary_Laporan_Penjualan_20248[[#This Row],[ID_Pelanggan]], Data_Pelanggan[], 2, 0)</f>
        <v>PT Teknologi Prima</v>
      </c>
      <c r="H277" s="1" t="str">
        <f>VLOOKUP(Summary_Laporan_Penjualan_20248[[#This Row],[ID_Pelanggan]], Data_Pelanggan[], 4, 0)</f>
        <v>Jakarta</v>
      </c>
      <c r="I277" s="1" t="str">
        <f>VLOOKUP(Summary_Laporan_Penjualan_20248[[#This Row],[ID_Produk]], Data_Produk[], 6, 0)</f>
        <v>Depok</v>
      </c>
      <c r="J277" s="1">
        <f>VLOOKUP(Summary_Laporan_Penjualan_20248[[#This Row],[ID_Produk]], Data_Produk[], 7, 0)</f>
        <v>1500000</v>
      </c>
      <c r="K277" s="1">
        <f>VLOOKUP(Summary_Laporan_Penjualan_20248[[#This Row],[ID_Produk]], Data_Produk[], 8, 0)</f>
        <v>1772000</v>
      </c>
    </row>
    <row r="278" spans="1:11" x14ac:dyDescent="0.35">
      <c r="A278" s="1" t="s">
        <v>674</v>
      </c>
      <c r="B278" s="1" t="s">
        <v>113</v>
      </c>
      <c r="C278" s="1" t="s">
        <v>35</v>
      </c>
      <c r="D278" s="1" t="s">
        <v>157</v>
      </c>
      <c r="E278">
        <v>15</v>
      </c>
      <c r="F278" s="2">
        <v>45373</v>
      </c>
      <c r="G278" s="1" t="str">
        <f>VLOOKUP(Summary_Laporan_Penjualan_20248[[#This Row],[ID_Pelanggan]], Data_Pelanggan[], 2, 0)</f>
        <v>PT Digital Nusantara</v>
      </c>
      <c r="H278" s="1" t="str">
        <f>VLOOKUP(Summary_Laporan_Penjualan_20248[[#This Row],[ID_Pelanggan]], Data_Pelanggan[], 4, 0)</f>
        <v>Jakarta</v>
      </c>
      <c r="I278" s="1" t="str">
        <f>VLOOKUP(Summary_Laporan_Penjualan_20248[[#This Row],[ID_Produk]], Data_Produk[], 6, 0)</f>
        <v>Depok</v>
      </c>
      <c r="J278" s="1">
        <f>VLOOKUP(Summary_Laporan_Penjualan_20248[[#This Row],[ID_Produk]], Data_Produk[], 7, 0)</f>
        <v>4500000</v>
      </c>
      <c r="K278" s="1">
        <f>VLOOKUP(Summary_Laporan_Penjualan_20248[[#This Row],[ID_Produk]], Data_Produk[], 8, 0)</f>
        <v>5522000</v>
      </c>
    </row>
    <row r="279" spans="1:11" x14ac:dyDescent="0.35">
      <c r="A279" s="1" t="s">
        <v>675</v>
      </c>
      <c r="B279" s="1" t="s">
        <v>164</v>
      </c>
      <c r="C279" s="1" t="s">
        <v>73</v>
      </c>
      <c r="D279" s="1" t="s">
        <v>128</v>
      </c>
      <c r="E279">
        <v>9</v>
      </c>
      <c r="F279" s="2">
        <v>45312</v>
      </c>
      <c r="G279" s="1" t="str">
        <f>VLOOKUP(Summary_Laporan_Penjualan_20248[[#This Row],[ID_Pelanggan]], Data_Pelanggan[], 2, 0)</f>
        <v>Toko Gadget Center</v>
      </c>
      <c r="H279" s="1" t="str">
        <f>VLOOKUP(Summary_Laporan_Penjualan_20248[[#This Row],[ID_Pelanggan]], Data_Pelanggan[], 4, 0)</f>
        <v>Malang</v>
      </c>
      <c r="I279" s="1" t="str">
        <f>VLOOKUP(Summary_Laporan_Penjualan_20248[[#This Row],[ID_Produk]], Data_Produk[], 6, 0)</f>
        <v>Jakarta</v>
      </c>
      <c r="J279" s="1">
        <f>VLOOKUP(Summary_Laporan_Penjualan_20248[[#This Row],[ID_Produk]], Data_Produk[], 7, 0)</f>
        <v>750000</v>
      </c>
      <c r="K279" s="1">
        <f>VLOOKUP(Summary_Laporan_Penjualan_20248[[#This Row],[ID_Produk]], Data_Produk[], 8, 0)</f>
        <v>971000</v>
      </c>
    </row>
    <row r="280" spans="1:11" x14ac:dyDescent="0.35">
      <c r="A280" s="1" t="s">
        <v>677</v>
      </c>
      <c r="B280" s="1" t="s">
        <v>188</v>
      </c>
      <c r="C280" s="1" t="s">
        <v>8</v>
      </c>
      <c r="D280" s="1" t="s">
        <v>128</v>
      </c>
      <c r="E280">
        <v>3</v>
      </c>
      <c r="F280" s="2">
        <v>45624</v>
      </c>
      <c r="G280" s="1" t="str">
        <f>VLOOKUP(Summary_Laporan_Penjualan_20248[[#This Row],[ID_Pelanggan]], Data_Pelanggan[], 2, 0)</f>
        <v>PT Maju Jaya</v>
      </c>
      <c r="H280" s="1" t="str">
        <f>VLOOKUP(Summary_Laporan_Penjualan_20248[[#This Row],[ID_Pelanggan]], Data_Pelanggan[], 4, 0)</f>
        <v>Jakarta</v>
      </c>
      <c r="I280" s="1" t="str">
        <f>VLOOKUP(Summary_Laporan_Penjualan_20248[[#This Row],[ID_Produk]], Data_Produk[], 6, 0)</f>
        <v>Semarang</v>
      </c>
      <c r="J280" s="1">
        <f>VLOOKUP(Summary_Laporan_Penjualan_20248[[#This Row],[ID_Produk]], Data_Produk[], 7, 0)</f>
        <v>2800000</v>
      </c>
      <c r="K280" s="1">
        <f>VLOOKUP(Summary_Laporan_Penjualan_20248[[#This Row],[ID_Produk]], Data_Produk[], 8, 0)</f>
        <v>4747000</v>
      </c>
    </row>
    <row r="281" spans="1:11" x14ac:dyDescent="0.35">
      <c r="A281" s="1" t="s">
        <v>679</v>
      </c>
      <c r="B281" s="1" t="s">
        <v>197</v>
      </c>
      <c r="C281" s="1" t="s">
        <v>35</v>
      </c>
      <c r="D281" s="1" t="s">
        <v>121</v>
      </c>
      <c r="E281">
        <v>6</v>
      </c>
      <c r="F281" s="2">
        <v>45354</v>
      </c>
      <c r="G281" s="1" t="str">
        <f>VLOOKUP(Summary_Laporan_Penjualan_20248[[#This Row],[ID_Pelanggan]], Data_Pelanggan[], 2, 0)</f>
        <v>PT Digital Nusantara</v>
      </c>
      <c r="H281" s="1" t="str">
        <f>VLOOKUP(Summary_Laporan_Penjualan_20248[[#This Row],[ID_Pelanggan]], Data_Pelanggan[], 4, 0)</f>
        <v>Jakarta</v>
      </c>
      <c r="I281" s="1" t="str">
        <f>VLOOKUP(Summary_Laporan_Penjualan_20248[[#This Row],[ID_Produk]], Data_Produk[], 6, 0)</f>
        <v>Jakarta</v>
      </c>
      <c r="J281" s="1">
        <f>VLOOKUP(Summary_Laporan_Penjualan_20248[[#This Row],[ID_Produk]], Data_Produk[], 7, 0)</f>
        <v>1200000</v>
      </c>
      <c r="K281" s="1">
        <f>VLOOKUP(Summary_Laporan_Penjualan_20248[[#This Row],[ID_Produk]], Data_Produk[], 8, 0)</f>
        <v>1375000</v>
      </c>
    </row>
    <row r="282" spans="1:11" x14ac:dyDescent="0.35">
      <c r="A282" s="1" t="s">
        <v>680</v>
      </c>
      <c r="B282" s="1" t="s">
        <v>191</v>
      </c>
      <c r="C282" s="1" t="s">
        <v>15</v>
      </c>
      <c r="D282" s="1" t="s">
        <v>143</v>
      </c>
      <c r="E282">
        <v>7</v>
      </c>
      <c r="F282" s="2">
        <v>45540</v>
      </c>
      <c r="G282" s="1" t="str">
        <f>VLOOKUP(Summary_Laporan_Penjualan_20248[[#This Row],[ID_Pelanggan]], Data_Pelanggan[], 2, 0)</f>
        <v>CV Berkah</v>
      </c>
      <c r="H282" s="1" t="str">
        <f>VLOOKUP(Summary_Laporan_Penjualan_20248[[#This Row],[ID_Pelanggan]], Data_Pelanggan[], 4, 0)</f>
        <v>Bandung</v>
      </c>
      <c r="I282" s="1" t="str">
        <f>VLOOKUP(Summary_Laporan_Penjualan_20248[[#This Row],[ID_Produk]], Data_Produk[], 6, 0)</f>
        <v>Jakarta</v>
      </c>
      <c r="J282" s="1">
        <f>VLOOKUP(Summary_Laporan_Penjualan_20248[[#This Row],[ID_Produk]], Data_Produk[], 7, 0)</f>
        <v>12000000</v>
      </c>
      <c r="K282" s="1">
        <f>VLOOKUP(Summary_Laporan_Penjualan_20248[[#This Row],[ID_Produk]], Data_Produk[], 8, 0)</f>
        <v>13963000</v>
      </c>
    </row>
    <row r="283" spans="1:11" x14ac:dyDescent="0.35">
      <c r="A283" s="1" t="s">
        <v>682</v>
      </c>
      <c r="B283" s="1" t="s">
        <v>137</v>
      </c>
      <c r="C283" s="1" t="s">
        <v>15</v>
      </c>
      <c r="D283" s="1" t="s">
        <v>143</v>
      </c>
      <c r="E283">
        <v>12</v>
      </c>
      <c r="F283" s="2">
        <v>45371</v>
      </c>
      <c r="G283" s="1" t="str">
        <f>VLOOKUP(Summary_Laporan_Penjualan_20248[[#This Row],[ID_Pelanggan]], Data_Pelanggan[], 2, 0)</f>
        <v>CV Berkah</v>
      </c>
      <c r="H283" s="1" t="str">
        <f>VLOOKUP(Summary_Laporan_Penjualan_20248[[#This Row],[ID_Pelanggan]], Data_Pelanggan[], 4, 0)</f>
        <v>Bandung</v>
      </c>
      <c r="I283" s="1" t="str">
        <f>VLOOKUP(Summary_Laporan_Penjualan_20248[[#This Row],[ID_Produk]], Data_Produk[], 6, 0)</f>
        <v>Jakarta</v>
      </c>
      <c r="J283" s="1">
        <f>VLOOKUP(Summary_Laporan_Penjualan_20248[[#This Row],[ID_Produk]], Data_Produk[], 7, 0)</f>
        <v>2000000</v>
      </c>
      <c r="K283" s="1">
        <f>VLOOKUP(Summary_Laporan_Penjualan_20248[[#This Row],[ID_Produk]], Data_Produk[], 8, 0)</f>
        <v>2533000</v>
      </c>
    </row>
    <row r="284" spans="1:11" x14ac:dyDescent="0.35">
      <c r="A284" s="1" t="s">
        <v>684</v>
      </c>
      <c r="B284" s="1" t="s">
        <v>168</v>
      </c>
      <c r="C284" s="1" t="s">
        <v>8</v>
      </c>
      <c r="D284" s="1" t="s">
        <v>124</v>
      </c>
      <c r="E284">
        <v>10</v>
      </c>
      <c r="F284" s="2">
        <v>45552</v>
      </c>
      <c r="G284" s="1" t="str">
        <f>VLOOKUP(Summary_Laporan_Penjualan_20248[[#This Row],[ID_Pelanggan]], Data_Pelanggan[], 2, 0)</f>
        <v>PT Maju Jaya</v>
      </c>
      <c r="H284" s="1" t="str">
        <f>VLOOKUP(Summary_Laporan_Penjualan_20248[[#This Row],[ID_Pelanggan]], Data_Pelanggan[], 4, 0)</f>
        <v>Jakarta</v>
      </c>
      <c r="I284" s="1" t="str">
        <f>VLOOKUP(Summary_Laporan_Penjualan_20248[[#This Row],[ID_Produk]], Data_Produk[], 6, 0)</f>
        <v>Semarang</v>
      </c>
      <c r="J284" s="1">
        <f>VLOOKUP(Summary_Laporan_Penjualan_20248[[#This Row],[ID_Produk]], Data_Produk[], 7, 0)</f>
        <v>500000</v>
      </c>
      <c r="K284" s="1">
        <f>VLOOKUP(Summary_Laporan_Penjualan_20248[[#This Row],[ID_Produk]], Data_Produk[], 8, 0)</f>
        <v>844000</v>
      </c>
    </row>
    <row r="285" spans="1:11" x14ac:dyDescent="0.35">
      <c r="A285" s="1" t="s">
        <v>686</v>
      </c>
      <c r="B285" s="1" t="s">
        <v>240</v>
      </c>
      <c r="C285" s="1" t="s">
        <v>45</v>
      </c>
      <c r="D285" s="1" t="s">
        <v>143</v>
      </c>
      <c r="E285">
        <v>8</v>
      </c>
      <c r="F285" s="2">
        <v>45301</v>
      </c>
      <c r="G285" s="1" t="str">
        <f>VLOOKUP(Summary_Laporan_Penjualan_20248[[#This Row],[ID_Pelanggan]], Data_Pelanggan[], 2, 0)</f>
        <v>CV Techno</v>
      </c>
      <c r="H285" s="1" t="str">
        <f>VLOOKUP(Summary_Laporan_Penjualan_20248[[#This Row],[ID_Pelanggan]], Data_Pelanggan[], 4, 0)</f>
        <v>Yogyakarta</v>
      </c>
      <c r="I285" s="1" t="str">
        <f>VLOOKUP(Summary_Laporan_Penjualan_20248[[#This Row],[ID_Produk]], Data_Produk[], 6, 0)</f>
        <v>Semarang</v>
      </c>
      <c r="J285" s="1">
        <f>VLOOKUP(Summary_Laporan_Penjualan_20248[[#This Row],[ID_Produk]], Data_Produk[], 7, 0)</f>
        <v>350000</v>
      </c>
      <c r="K285" s="1">
        <f>VLOOKUP(Summary_Laporan_Penjualan_20248[[#This Row],[ID_Produk]], Data_Produk[], 8, 0)</f>
        <v>626000</v>
      </c>
    </row>
    <row r="286" spans="1:11" x14ac:dyDescent="0.35">
      <c r="A286" s="1" t="s">
        <v>688</v>
      </c>
      <c r="B286" s="1" t="s">
        <v>164</v>
      </c>
      <c r="C286" s="1" t="s">
        <v>51</v>
      </c>
      <c r="D286" s="1" t="s">
        <v>143</v>
      </c>
      <c r="E286">
        <v>4</v>
      </c>
      <c r="F286" s="2">
        <v>45504</v>
      </c>
      <c r="G286" s="1" t="str">
        <f>VLOOKUP(Summary_Laporan_Penjualan_20248[[#This Row],[ID_Pelanggan]], Data_Pelanggan[], 2, 0)</f>
        <v>Toko Musik Digital</v>
      </c>
      <c r="H286" s="1" t="str">
        <f>VLOOKUP(Summary_Laporan_Penjualan_20248[[#This Row],[ID_Pelanggan]], Data_Pelanggan[], 4, 0)</f>
        <v>Denpasar</v>
      </c>
      <c r="I286" s="1" t="str">
        <f>VLOOKUP(Summary_Laporan_Penjualan_20248[[#This Row],[ID_Produk]], Data_Produk[], 6, 0)</f>
        <v>Jakarta</v>
      </c>
      <c r="J286" s="1">
        <f>VLOOKUP(Summary_Laporan_Penjualan_20248[[#This Row],[ID_Produk]], Data_Produk[], 7, 0)</f>
        <v>750000</v>
      </c>
      <c r="K286" s="1">
        <f>VLOOKUP(Summary_Laporan_Penjualan_20248[[#This Row],[ID_Produk]], Data_Produk[], 8, 0)</f>
        <v>971000</v>
      </c>
    </row>
    <row r="287" spans="1:11" x14ac:dyDescent="0.35">
      <c r="A287" s="1" t="s">
        <v>690</v>
      </c>
      <c r="B287" s="1" t="s">
        <v>106</v>
      </c>
      <c r="C287" s="1" t="s">
        <v>39</v>
      </c>
      <c r="D287" s="1" t="s">
        <v>121</v>
      </c>
      <c r="E287">
        <v>2</v>
      </c>
      <c r="F287" s="2">
        <v>45476</v>
      </c>
      <c r="G287" s="1" t="str">
        <f>VLOOKUP(Summary_Laporan_Penjualan_20248[[#This Row],[ID_Pelanggan]], Data_Pelanggan[], 2, 0)</f>
        <v>Toko Elektronik Jaya</v>
      </c>
      <c r="H287" s="1" t="str">
        <f>VLOOKUP(Summary_Laporan_Penjualan_20248[[#This Row],[ID_Pelanggan]], Data_Pelanggan[], 4, 0)</f>
        <v>Semarang</v>
      </c>
      <c r="I287" s="1" t="str">
        <f>VLOOKUP(Summary_Laporan_Penjualan_20248[[#This Row],[ID_Produk]], Data_Produk[], 6, 0)</f>
        <v>Depok</v>
      </c>
      <c r="J287" s="1">
        <f>VLOOKUP(Summary_Laporan_Penjualan_20248[[#This Row],[ID_Produk]], Data_Produk[], 7, 0)</f>
        <v>300000</v>
      </c>
      <c r="K287" s="1">
        <f>VLOOKUP(Summary_Laporan_Penjualan_20248[[#This Row],[ID_Produk]], Data_Produk[], 8, 0)</f>
        <v>355000</v>
      </c>
    </row>
    <row r="288" spans="1:11" x14ac:dyDescent="0.35">
      <c r="A288" s="1" t="s">
        <v>692</v>
      </c>
      <c r="B288" s="1" t="s">
        <v>106</v>
      </c>
      <c r="C288" s="1" t="s">
        <v>29</v>
      </c>
      <c r="D288" s="1" t="s">
        <v>143</v>
      </c>
      <c r="E288">
        <v>10</v>
      </c>
      <c r="F288" s="2">
        <v>45524</v>
      </c>
      <c r="G288" s="1" t="str">
        <f>VLOOKUP(Summary_Laporan_Penjualan_20248[[#This Row],[ID_Pelanggan]], Data_Pelanggan[], 2, 0)</f>
        <v>UD Sentosa</v>
      </c>
      <c r="H288" s="1" t="str">
        <f>VLOOKUP(Summary_Laporan_Penjualan_20248[[#This Row],[ID_Pelanggan]], Data_Pelanggan[], 4, 0)</f>
        <v>Medan</v>
      </c>
      <c r="I288" s="1" t="str">
        <f>VLOOKUP(Summary_Laporan_Penjualan_20248[[#This Row],[ID_Produk]], Data_Produk[], 6, 0)</f>
        <v>Depok</v>
      </c>
      <c r="J288" s="1">
        <f>VLOOKUP(Summary_Laporan_Penjualan_20248[[#This Row],[ID_Produk]], Data_Produk[], 7, 0)</f>
        <v>300000</v>
      </c>
      <c r="K288" s="1">
        <f>VLOOKUP(Summary_Laporan_Penjualan_20248[[#This Row],[ID_Produk]], Data_Produk[], 8, 0)</f>
        <v>355000</v>
      </c>
    </row>
    <row r="289" spans="1:11" x14ac:dyDescent="0.35">
      <c r="A289" s="1" t="s">
        <v>694</v>
      </c>
      <c r="B289" s="1" t="s">
        <v>133</v>
      </c>
      <c r="C289" s="1" t="s">
        <v>63</v>
      </c>
      <c r="D289" s="1" t="s">
        <v>157</v>
      </c>
      <c r="E289">
        <v>4</v>
      </c>
      <c r="F289" s="2">
        <v>45323</v>
      </c>
      <c r="G289" s="1" t="str">
        <f>VLOOKUP(Summary_Laporan_Penjualan_20248[[#This Row],[ID_Pelanggan]], Data_Pelanggan[], 2, 0)</f>
        <v>UD Makmur</v>
      </c>
      <c r="H289" s="1" t="str">
        <f>VLOOKUP(Summary_Laporan_Penjualan_20248[[#This Row],[ID_Pelanggan]], Data_Pelanggan[], 4, 0)</f>
        <v>Palembang</v>
      </c>
      <c r="I289" s="1" t="str">
        <f>VLOOKUP(Summary_Laporan_Penjualan_20248[[#This Row],[ID_Produk]], Data_Produk[], 6, 0)</f>
        <v>Jakarta</v>
      </c>
      <c r="J289" s="1">
        <f>VLOOKUP(Summary_Laporan_Penjualan_20248[[#This Row],[ID_Produk]], Data_Produk[], 7, 0)</f>
        <v>2500000</v>
      </c>
      <c r="K289" s="1">
        <f>VLOOKUP(Summary_Laporan_Penjualan_20248[[#This Row],[ID_Produk]], Data_Produk[], 8, 0)</f>
        <v>3080000</v>
      </c>
    </row>
    <row r="290" spans="1:11" x14ac:dyDescent="0.35">
      <c r="A290" s="1" t="s">
        <v>696</v>
      </c>
      <c r="B290" s="1" t="s">
        <v>240</v>
      </c>
      <c r="C290" s="1" t="s">
        <v>29</v>
      </c>
      <c r="D290" s="1" t="s">
        <v>157</v>
      </c>
      <c r="E290">
        <v>2</v>
      </c>
      <c r="F290" s="2">
        <v>45349</v>
      </c>
      <c r="G290" s="1" t="str">
        <f>VLOOKUP(Summary_Laporan_Penjualan_20248[[#This Row],[ID_Pelanggan]], Data_Pelanggan[], 2, 0)</f>
        <v>UD Sentosa</v>
      </c>
      <c r="H290" s="1" t="str">
        <f>VLOOKUP(Summary_Laporan_Penjualan_20248[[#This Row],[ID_Pelanggan]], Data_Pelanggan[], 4, 0)</f>
        <v>Medan</v>
      </c>
      <c r="I290" s="1" t="str">
        <f>VLOOKUP(Summary_Laporan_Penjualan_20248[[#This Row],[ID_Produk]], Data_Produk[], 6, 0)</f>
        <v>Semarang</v>
      </c>
      <c r="J290" s="1">
        <f>VLOOKUP(Summary_Laporan_Penjualan_20248[[#This Row],[ID_Produk]], Data_Produk[], 7, 0)</f>
        <v>350000</v>
      </c>
      <c r="K290" s="1">
        <f>VLOOKUP(Summary_Laporan_Penjualan_20248[[#This Row],[ID_Produk]], Data_Produk[], 8, 0)</f>
        <v>626000</v>
      </c>
    </row>
    <row r="291" spans="1:11" x14ac:dyDescent="0.35">
      <c r="A291" s="1" t="s">
        <v>697</v>
      </c>
      <c r="B291" s="1" t="s">
        <v>168</v>
      </c>
      <c r="C291" s="1" t="s">
        <v>69</v>
      </c>
      <c r="D291" s="1" t="s">
        <v>124</v>
      </c>
      <c r="E291">
        <v>2</v>
      </c>
      <c r="F291" s="2">
        <v>45615</v>
      </c>
      <c r="G291" s="1" t="str">
        <f>VLOOKUP(Summary_Laporan_Penjualan_20248[[#This Row],[ID_Pelanggan]], Data_Pelanggan[], 2, 0)</f>
        <v>PT Teknologi Prima</v>
      </c>
      <c r="H291" s="1" t="str">
        <f>VLOOKUP(Summary_Laporan_Penjualan_20248[[#This Row],[ID_Pelanggan]], Data_Pelanggan[], 4, 0)</f>
        <v>Jakarta</v>
      </c>
      <c r="I291" s="1" t="str">
        <f>VLOOKUP(Summary_Laporan_Penjualan_20248[[#This Row],[ID_Produk]], Data_Produk[], 6, 0)</f>
        <v>Semarang</v>
      </c>
      <c r="J291" s="1">
        <f>VLOOKUP(Summary_Laporan_Penjualan_20248[[#This Row],[ID_Produk]], Data_Produk[], 7, 0)</f>
        <v>500000</v>
      </c>
      <c r="K291" s="1">
        <f>VLOOKUP(Summary_Laporan_Penjualan_20248[[#This Row],[ID_Produk]], Data_Produk[], 8, 0)</f>
        <v>844000</v>
      </c>
    </row>
    <row r="292" spans="1:11" x14ac:dyDescent="0.35">
      <c r="A292" s="1" t="s">
        <v>699</v>
      </c>
      <c r="B292" s="1" t="s">
        <v>164</v>
      </c>
      <c r="C292" s="1" t="s">
        <v>39</v>
      </c>
      <c r="D292" s="1" t="s">
        <v>171</v>
      </c>
      <c r="E292">
        <v>10</v>
      </c>
      <c r="F292" s="2">
        <v>45605</v>
      </c>
      <c r="G292" s="1" t="str">
        <f>VLOOKUP(Summary_Laporan_Penjualan_20248[[#This Row],[ID_Pelanggan]], Data_Pelanggan[], 2, 0)</f>
        <v>Toko Elektronik Jaya</v>
      </c>
      <c r="H292" s="1" t="str">
        <f>VLOOKUP(Summary_Laporan_Penjualan_20248[[#This Row],[ID_Pelanggan]], Data_Pelanggan[], 4, 0)</f>
        <v>Semarang</v>
      </c>
      <c r="I292" s="1" t="str">
        <f>VLOOKUP(Summary_Laporan_Penjualan_20248[[#This Row],[ID_Produk]], Data_Produk[], 6, 0)</f>
        <v>Jakarta</v>
      </c>
      <c r="J292" s="1">
        <f>VLOOKUP(Summary_Laporan_Penjualan_20248[[#This Row],[ID_Produk]], Data_Produk[], 7, 0)</f>
        <v>750000</v>
      </c>
      <c r="K292" s="1">
        <f>VLOOKUP(Summary_Laporan_Penjualan_20248[[#This Row],[ID_Produk]], Data_Produk[], 8, 0)</f>
        <v>971000</v>
      </c>
    </row>
    <row r="293" spans="1:11" x14ac:dyDescent="0.35">
      <c r="A293" s="1" t="s">
        <v>701</v>
      </c>
      <c r="B293" s="1" t="s">
        <v>106</v>
      </c>
      <c r="C293" s="1" t="s">
        <v>39</v>
      </c>
      <c r="D293" s="1" t="s">
        <v>128</v>
      </c>
      <c r="E293">
        <v>2</v>
      </c>
      <c r="F293" s="2">
        <v>45366</v>
      </c>
      <c r="G293" s="1" t="str">
        <f>VLOOKUP(Summary_Laporan_Penjualan_20248[[#This Row],[ID_Pelanggan]], Data_Pelanggan[], 2, 0)</f>
        <v>Toko Elektronik Jaya</v>
      </c>
      <c r="H293" s="1" t="str">
        <f>VLOOKUP(Summary_Laporan_Penjualan_20248[[#This Row],[ID_Pelanggan]], Data_Pelanggan[], 4, 0)</f>
        <v>Semarang</v>
      </c>
      <c r="I293" s="1" t="str">
        <f>VLOOKUP(Summary_Laporan_Penjualan_20248[[#This Row],[ID_Produk]], Data_Produk[], 6, 0)</f>
        <v>Depok</v>
      </c>
      <c r="J293" s="1">
        <f>VLOOKUP(Summary_Laporan_Penjualan_20248[[#This Row],[ID_Produk]], Data_Produk[], 7, 0)</f>
        <v>300000</v>
      </c>
      <c r="K293" s="1">
        <f>VLOOKUP(Summary_Laporan_Penjualan_20248[[#This Row],[ID_Produk]], Data_Produk[], 8, 0)</f>
        <v>355000</v>
      </c>
    </row>
    <row r="294" spans="1:11" x14ac:dyDescent="0.35">
      <c r="A294" s="1" t="s">
        <v>703</v>
      </c>
      <c r="B294" s="1" t="s">
        <v>173</v>
      </c>
      <c r="C294" s="1" t="s">
        <v>87</v>
      </c>
      <c r="D294" s="1" t="s">
        <v>143</v>
      </c>
      <c r="E294">
        <v>9</v>
      </c>
      <c r="F294" s="2">
        <v>45624</v>
      </c>
      <c r="G294" s="1" t="str">
        <f>VLOOKUP(Summary_Laporan_Penjualan_20248[[#This Row],[ID_Pelanggan]], Data_Pelanggan[], 2, 0)</f>
        <v>PT Indo Digital</v>
      </c>
      <c r="H294" s="1" t="str">
        <f>VLOOKUP(Summary_Laporan_Penjualan_20248[[#This Row],[ID_Pelanggan]], Data_Pelanggan[], 4, 0)</f>
        <v>Tangerang</v>
      </c>
      <c r="I294" s="1" t="str">
        <f>VLOOKUP(Summary_Laporan_Penjualan_20248[[#This Row],[ID_Produk]], Data_Produk[], 6, 0)</f>
        <v>Depok</v>
      </c>
      <c r="J294" s="1">
        <f>VLOOKUP(Summary_Laporan_Penjualan_20248[[#This Row],[ID_Produk]], Data_Produk[], 7, 0)</f>
        <v>80000</v>
      </c>
      <c r="K294" s="1">
        <f>VLOOKUP(Summary_Laporan_Penjualan_20248[[#This Row],[ID_Produk]], Data_Produk[], 8, 0)</f>
        <v>92000</v>
      </c>
    </row>
    <row r="295" spans="1:11" x14ac:dyDescent="0.35">
      <c r="A295" s="1" t="s">
        <v>704</v>
      </c>
      <c r="B295" s="1" t="s">
        <v>133</v>
      </c>
      <c r="C295" s="1" t="s">
        <v>73</v>
      </c>
      <c r="D295" s="1" t="s">
        <v>121</v>
      </c>
      <c r="E295">
        <v>9</v>
      </c>
      <c r="F295" s="2">
        <v>45532</v>
      </c>
      <c r="G295" s="1" t="str">
        <f>VLOOKUP(Summary_Laporan_Penjualan_20248[[#This Row],[ID_Pelanggan]], Data_Pelanggan[], 2, 0)</f>
        <v>Toko Gadget Center</v>
      </c>
      <c r="H295" s="1" t="str">
        <f>VLOOKUP(Summary_Laporan_Penjualan_20248[[#This Row],[ID_Pelanggan]], Data_Pelanggan[], 4, 0)</f>
        <v>Malang</v>
      </c>
      <c r="I295" s="1" t="str">
        <f>VLOOKUP(Summary_Laporan_Penjualan_20248[[#This Row],[ID_Produk]], Data_Produk[], 6, 0)</f>
        <v>Jakarta</v>
      </c>
      <c r="J295" s="1">
        <f>VLOOKUP(Summary_Laporan_Penjualan_20248[[#This Row],[ID_Produk]], Data_Produk[], 7, 0)</f>
        <v>2500000</v>
      </c>
      <c r="K295" s="1">
        <f>VLOOKUP(Summary_Laporan_Penjualan_20248[[#This Row],[ID_Produk]], Data_Produk[], 8, 0)</f>
        <v>3080000</v>
      </c>
    </row>
    <row r="296" spans="1:11" x14ac:dyDescent="0.35">
      <c r="A296" s="1" t="s">
        <v>706</v>
      </c>
      <c r="B296" s="1" t="s">
        <v>149</v>
      </c>
      <c r="C296" s="1" t="s">
        <v>51</v>
      </c>
      <c r="D296" s="1" t="s">
        <v>121</v>
      </c>
      <c r="E296">
        <v>12</v>
      </c>
      <c r="F296" s="2">
        <v>45531</v>
      </c>
      <c r="G296" s="1" t="str">
        <f>VLOOKUP(Summary_Laporan_Penjualan_20248[[#This Row],[ID_Pelanggan]], Data_Pelanggan[], 2, 0)</f>
        <v>Toko Musik Digital</v>
      </c>
      <c r="H296" s="1" t="str">
        <f>VLOOKUP(Summary_Laporan_Penjualan_20248[[#This Row],[ID_Pelanggan]], Data_Pelanggan[], 4, 0)</f>
        <v>Denpasar</v>
      </c>
      <c r="I296" s="1" t="str">
        <f>VLOOKUP(Summary_Laporan_Penjualan_20248[[#This Row],[ID_Produk]], Data_Produk[], 6, 0)</f>
        <v>Semarang</v>
      </c>
      <c r="J296" s="1">
        <f>VLOOKUP(Summary_Laporan_Penjualan_20248[[#This Row],[ID_Produk]], Data_Produk[], 7, 0)</f>
        <v>100000</v>
      </c>
      <c r="K296" s="1">
        <f>VLOOKUP(Summary_Laporan_Penjualan_20248[[#This Row],[ID_Produk]], Data_Produk[], 8, 0)</f>
        <v>169000</v>
      </c>
    </row>
    <row r="297" spans="1:11" x14ac:dyDescent="0.35">
      <c r="A297" s="1" t="s">
        <v>708</v>
      </c>
      <c r="B297" s="1" t="s">
        <v>106</v>
      </c>
      <c r="C297" s="1" t="s">
        <v>45</v>
      </c>
      <c r="D297" s="1" t="s">
        <v>128</v>
      </c>
      <c r="E297">
        <v>10</v>
      </c>
      <c r="F297" s="2">
        <v>45503</v>
      </c>
      <c r="G297" s="1" t="str">
        <f>VLOOKUP(Summary_Laporan_Penjualan_20248[[#This Row],[ID_Pelanggan]], Data_Pelanggan[], 2, 0)</f>
        <v>CV Techno</v>
      </c>
      <c r="H297" s="1" t="str">
        <f>VLOOKUP(Summary_Laporan_Penjualan_20248[[#This Row],[ID_Pelanggan]], Data_Pelanggan[], 4, 0)</f>
        <v>Yogyakarta</v>
      </c>
      <c r="I297" s="1" t="str">
        <f>VLOOKUP(Summary_Laporan_Penjualan_20248[[#This Row],[ID_Produk]], Data_Produk[], 6, 0)</f>
        <v>Depok</v>
      </c>
      <c r="J297" s="1">
        <f>VLOOKUP(Summary_Laporan_Penjualan_20248[[#This Row],[ID_Produk]], Data_Produk[], 7, 0)</f>
        <v>300000</v>
      </c>
      <c r="K297" s="1">
        <f>VLOOKUP(Summary_Laporan_Penjualan_20248[[#This Row],[ID_Produk]], Data_Produk[], 8, 0)</f>
        <v>355000</v>
      </c>
    </row>
    <row r="298" spans="1:11" x14ac:dyDescent="0.35">
      <c r="A298" s="1" t="s">
        <v>710</v>
      </c>
      <c r="B298" s="1" t="s">
        <v>111</v>
      </c>
      <c r="C298" s="1" t="s">
        <v>15</v>
      </c>
      <c r="D298" s="1" t="s">
        <v>171</v>
      </c>
      <c r="E298">
        <v>10</v>
      </c>
      <c r="F298" s="2">
        <v>45613</v>
      </c>
      <c r="G298" s="1" t="str">
        <f>VLOOKUP(Summary_Laporan_Penjualan_20248[[#This Row],[ID_Pelanggan]], Data_Pelanggan[], 2, 0)</f>
        <v>CV Berkah</v>
      </c>
      <c r="H298" s="1" t="str">
        <f>VLOOKUP(Summary_Laporan_Penjualan_20248[[#This Row],[ID_Pelanggan]], Data_Pelanggan[], 4, 0)</f>
        <v>Bandung</v>
      </c>
      <c r="I298" s="1" t="str">
        <f>VLOOKUP(Summary_Laporan_Penjualan_20248[[#This Row],[ID_Produk]], Data_Produk[], 6, 0)</f>
        <v>Depok</v>
      </c>
      <c r="J298" s="1">
        <f>VLOOKUP(Summary_Laporan_Penjualan_20248[[#This Row],[ID_Produk]], Data_Produk[], 7, 0)</f>
        <v>18000000</v>
      </c>
      <c r="K298" s="1">
        <f>VLOOKUP(Summary_Laporan_Penjualan_20248[[#This Row],[ID_Produk]], Data_Produk[], 8, 0)</f>
        <v>27603000</v>
      </c>
    </row>
    <row r="299" spans="1:11" x14ac:dyDescent="0.35">
      <c r="A299" s="1" t="s">
        <v>712</v>
      </c>
      <c r="B299" s="1" t="s">
        <v>173</v>
      </c>
      <c r="C299" s="1" t="s">
        <v>63</v>
      </c>
      <c r="D299" s="1" t="s">
        <v>143</v>
      </c>
      <c r="E299">
        <v>14</v>
      </c>
      <c r="F299" s="2">
        <v>45423</v>
      </c>
      <c r="G299" s="1" t="str">
        <f>VLOOKUP(Summary_Laporan_Penjualan_20248[[#This Row],[ID_Pelanggan]], Data_Pelanggan[], 2, 0)</f>
        <v>UD Makmur</v>
      </c>
      <c r="H299" s="1" t="str">
        <f>VLOOKUP(Summary_Laporan_Penjualan_20248[[#This Row],[ID_Pelanggan]], Data_Pelanggan[], 4, 0)</f>
        <v>Palembang</v>
      </c>
      <c r="I299" s="1" t="str">
        <f>VLOOKUP(Summary_Laporan_Penjualan_20248[[#This Row],[ID_Produk]], Data_Produk[], 6, 0)</f>
        <v>Depok</v>
      </c>
      <c r="J299" s="1">
        <f>VLOOKUP(Summary_Laporan_Penjualan_20248[[#This Row],[ID_Produk]], Data_Produk[], 7, 0)</f>
        <v>80000</v>
      </c>
      <c r="K299" s="1">
        <f>VLOOKUP(Summary_Laporan_Penjualan_20248[[#This Row],[ID_Produk]], Data_Produk[], 8, 0)</f>
        <v>92000</v>
      </c>
    </row>
    <row r="300" spans="1:11" x14ac:dyDescent="0.35">
      <c r="A300" s="1" t="s">
        <v>714</v>
      </c>
      <c r="B300" s="1" t="s">
        <v>173</v>
      </c>
      <c r="C300" s="1" t="s">
        <v>21</v>
      </c>
      <c r="D300" s="1" t="s">
        <v>143</v>
      </c>
      <c r="E300">
        <v>13</v>
      </c>
      <c r="F300" s="2">
        <v>45502</v>
      </c>
      <c r="G300" s="1" t="str">
        <f>VLOOKUP(Summary_Laporan_Penjualan_20248[[#This Row],[ID_Pelanggan]], Data_Pelanggan[], 2, 0)</f>
        <v>Toko Komputer Sejahtera</v>
      </c>
      <c r="H300" s="1" t="str">
        <f>VLOOKUP(Summary_Laporan_Penjualan_20248[[#This Row],[ID_Pelanggan]], Data_Pelanggan[], 4, 0)</f>
        <v>Surabaya</v>
      </c>
      <c r="I300" s="1" t="str">
        <f>VLOOKUP(Summary_Laporan_Penjualan_20248[[#This Row],[ID_Produk]], Data_Produk[], 6, 0)</f>
        <v>Depok</v>
      </c>
      <c r="J300" s="1">
        <f>VLOOKUP(Summary_Laporan_Penjualan_20248[[#This Row],[ID_Produk]], Data_Produk[], 7, 0)</f>
        <v>80000</v>
      </c>
      <c r="K300" s="1">
        <f>VLOOKUP(Summary_Laporan_Penjualan_20248[[#This Row],[ID_Produk]], Data_Produk[], 8, 0)</f>
        <v>92000</v>
      </c>
    </row>
    <row r="301" spans="1:11" x14ac:dyDescent="0.35">
      <c r="A301" s="1" t="s">
        <v>716</v>
      </c>
      <c r="B301" s="1" t="s">
        <v>240</v>
      </c>
      <c r="C301" s="1" t="s">
        <v>45</v>
      </c>
      <c r="D301" s="1" t="s">
        <v>121</v>
      </c>
      <c r="E301">
        <v>15</v>
      </c>
      <c r="F301" s="2">
        <v>45403</v>
      </c>
      <c r="G301" s="1" t="str">
        <f>VLOOKUP(Summary_Laporan_Penjualan_20248[[#This Row],[ID_Pelanggan]], Data_Pelanggan[], 2, 0)</f>
        <v>CV Techno</v>
      </c>
      <c r="H301" s="1" t="str">
        <f>VLOOKUP(Summary_Laporan_Penjualan_20248[[#This Row],[ID_Pelanggan]], Data_Pelanggan[], 4, 0)</f>
        <v>Yogyakarta</v>
      </c>
      <c r="I301" s="1" t="str">
        <f>VLOOKUP(Summary_Laporan_Penjualan_20248[[#This Row],[ID_Produk]], Data_Produk[], 6, 0)</f>
        <v>Semarang</v>
      </c>
      <c r="J301" s="1">
        <f>VLOOKUP(Summary_Laporan_Penjualan_20248[[#This Row],[ID_Produk]], Data_Produk[], 7, 0)</f>
        <v>350000</v>
      </c>
      <c r="K301" s="1">
        <f>VLOOKUP(Summary_Laporan_Penjualan_20248[[#This Row],[ID_Produk]], Data_Produk[], 8, 0)</f>
        <v>626000</v>
      </c>
    </row>
    <row r="302" spans="1:11" x14ac:dyDescent="0.35">
      <c r="A302" s="1" t="s">
        <v>718</v>
      </c>
      <c r="B302" s="1" t="s">
        <v>173</v>
      </c>
      <c r="C302" s="1" t="s">
        <v>87</v>
      </c>
      <c r="D302" s="1" t="s">
        <v>128</v>
      </c>
      <c r="E302">
        <v>15</v>
      </c>
      <c r="F302" s="2">
        <v>45537</v>
      </c>
      <c r="G302" s="1" t="str">
        <f>VLOOKUP(Summary_Laporan_Penjualan_20248[[#This Row],[ID_Pelanggan]], Data_Pelanggan[], 2, 0)</f>
        <v>PT Indo Digital</v>
      </c>
      <c r="H302" s="1" t="str">
        <f>VLOOKUP(Summary_Laporan_Penjualan_20248[[#This Row],[ID_Pelanggan]], Data_Pelanggan[], 4, 0)</f>
        <v>Tangerang</v>
      </c>
      <c r="I302" s="1" t="str">
        <f>VLOOKUP(Summary_Laporan_Penjualan_20248[[#This Row],[ID_Produk]], Data_Produk[], 6, 0)</f>
        <v>Depok</v>
      </c>
      <c r="J302" s="1">
        <f>VLOOKUP(Summary_Laporan_Penjualan_20248[[#This Row],[ID_Produk]], Data_Produk[], 7, 0)</f>
        <v>80000</v>
      </c>
      <c r="K302" s="1">
        <f>VLOOKUP(Summary_Laporan_Penjualan_20248[[#This Row],[ID_Produk]], Data_Produk[], 8, 0)</f>
        <v>92000</v>
      </c>
    </row>
    <row r="303" spans="1:11" x14ac:dyDescent="0.35">
      <c r="A303" s="1" t="s">
        <v>720</v>
      </c>
      <c r="B303" s="1" t="s">
        <v>116</v>
      </c>
      <c r="C303" s="1" t="s">
        <v>69</v>
      </c>
      <c r="D303" s="1" t="s">
        <v>121</v>
      </c>
      <c r="E303">
        <v>10</v>
      </c>
      <c r="F303" s="2">
        <v>45307</v>
      </c>
      <c r="G303" s="1" t="str">
        <f>VLOOKUP(Summary_Laporan_Penjualan_20248[[#This Row],[ID_Pelanggan]], Data_Pelanggan[], 2, 0)</f>
        <v>PT Teknologi Prima</v>
      </c>
      <c r="H303" s="1" t="str">
        <f>VLOOKUP(Summary_Laporan_Penjualan_20248[[#This Row],[ID_Pelanggan]], Data_Pelanggan[], 4, 0)</f>
        <v>Jakarta</v>
      </c>
      <c r="I303" s="1" t="str">
        <f>VLOOKUP(Summary_Laporan_Penjualan_20248[[#This Row],[ID_Produk]], Data_Produk[], 6, 0)</f>
        <v>Depok</v>
      </c>
      <c r="J303" s="1">
        <f>VLOOKUP(Summary_Laporan_Penjualan_20248[[#This Row],[ID_Produk]], Data_Produk[], 7, 0)</f>
        <v>5000000</v>
      </c>
      <c r="K303" s="1">
        <f>VLOOKUP(Summary_Laporan_Penjualan_20248[[#This Row],[ID_Produk]], Data_Produk[], 8, 0)</f>
        <v>7546000</v>
      </c>
    </row>
    <row r="304" spans="1:11" x14ac:dyDescent="0.35">
      <c r="A304" s="1" t="s">
        <v>722</v>
      </c>
      <c r="B304" s="1" t="s">
        <v>168</v>
      </c>
      <c r="C304" s="1" t="s">
        <v>87</v>
      </c>
      <c r="D304" s="1" t="s">
        <v>121</v>
      </c>
      <c r="E304">
        <v>5</v>
      </c>
      <c r="F304" s="2">
        <v>45608</v>
      </c>
      <c r="G304" s="1" t="str">
        <f>VLOOKUP(Summary_Laporan_Penjualan_20248[[#This Row],[ID_Pelanggan]], Data_Pelanggan[], 2, 0)</f>
        <v>PT Indo Digital</v>
      </c>
      <c r="H304" s="1" t="str">
        <f>VLOOKUP(Summary_Laporan_Penjualan_20248[[#This Row],[ID_Pelanggan]], Data_Pelanggan[], 4, 0)</f>
        <v>Tangerang</v>
      </c>
      <c r="I304" s="1" t="str">
        <f>VLOOKUP(Summary_Laporan_Penjualan_20248[[#This Row],[ID_Produk]], Data_Produk[], 6, 0)</f>
        <v>Semarang</v>
      </c>
      <c r="J304" s="1">
        <f>VLOOKUP(Summary_Laporan_Penjualan_20248[[#This Row],[ID_Produk]], Data_Produk[], 7, 0)</f>
        <v>500000</v>
      </c>
      <c r="K304" s="1">
        <f>VLOOKUP(Summary_Laporan_Penjualan_20248[[#This Row],[ID_Produk]], Data_Produk[], 8, 0)</f>
        <v>844000</v>
      </c>
    </row>
    <row r="305" spans="1:11" x14ac:dyDescent="0.35">
      <c r="A305" s="1" t="s">
        <v>723</v>
      </c>
      <c r="B305" s="1" t="s">
        <v>141</v>
      </c>
      <c r="C305" s="1" t="s">
        <v>29</v>
      </c>
      <c r="D305" s="1" t="s">
        <v>121</v>
      </c>
      <c r="E305">
        <v>4</v>
      </c>
      <c r="F305" s="2">
        <v>45444</v>
      </c>
      <c r="G305" s="1" t="str">
        <f>VLOOKUP(Summary_Laporan_Penjualan_20248[[#This Row],[ID_Pelanggan]], Data_Pelanggan[], 2, 0)</f>
        <v>UD Sentosa</v>
      </c>
      <c r="H305" s="1" t="str">
        <f>VLOOKUP(Summary_Laporan_Penjualan_20248[[#This Row],[ID_Pelanggan]], Data_Pelanggan[], 4, 0)</f>
        <v>Medan</v>
      </c>
      <c r="I305" s="1" t="str">
        <f>VLOOKUP(Summary_Laporan_Penjualan_20248[[#This Row],[ID_Produk]], Data_Produk[], 6, 0)</f>
        <v>Semarang</v>
      </c>
      <c r="J305" s="1">
        <f>VLOOKUP(Summary_Laporan_Penjualan_20248[[#This Row],[ID_Produk]], Data_Produk[], 7, 0)</f>
        <v>400000</v>
      </c>
      <c r="K305" s="1">
        <f>VLOOKUP(Summary_Laporan_Penjualan_20248[[#This Row],[ID_Produk]], Data_Produk[], 8, 0)</f>
        <v>623000</v>
      </c>
    </row>
    <row r="306" spans="1:11" x14ac:dyDescent="0.35">
      <c r="A306" s="1" t="s">
        <v>725</v>
      </c>
      <c r="B306" s="1" t="s">
        <v>173</v>
      </c>
      <c r="C306" s="1" t="s">
        <v>45</v>
      </c>
      <c r="D306" s="1" t="s">
        <v>124</v>
      </c>
      <c r="E306">
        <v>14</v>
      </c>
      <c r="F306" s="2">
        <v>45498</v>
      </c>
      <c r="G306" s="1" t="str">
        <f>VLOOKUP(Summary_Laporan_Penjualan_20248[[#This Row],[ID_Pelanggan]], Data_Pelanggan[], 2, 0)</f>
        <v>CV Techno</v>
      </c>
      <c r="H306" s="1" t="str">
        <f>VLOOKUP(Summary_Laporan_Penjualan_20248[[#This Row],[ID_Pelanggan]], Data_Pelanggan[], 4, 0)</f>
        <v>Yogyakarta</v>
      </c>
      <c r="I306" s="1" t="str">
        <f>VLOOKUP(Summary_Laporan_Penjualan_20248[[#This Row],[ID_Produk]], Data_Produk[], 6, 0)</f>
        <v>Depok</v>
      </c>
      <c r="J306" s="1">
        <f>VLOOKUP(Summary_Laporan_Penjualan_20248[[#This Row],[ID_Produk]], Data_Produk[], 7, 0)</f>
        <v>80000</v>
      </c>
      <c r="K306" s="1">
        <f>VLOOKUP(Summary_Laporan_Penjualan_20248[[#This Row],[ID_Produk]], Data_Produk[], 8, 0)</f>
        <v>92000</v>
      </c>
    </row>
    <row r="307" spans="1:11" x14ac:dyDescent="0.35">
      <c r="A307" s="1" t="s">
        <v>727</v>
      </c>
      <c r="B307" s="1" t="s">
        <v>149</v>
      </c>
      <c r="C307" s="1" t="s">
        <v>29</v>
      </c>
      <c r="D307" s="1" t="s">
        <v>121</v>
      </c>
      <c r="E307">
        <v>6</v>
      </c>
      <c r="F307" s="2">
        <v>45393</v>
      </c>
      <c r="G307" s="1" t="str">
        <f>VLOOKUP(Summary_Laporan_Penjualan_20248[[#This Row],[ID_Pelanggan]], Data_Pelanggan[], 2, 0)</f>
        <v>UD Sentosa</v>
      </c>
      <c r="H307" s="1" t="str">
        <f>VLOOKUP(Summary_Laporan_Penjualan_20248[[#This Row],[ID_Pelanggan]], Data_Pelanggan[], 4, 0)</f>
        <v>Medan</v>
      </c>
      <c r="I307" s="1" t="str">
        <f>VLOOKUP(Summary_Laporan_Penjualan_20248[[#This Row],[ID_Produk]], Data_Produk[], 6, 0)</f>
        <v>Semarang</v>
      </c>
      <c r="J307" s="1">
        <f>VLOOKUP(Summary_Laporan_Penjualan_20248[[#This Row],[ID_Produk]], Data_Produk[], 7, 0)</f>
        <v>100000</v>
      </c>
      <c r="K307" s="1">
        <f>VLOOKUP(Summary_Laporan_Penjualan_20248[[#This Row],[ID_Produk]], Data_Produk[], 8, 0)</f>
        <v>169000</v>
      </c>
    </row>
    <row r="308" spans="1:11" x14ac:dyDescent="0.35">
      <c r="A308" s="1" t="s">
        <v>728</v>
      </c>
      <c r="B308" s="1" t="s">
        <v>176</v>
      </c>
      <c r="C308" s="1" t="s">
        <v>57</v>
      </c>
      <c r="D308" s="1" t="s">
        <v>143</v>
      </c>
      <c r="E308">
        <v>8</v>
      </c>
      <c r="F308" s="2">
        <v>45519</v>
      </c>
      <c r="G308" s="1" t="str">
        <f>VLOOKUP(Summary_Laporan_Penjualan_20248[[#This Row],[ID_Pelanggan]], Data_Pelanggan[], 2, 0)</f>
        <v>PT Karya Mandiri</v>
      </c>
      <c r="H308" s="1" t="str">
        <f>VLOOKUP(Summary_Laporan_Penjualan_20248[[#This Row],[ID_Pelanggan]], Data_Pelanggan[], 4, 0)</f>
        <v>Makassar</v>
      </c>
      <c r="I308" s="1" t="str">
        <f>VLOOKUP(Summary_Laporan_Penjualan_20248[[#This Row],[ID_Produk]], Data_Produk[], 6, 0)</f>
        <v>Depok</v>
      </c>
      <c r="J308" s="1">
        <f>VLOOKUP(Summary_Laporan_Penjualan_20248[[#This Row],[ID_Produk]], Data_Produk[], 7, 0)</f>
        <v>1500000</v>
      </c>
      <c r="K308" s="1">
        <f>VLOOKUP(Summary_Laporan_Penjualan_20248[[#This Row],[ID_Produk]], Data_Produk[], 8, 0)</f>
        <v>1772000</v>
      </c>
    </row>
    <row r="309" spans="1:11" x14ac:dyDescent="0.35">
      <c r="A309" s="1" t="s">
        <v>730</v>
      </c>
      <c r="B309" s="1" t="s">
        <v>168</v>
      </c>
      <c r="C309" s="1" t="s">
        <v>57</v>
      </c>
      <c r="D309" s="1" t="s">
        <v>124</v>
      </c>
      <c r="E309">
        <v>15</v>
      </c>
      <c r="F309" s="2">
        <v>45630</v>
      </c>
      <c r="G309" s="1" t="str">
        <f>VLOOKUP(Summary_Laporan_Penjualan_20248[[#This Row],[ID_Pelanggan]], Data_Pelanggan[], 2, 0)</f>
        <v>PT Karya Mandiri</v>
      </c>
      <c r="H309" s="1" t="str">
        <f>VLOOKUP(Summary_Laporan_Penjualan_20248[[#This Row],[ID_Pelanggan]], Data_Pelanggan[], 4, 0)</f>
        <v>Makassar</v>
      </c>
      <c r="I309" s="1" t="str">
        <f>VLOOKUP(Summary_Laporan_Penjualan_20248[[#This Row],[ID_Produk]], Data_Produk[], 6, 0)</f>
        <v>Semarang</v>
      </c>
      <c r="J309" s="1">
        <f>VLOOKUP(Summary_Laporan_Penjualan_20248[[#This Row],[ID_Produk]], Data_Produk[], 7, 0)</f>
        <v>500000</v>
      </c>
      <c r="K309" s="1">
        <f>VLOOKUP(Summary_Laporan_Penjualan_20248[[#This Row],[ID_Produk]], Data_Produk[], 8, 0)</f>
        <v>844000</v>
      </c>
    </row>
    <row r="310" spans="1:11" x14ac:dyDescent="0.35">
      <c r="A310" s="1" t="s">
        <v>732</v>
      </c>
      <c r="B310" s="1" t="s">
        <v>109</v>
      </c>
      <c r="C310" s="1" t="s">
        <v>45</v>
      </c>
      <c r="D310" s="1" t="s">
        <v>157</v>
      </c>
      <c r="E310">
        <v>2</v>
      </c>
      <c r="F310" s="2">
        <v>45638</v>
      </c>
      <c r="G310" s="1" t="str">
        <f>VLOOKUP(Summary_Laporan_Penjualan_20248[[#This Row],[ID_Pelanggan]], Data_Pelanggan[], 2, 0)</f>
        <v>CV Techno</v>
      </c>
      <c r="H310" s="1" t="str">
        <f>VLOOKUP(Summary_Laporan_Penjualan_20248[[#This Row],[ID_Pelanggan]], Data_Pelanggan[], 4, 0)</f>
        <v>Yogyakarta</v>
      </c>
      <c r="I310" s="1" t="str">
        <f>VLOOKUP(Summary_Laporan_Penjualan_20248[[#This Row],[ID_Produk]], Data_Produk[], 6, 0)</f>
        <v>Semarang</v>
      </c>
      <c r="J310" s="1">
        <f>VLOOKUP(Summary_Laporan_Penjualan_20248[[#This Row],[ID_Produk]], Data_Produk[], 7, 0)</f>
        <v>2000000</v>
      </c>
      <c r="K310" s="1">
        <f>VLOOKUP(Summary_Laporan_Penjualan_20248[[#This Row],[ID_Produk]], Data_Produk[], 8, 0)</f>
        <v>3382000</v>
      </c>
    </row>
    <row r="311" spans="1:11" x14ac:dyDescent="0.35">
      <c r="A311" s="1" t="s">
        <v>734</v>
      </c>
      <c r="B311" s="1" t="s">
        <v>188</v>
      </c>
      <c r="C311" s="1" t="s">
        <v>57</v>
      </c>
      <c r="D311" s="1" t="s">
        <v>157</v>
      </c>
      <c r="E311">
        <v>10</v>
      </c>
      <c r="F311" s="2">
        <v>45302</v>
      </c>
      <c r="G311" s="1" t="str">
        <f>VLOOKUP(Summary_Laporan_Penjualan_20248[[#This Row],[ID_Pelanggan]], Data_Pelanggan[], 2, 0)</f>
        <v>PT Karya Mandiri</v>
      </c>
      <c r="H311" s="1" t="str">
        <f>VLOOKUP(Summary_Laporan_Penjualan_20248[[#This Row],[ID_Pelanggan]], Data_Pelanggan[], 4, 0)</f>
        <v>Makassar</v>
      </c>
      <c r="I311" s="1" t="str">
        <f>VLOOKUP(Summary_Laporan_Penjualan_20248[[#This Row],[ID_Produk]], Data_Produk[], 6, 0)</f>
        <v>Semarang</v>
      </c>
      <c r="J311" s="1">
        <f>VLOOKUP(Summary_Laporan_Penjualan_20248[[#This Row],[ID_Produk]], Data_Produk[], 7, 0)</f>
        <v>2800000</v>
      </c>
      <c r="K311" s="1">
        <f>VLOOKUP(Summary_Laporan_Penjualan_20248[[#This Row],[ID_Produk]], Data_Produk[], 8, 0)</f>
        <v>4747000</v>
      </c>
    </row>
    <row r="312" spans="1:11" x14ac:dyDescent="0.35">
      <c r="A312" s="1" t="s">
        <v>735</v>
      </c>
      <c r="B312" s="1" t="s">
        <v>149</v>
      </c>
      <c r="C312" s="1" t="s">
        <v>69</v>
      </c>
      <c r="D312" s="1" t="s">
        <v>128</v>
      </c>
      <c r="E312">
        <v>4</v>
      </c>
      <c r="F312" s="2">
        <v>45354</v>
      </c>
      <c r="G312" s="1" t="str">
        <f>VLOOKUP(Summary_Laporan_Penjualan_20248[[#This Row],[ID_Pelanggan]], Data_Pelanggan[], 2, 0)</f>
        <v>PT Teknologi Prima</v>
      </c>
      <c r="H312" s="1" t="str">
        <f>VLOOKUP(Summary_Laporan_Penjualan_20248[[#This Row],[ID_Pelanggan]], Data_Pelanggan[], 4, 0)</f>
        <v>Jakarta</v>
      </c>
      <c r="I312" s="1" t="str">
        <f>VLOOKUP(Summary_Laporan_Penjualan_20248[[#This Row],[ID_Produk]], Data_Produk[], 6, 0)</f>
        <v>Semarang</v>
      </c>
      <c r="J312" s="1">
        <f>VLOOKUP(Summary_Laporan_Penjualan_20248[[#This Row],[ID_Produk]], Data_Produk[], 7, 0)</f>
        <v>100000</v>
      </c>
      <c r="K312" s="1">
        <f>VLOOKUP(Summary_Laporan_Penjualan_20248[[#This Row],[ID_Produk]], Data_Produk[], 8, 0)</f>
        <v>169000</v>
      </c>
    </row>
    <row r="313" spans="1:11" x14ac:dyDescent="0.35">
      <c r="A313" s="1" t="s">
        <v>736</v>
      </c>
      <c r="B313" s="1" t="s">
        <v>188</v>
      </c>
      <c r="C313" s="1" t="s">
        <v>87</v>
      </c>
      <c r="D313" s="1" t="s">
        <v>143</v>
      </c>
      <c r="E313">
        <v>5</v>
      </c>
      <c r="F313" s="2">
        <v>45610</v>
      </c>
      <c r="G313" s="1" t="str">
        <f>VLOOKUP(Summary_Laporan_Penjualan_20248[[#This Row],[ID_Pelanggan]], Data_Pelanggan[], 2, 0)</f>
        <v>PT Indo Digital</v>
      </c>
      <c r="H313" s="1" t="str">
        <f>VLOOKUP(Summary_Laporan_Penjualan_20248[[#This Row],[ID_Pelanggan]], Data_Pelanggan[], 4, 0)</f>
        <v>Tangerang</v>
      </c>
      <c r="I313" s="1" t="str">
        <f>VLOOKUP(Summary_Laporan_Penjualan_20248[[#This Row],[ID_Produk]], Data_Produk[], 6, 0)</f>
        <v>Semarang</v>
      </c>
      <c r="J313" s="1">
        <f>VLOOKUP(Summary_Laporan_Penjualan_20248[[#This Row],[ID_Produk]], Data_Produk[], 7, 0)</f>
        <v>2800000</v>
      </c>
      <c r="K313" s="1">
        <f>VLOOKUP(Summary_Laporan_Penjualan_20248[[#This Row],[ID_Produk]], Data_Produk[], 8, 0)</f>
        <v>4747000</v>
      </c>
    </row>
    <row r="314" spans="1:11" x14ac:dyDescent="0.35">
      <c r="A314" s="1" t="s">
        <v>738</v>
      </c>
      <c r="B314" s="1" t="s">
        <v>176</v>
      </c>
      <c r="C314" s="1" t="s">
        <v>8</v>
      </c>
      <c r="D314" s="1" t="s">
        <v>171</v>
      </c>
      <c r="E314">
        <v>9</v>
      </c>
      <c r="F314" s="2">
        <v>45551</v>
      </c>
      <c r="G314" s="1" t="str">
        <f>VLOOKUP(Summary_Laporan_Penjualan_20248[[#This Row],[ID_Pelanggan]], Data_Pelanggan[], 2, 0)</f>
        <v>PT Maju Jaya</v>
      </c>
      <c r="H314" s="1" t="str">
        <f>VLOOKUP(Summary_Laporan_Penjualan_20248[[#This Row],[ID_Pelanggan]], Data_Pelanggan[], 4, 0)</f>
        <v>Jakarta</v>
      </c>
      <c r="I314" s="1" t="str">
        <f>VLOOKUP(Summary_Laporan_Penjualan_20248[[#This Row],[ID_Produk]], Data_Produk[], 6, 0)</f>
        <v>Depok</v>
      </c>
      <c r="J314" s="1">
        <f>VLOOKUP(Summary_Laporan_Penjualan_20248[[#This Row],[ID_Produk]], Data_Produk[], 7, 0)</f>
        <v>1500000</v>
      </c>
      <c r="K314" s="1">
        <f>VLOOKUP(Summary_Laporan_Penjualan_20248[[#This Row],[ID_Produk]], Data_Produk[], 8, 0)</f>
        <v>1772000</v>
      </c>
    </row>
    <row r="315" spans="1:11" x14ac:dyDescent="0.35">
      <c r="A315" s="1" t="s">
        <v>740</v>
      </c>
      <c r="B315" s="1" t="s">
        <v>149</v>
      </c>
      <c r="C315" s="1" t="s">
        <v>21</v>
      </c>
      <c r="D315" s="1" t="s">
        <v>143</v>
      </c>
      <c r="E315">
        <v>6</v>
      </c>
      <c r="F315" s="2">
        <v>45569</v>
      </c>
      <c r="G315" s="1" t="str">
        <f>VLOOKUP(Summary_Laporan_Penjualan_20248[[#This Row],[ID_Pelanggan]], Data_Pelanggan[], 2, 0)</f>
        <v>Toko Komputer Sejahtera</v>
      </c>
      <c r="H315" s="1" t="str">
        <f>VLOOKUP(Summary_Laporan_Penjualan_20248[[#This Row],[ID_Pelanggan]], Data_Pelanggan[], 4, 0)</f>
        <v>Surabaya</v>
      </c>
      <c r="I315" s="1" t="str">
        <f>VLOOKUP(Summary_Laporan_Penjualan_20248[[#This Row],[ID_Produk]], Data_Produk[], 6, 0)</f>
        <v>Semarang</v>
      </c>
      <c r="J315" s="1">
        <f>VLOOKUP(Summary_Laporan_Penjualan_20248[[#This Row],[ID_Produk]], Data_Produk[], 7, 0)</f>
        <v>100000</v>
      </c>
      <c r="K315" s="1">
        <f>VLOOKUP(Summary_Laporan_Penjualan_20248[[#This Row],[ID_Produk]], Data_Produk[], 8, 0)</f>
        <v>169000</v>
      </c>
    </row>
    <row r="316" spans="1:11" x14ac:dyDescent="0.35">
      <c r="A316" s="1" t="s">
        <v>742</v>
      </c>
      <c r="B316" s="1" t="s">
        <v>141</v>
      </c>
      <c r="C316" s="1" t="s">
        <v>57</v>
      </c>
      <c r="D316" s="1" t="s">
        <v>171</v>
      </c>
      <c r="E316">
        <v>11</v>
      </c>
      <c r="F316" s="2">
        <v>45421</v>
      </c>
      <c r="G316" s="1" t="str">
        <f>VLOOKUP(Summary_Laporan_Penjualan_20248[[#This Row],[ID_Pelanggan]], Data_Pelanggan[], 2, 0)</f>
        <v>PT Karya Mandiri</v>
      </c>
      <c r="H316" s="1" t="str">
        <f>VLOOKUP(Summary_Laporan_Penjualan_20248[[#This Row],[ID_Pelanggan]], Data_Pelanggan[], 4, 0)</f>
        <v>Makassar</v>
      </c>
      <c r="I316" s="1" t="str">
        <f>VLOOKUP(Summary_Laporan_Penjualan_20248[[#This Row],[ID_Produk]], Data_Produk[], 6, 0)</f>
        <v>Semarang</v>
      </c>
      <c r="J316" s="1">
        <f>VLOOKUP(Summary_Laporan_Penjualan_20248[[#This Row],[ID_Produk]], Data_Produk[], 7, 0)</f>
        <v>400000</v>
      </c>
      <c r="K316" s="1">
        <f>VLOOKUP(Summary_Laporan_Penjualan_20248[[#This Row],[ID_Produk]], Data_Produk[], 8, 0)</f>
        <v>623000</v>
      </c>
    </row>
    <row r="317" spans="1:11" x14ac:dyDescent="0.35">
      <c r="A317" s="1" t="s">
        <v>744</v>
      </c>
      <c r="B317" s="1" t="s">
        <v>188</v>
      </c>
      <c r="C317" s="1" t="s">
        <v>78</v>
      </c>
      <c r="D317" s="1" t="s">
        <v>171</v>
      </c>
      <c r="E317">
        <v>7</v>
      </c>
      <c r="F317" s="2">
        <v>45535</v>
      </c>
      <c r="G317" s="1" t="str">
        <f>VLOOKUP(Summary_Laporan_Penjualan_20248[[#This Row],[ID_Pelanggan]], Data_Pelanggan[], 2, 0)</f>
        <v>CV Sinar Terang</v>
      </c>
      <c r="H317" s="1" t="str">
        <f>VLOOKUP(Summary_Laporan_Penjualan_20248[[#This Row],[ID_Pelanggan]], Data_Pelanggan[], 4, 0)</f>
        <v>Bandung</v>
      </c>
      <c r="I317" s="1" t="str">
        <f>VLOOKUP(Summary_Laporan_Penjualan_20248[[#This Row],[ID_Produk]], Data_Produk[], 6, 0)</f>
        <v>Semarang</v>
      </c>
      <c r="J317" s="1">
        <f>VLOOKUP(Summary_Laporan_Penjualan_20248[[#This Row],[ID_Produk]], Data_Produk[], 7, 0)</f>
        <v>2800000</v>
      </c>
      <c r="K317" s="1">
        <f>VLOOKUP(Summary_Laporan_Penjualan_20248[[#This Row],[ID_Produk]], Data_Produk[], 8, 0)</f>
        <v>4747000</v>
      </c>
    </row>
    <row r="318" spans="1:11" x14ac:dyDescent="0.35">
      <c r="A318" s="1" t="s">
        <v>746</v>
      </c>
      <c r="B318" s="1" t="s">
        <v>113</v>
      </c>
      <c r="C318" s="1" t="s">
        <v>21</v>
      </c>
      <c r="D318" s="1" t="s">
        <v>124</v>
      </c>
      <c r="E318">
        <v>3</v>
      </c>
      <c r="F318" s="2">
        <v>45329</v>
      </c>
      <c r="G318" s="1" t="str">
        <f>VLOOKUP(Summary_Laporan_Penjualan_20248[[#This Row],[ID_Pelanggan]], Data_Pelanggan[], 2, 0)</f>
        <v>Toko Komputer Sejahtera</v>
      </c>
      <c r="H318" s="1" t="str">
        <f>VLOOKUP(Summary_Laporan_Penjualan_20248[[#This Row],[ID_Pelanggan]], Data_Pelanggan[], 4, 0)</f>
        <v>Surabaya</v>
      </c>
      <c r="I318" s="1" t="str">
        <f>VLOOKUP(Summary_Laporan_Penjualan_20248[[#This Row],[ID_Produk]], Data_Produk[], 6, 0)</f>
        <v>Depok</v>
      </c>
      <c r="J318" s="1">
        <f>VLOOKUP(Summary_Laporan_Penjualan_20248[[#This Row],[ID_Produk]], Data_Produk[], 7, 0)</f>
        <v>4500000</v>
      </c>
      <c r="K318" s="1">
        <f>VLOOKUP(Summary_Laporan_Penjualan_20248[[#This Row],[ID_Produk]], Data_Produk[], 8, 0)</f>
        <v>5522000</v>
      </c>
    </row>
    <row r="319" spans="1:11" x14ac:dyDescent="0.35">
      <c r="A319" s="1" t="s">
        <v>748</v>
      </c>
      <c r="B319" s="1" t="s">
        <v>149</v>
      </c>
      <c r="C319" s="1" t="s">
        <v>8</v>
      </c>
      <c r="D319" s="1" t="s">
        <v>157</v>
      </c>
      <c r="E319">
        <v>3</v>
      </c>
      <c r="F319" s="2">
        <v>45499</v>
      </c>
      <c r="G319" s="1" t="str">
        <f>VLOOKUP(Summary_Laporan_Penjualan_20248[[#This Row],[ID_Pelanggan]], Data_Pelanggan[], 2, 0)</f>
        <v>PT Maju Jaya</v>
      </c>
      <c r="H319" s="1" t="str">
        <f>VLOOKUP(Summary_Laporan_Penjualan_20248[[#This Row],[ID_Pelanggan]], Data_Pelanggan[], 4, 0)</f>
        <v>Jakarta</v>
      </c>
      <c r="I319" s="1" t="str">
        <f>VLOOKUP(Summary_Laporan_Penjualan_20248[[#This Row],[ID_Produk]], Data_Produk[], 6, 0)</f>
        <v>Semarang</v>
      </c>
      <c r="J319" s="1">
        <f>VLOOKUP(Summary_Laporan_Penjualan_20248[[#This Row],[ID_Produk]], Data_Produk[], 7, 0)</f>
        <v>100000</v>
      </c>
      <c r="K319" s="1">
        <f>VLOOKUP(Summary_Laporan_Penjualan_20248[[#This Row],[ID_Produk]], Data_Produk[], 8, 0)</f>
        <v>169000</v>
      </c>
    </row>
    <row r="320" spans="1:11" x14ac:dyDescent="0.35">
      <c r="A320" s="1" t="s">
        <v>750</v>
      </c>
      <c r="B320" s="1" t="s">
        <v>240</v>
      </c>
      <c r="C320" s="1" t="s">
        <v>8</v>
      </c>
      <c r="D320" s="1" t="s">
        <v>121</v>
      </c>
      <c r="E320">
        <v>13</v>
      </c>
      <c r="F320" s="2">
        <v>45474</v>
      </c>
      <c r="G320" s="1" t="str">
        <f>VLOOKUP(Summary_Laporan_Penjualan_20248[[#This Row],[ID_Pelanggan]], Data_Pelanggan[], 2, 0)</f>
        <v>PT Maju Jaya</v>
      </c>
      <c r="H320" s="1" t="str">
        <f>VLOOKUP(Summary_Laporan_Penjualan_20248[[#This Row],[ID_Pelanggan]], Data_Pelanggan[], 4, 0)</f>
        <v>Jakarta</v>
      </c>
      <c r="I320" s="1" t="str">
        <f>VLOOKUP(Summary_Laporan_Penjualan_20248[[#This Row],[ID_Produk]], Data_Produk[], 6, 0)</f>
        <v>Semarang</v>
      </c>
      <c r="J320" s="1">
        <f>VLOOKUP(Summary_Laporan_Penjualan_20248[[#This Row],[ID_Produk]], Data_Produk[], 7, 0)</f>
        <v>350000</v>
      </c>
      <c r="K320" s="1">
        <f>VLOOKUP(Summary_Laporan_Penjualan_20248[[#This Row],[ID_Produk]], Data_Produk[], 8, 0)</f>
        <v>626000</v>
      </c>
    </row>
    <row r="321" spans="1:11" x14ac:dyDescent="0.35">
      <c r="A321" s="1" t="s">
        <v>752</v>
      </c>
      <c r="B321" s="1" t="s">
        <v>248</v>
      </c>
      <c r="C321" s="1" t="s">
        <v>15</v>
      </c>
      <c r="D321" s="1" t="s">
        <v>143</v>
      </c>
      <c r="E321">
        <v>7</v>
      </c>
      <c r="F321" s="2">
        <v>45319</v>
      </c>
      <c r="G321" s="1" t="str">
        <f>VLOOKUP(Summary_Laporan_Penjualan_20248[[#This Row],[ID_Pelanggan]], Data_Pelanggan[], 2, 0)</f>
        <v>CV Berkah</v>
      </c>
      <c r="H321" s="1" t="str">
        <f>VLOOKUP(Summary_Laporan_Penjualan_20248[[#This Row],[ID_Pelanggan]], Data_Pelanggan[], 4, 0)</f>
        <v>Bandung</v>
      </c>
      <c r="I321" s="1" t="str">
        <f>VLOOKUP(Summary_Laporan_Penjualan_20248[[#This Row],[ID_Produk]], Data_Produk[], 6, 0)</f>
        <v>Semarang</v>
      </c>
      <c r="J321" s="1">
        <f>VLOOKUP(Summary_Laporan_Penjualan_20248[[#This Row],[ID_Produk]], Data_Produk[], 7, 0)</f>
        <v>250000</v>
      </c>
      <c r="K321" s="1">
        <f>VLOOKUP(Summary_Laporan_Penjualan_20248[[#This Row],[ID_Produk]], Data_Produk[], 8, 0)</f>
        <v>354000</v>
      </c>
    </row>
    <row r="322" spans="1:11" x14ac:dyDescent="0.35">
      <c r="A322" s="1" t="s">
        <v>754</v>
      </c>
      <c r="B322" s="1" t="s">
        <v>240</v>
      </c>
      <c r="C322" s="1" t="s">
        <v>57</v>
      </c>
      <c r="D322" s="1" t="s">
        <v>121</v>
      </c>
      <c r="E322">
        <v>12</v>
      </c>
      <c r="F322" s="2">
        <v>45480</v>
      </c>
      <c r="G322" s="1" t="str">
        <f>VLOOKUP(Summary_Laporan_Penjualan_20248[[#This Row],[ID_Pelanggan]], Data_Pelanggan[], 2, 0)</f>
        <v>PT Karya Mandiri</v>
      </c>
      <c r="H322" s="1" t="str">
        <f>VLOOKUP(Summary_Laporan_Penjualan_20248[[#This Row],[ID_Pelanggan]], Data_Pelanggan[], 4, 0)</f>
        <v>Makassar</v>
      </c>
      <c r="I322" s="1" t="str">
        <f>VLOOKUP(Summary_Laporan_Penjualan_20248[[#This Row],[ID_Produk]], Data_Produk[], 6, 0)</f>
        <v>Semarang</v>
      </c>
      <c r="J322" s="1">
        <f>VLOOKUP(Summary_Laporan_Penjualan_20248[[#This Row],[ID_Produk]], Data_Produk[], 7, 0)</f>
        <v>350000</v>
      </c>
      <c r="K322" s="1">
        <f>VLOOKUP(Summary_Laporan_Penjualan_20248[[#This Row],[ID_Produk]], Data_Produk[], 8, 0)</f>
        <v>626000</v>
      </c>
    </row>
    <row r="323" spans="1:11" x14ac:dyDescent="0.35">
      <c r="A323" s="1" t="s">
        <v>756</v>
      </c>
      <c r="B323" s="1" t="s">
        <v>248</v>
      </c>
      <c r="C323" s="1" t="s">
        <v>69</v>
      </c>
      <c r="D323" s="1" t="s">
        <v>171</v>
      </c>
      <c r="E323">
        <v>13</v>
      </c>
      <c r="F323" s="2">
        <v>45325</v>
      </c>
      <c r="G323" s="1" t="str">
        <f>VLOOKUP(Summary_Laporan_Penjualan_20248[[#This Row],[ID_Pelanggan]], Data_Pelanggan[], 2, 0)</f>
        <v>PT Teknologi Prima</v>
      </c>
      <c r="H323" s="1" t="str">
        <f>VLOOKUP(Summary_Laporan_Penjualan_20248[[#This Row],[ID_Pelanggan]], Data_Pelanggan[], 4, 0)</f>
        <v>Jakarta</v>
      </c>
      <c r="I323" s="1" t="str">
        <f>VLOOKUP(Summary_Laporan_Penjualan_20248[[#This Row],[ID_Produk]], Data_Produk[], 6, 0)</f>
        <v>Semarang</v>
      </c>
      <c r="J323" s="1">
        <f>VLOOKUP(Summary_Laporan_Penjualan_20248[[#This Row],[ID_Produk]], Data_Produk[], 7, 0)</f>
        <v>250000</v>
      </c>
      <c r="K323" s="1">
        <f>VLOOKUP(Summary_Laporan_Penjualan_20248[[#This Row],[ID_Produk]], Data_Produk[], 8, 0)</f>
        <v>354000</v>
      </c>
    </row>
    <row r="324" spans="1:11" x14ac:dyDescent="0.35">
      <c r="A324" s="1" t="s">
        <v>758</v>
      </c>
      <c r="B324" s="1" t="s">
        <v>240</v>
      </c>
      <c r="C324" s="1" t="s">
        <v>15</v>
      </c>
      <c r="D324" s="1" t="s">
        <v>121</v>
      </c>
      <c r="E324">
        <v>13</v>
      </c>
      <c r="F324" s="2">
        <v>45650</v>
      </c>
      <c r="G324" s="1" t="str">
        <f>VLOOKUP(Summary_Laporan_Penjualan_20248[[#This Row],[ID_Pelanggan]], Data_Pelanggan[], 2, 0)</f>
        <v>CV Berkah</v>
      </c>
      <c r="H324" s="1" t="str">
        <f>VLOOKUP(Summary_Laporan_Penjualan_20248[[#This Row],[ID_Pelanggan]], Data_Pelanggan[], 4, 0)</f>
        <v>Bandung</v>
      </c>
      <c r="I324" s="1" t="str">
        <f>VLOOKUP(Summary_Laporan_Penjualan_20248[[#This Row],[ID_Produk]], Data_Produk[], 6, 0)</f>
        <v>Semarang</v>
      </c>
      <c r="J324" s="1">
        <f>VLOOKUP(Summary_Laporan_Penjualan_20248[[#This Row],[ID_Produk]], Data_Produk[], 7, 0)</f>
        <v>350000</v>
      </c>
      <c r="K324" s="1">
        <f>VLOOKUP(Summary_Laporan_Penjualan_20248[[#This Row],[ID_Produk]], Data_Produk[], 8, 0)</f>
        <v>626000</v>
      </c>
    </row>
    <row r="325" spans="1:11" x14ac:dyDescent="0.35">
      <c r="A325" s="1" t="s">
        <v>760</v>
      </c>
      <c r="B325" s="1" t="s">
        <v>173</v>
      </c>
      <c r="C325" s="1" t="s">
        <v>15</v>
      </c>
      <c r="D325" s="1" t="s">
        <v>121</v>
      </c>
      <c r="E325">
        <v>5</v>
      </c>
      <c r="F325" s="2">
        <v>45504</v>
      </c>
      <c r="G325" s="1" t="str">
        <f>VLOOKUP(Summary_Laporan_Penjualan_20248[[#This Row],[ID_Pelanggan]], Data_Pelanggan[], 2, 0)</f>
        <v>CV Berkah</v>
      </c>
      <c r="H325" s="1" t="str">
        <f>VLOOKUP(Summary_Laporan_Penjualan_20248[[#This Row],[ID_Pelanggan]], Data_Pelanggan[], 4, 0)</f>
        <v>Bandung</v>
      </c>
      <c r="I325" s="1" t="str">
        <f>VLOOKUP(Summary_Laporan_Penjualan_20248[[#This Row],[ID_Produk]], Data_Produk[], 6, 0)</f>
        <v>Depok</v>
      </c>
      <c r="J325" s="1">
        <f>VLOOKUP(Summary_Laporan_Penjualan_20248[[#This Row],[ID_Produk]], Data_Produk[], 7, 0)</f>
        <v>80000</v>
      </c>
      <c r="K325" s="1">
        <f>VLOOKUP(Summary_Laporan_Penjualan_20248[[#This Row],[ID_Produk]], Data_Produk[], 8, 0)</f>
        <v>92000</v>
      </c>
    </row>
    <row r="326" spans="1:11" x14ac:dyDescent="0.35">
      <c r="A326" s="1" t="s">
        <v>762</v>
      </c>
      <c r="B326" s="1" t="s">
        <v>176</v>
      </c>
      <c r="C326" s="1" t="s">
        <v>35</v>
      </c>
      <c r="D326" s="1" t="s">
        <v>157</v>
      </c>
      <c r="E326">
        <v>15</v>
      </c>
      <c r="F326" s="2">
        <v>45419</v>
      </c>
      <c r="G326" s="1" t="str">
        <f>VLOOKUP(Summary_Laporan_Penjualan_20248[[#This Row],[ID_Pelanggan]], Data_Pelanggan[], 2, 0)</f>
        <v>PT Digital Nusantara</v>
      </c>
      <c r="H326" s="1" t="str">
        <f>VLOOKUP(Summary_Laporan_Penjualan_20248[[#This Row],[ID_Pelanggan]], Data_Pelanggan[], 4, 0)</f>
        <v>Jakarta</v>
      </c>
      <c r="I326" s="1" t="str">
        <f>VLOOKUP(Summary_Laporan_Penjualan_20248[[#This Row],[ID_Produk]], Data_Produk[], 6, 0)</f>
        <v>Depok</v>
      </c>
      <c r="J326" s="1">
        <f>VLOOKUP(Summary_Laporan_Penjualan_20248[[#This Row],[ID_Produk]], Data_Produk[], 7, 0)</f>
        <v>1500000</v>
      </c>
      <c r="K326" s="1">
        <f>VLOOKUP(Summary_Laporan_Penjualan_20248[[#This Row],[ID_Produk]], Data_Produk[], 8, 0)</f>
        <v>1772000</v>
      </c>
    </row>
    <row r="327" spans="1:11" x14ac:dyDescent="0.35">
      <c r="A327" s="1" t="s">
        <v>764</v>
      </c>
      <c r="B327" s="1" t="s">
        <v>168</v>
      </c>
      <c r="C327" s="1" t="s">
        <v>78</v>
      </c>
      <c r="D327" s="1" t="s">
        <v>128</v>
      </c>
      <c r="E327">
        <v>9</v>
      </c>
      <c r="F327" s="2">
        <v>45548</v>
      </c>
      <c r="G327" s="1" t="str">
        <f>VLOOKUP(Summary_Laporan_Penjualan_20248[[#This Row],[ID_Pelanggan]], Data_Pelanggan[], 2, 0)</f>
        <v>CV Sinar Terang</v>
      </c>
      <c r="H327" s="1" t="str">
        <f>VLOOKUP(Summary_Laporan_Penjualan_20248[[#This Row],[ID_Pelanggan]], Data_Pelanggan[], 4, 0)</f>
        <v>Bandung</v>
      </c>
      <c r="I327" s="1" t="str">
        <f>VLOOKUP(Summary_Laporan_Penjualan_20248[[#This Row],[ID_Produk]], Data_Produk[], 6, 0)</f>
        <v>Semarang</v>
      </c>
      <c r="J327" s="1">
        <f>VLOOKUP(Summary_Laporan_Penjualan_20248[[#This Row],[ID_Produk]], Data_Produk[], 7, 0)</f>
        <v>500000</v>
      </c>
      <c r="K327" s="1">
        <f>VLOOKUP(Summary_Laporan_Penjualan_20248[[#This Row],[ID_Produk]], Data_Produk[], 8, 0)</f>
        <v>844000</v>
      </c>
    </row>
    <row r="328" spans="1:11" x14ac:dyDescent="0.35">
      <c r="A328" s="1" t="s">
        <v>766</v>
      </c>
      <c r="B328" s="1" t="s">
        <v>111</v>
      </c>
      <c r="C328" s="1" t="s">
        <v>87</v>
      </c>
      <c r="D328" s="1" t="s">
        <v>143</v>
      </c>
      <c r="E328">
        <v>3</v>
      </c>
      <c r="F328" s="2">
        <v>45606</v>
      </c>
      <c r="G328" s="1" t="str">
        <f>VLOOKUP(Summary_Laporan_Penjualan_20248[[#This Row],[ID_Pelanggan]], Data_Pelanggan[], 2, 0)</f>
        <v>PT Indo Digital</v>
      </c>
      <c r="H328" s="1" t="str">
        <f>VLOOKUP(Summary_Laporan_Penjualan_20248[[#This Row],[ID_Pelanggan]], Data_Pelanggan[], 4, 0)</f>
        <v>Tangerang</v>
      </c>
      <c r="I328" s="1" t="str">
        <f>VLOOKUP(Summary_Laporan_Penjualan_20248[[#This Row],[ID_Produk]], Data_Produk[], 6, 0)</f>
        <v>Depok</v>
      </c>
      <c r="J328" s="1">
        <f>VLOOKUP(Summary_Laporan_Penjualan_20248[[#This Row],[ID_Produk]], Data_Produk[], 7, 0)</f>
        <v>18000000</v>
      </c>
      <c r="K328" s="1">
        <f>VLOOKUP(Summary_Laporan_Penjualan_20248[[#This Row],[ID_Produk]], Data_Produk[], 8, 0)</f>
        <v>27603000</v>
      </c>
    </row>
    <row r="329" spans="1:11" x14ac:dyDescent="0.35">
      <c r="A329" s="1" t="s">
        <v>768</v>
      </c>
      <c r="B329" s="1" t="s">
        <v>113</v>
      </c>
      <c r="C329" s="1" t="s">
        <v>21</v>
      </c>
      <c r="D329" s="1" t="s">
        <v>143</v>
      </c>
      <c r="E329">
        <v>11</v>
      </c>
      <c r="F329" s="2">
        <v>45562</v>
      </c>
      <c r="G329" s="1" t="str">
        <f>VLOOKUP(Summary_Laporan_Penjualan_20248[[#This Row],[ID_Pelanggan]], Data_Pelanggan[], 2, 0)</f>
        <v>Toko Komputer Sejahtera</v>
      </c>
      <c r="H329" s="1" t="str">
        <f>VLOOKUP(Summary_Laporan_Penjualan_20248[[#This Row],[ID_Pelanggan]], Data_Pelanggan[], 4, 0)</f>
        <v>Surabaya</v>
      </c>
      <c r="I329" s="1" t="str">
        <f>VLOOKUP(Summary_Laporan_Penjualan_20248[[#This Row],[ID_Produk]], Data_Produk[], 6, 0)</f>
        <v>Depok</v>
      </c>
      <c r="J329" s="1">
        <f>VLOOKUP(Summary_Laporan_Penjualan_20248[[#This Row],[ID_Produk]], Data_Produk[], 7, 0)</f>
        <v>4500000</v>
      </c>
      <c r="K329" s="1">
        <f>VLOOKUP(Summary_Laporan_Penjualan_20248[[#This Row],[ID_Produk]], Data_Produk[], 8, 0)</f>
        <v>5522000</v>
      </c>
    </row>
    <row r="330" spans="1:11" x14ac:dyDescent="0.35">
      <c r="A330" s="1" t="s">
        <v>770</v>
      </c>
      <c r="B330" s="1" t="s">
        <v>272</v>
      </c>
      <c r="C330" s="1" t="s">
        <v>78</v>
      </c>
      <c r="D330" s="1" t="s">
        <v>124</v>
      </c>
      <c r="E330">
        <v>6</v>
      </c>
      <c r="F330" s="2">
        <v>45338</v>
      </c>
      <c r="G330" s="1" t="str">
        <f>VLOOKUP(Summary_Laporan_Penjualan_20248[[#This Row],[ID_Pelanggan]], Data_Pelanggan[], 2, 0)</f>
        <v>CV Sinar Terang</v>
      </c>
      <c r="H330" s="1" t="str">
        <f>VLOOKUP(Summary_Laporan_Penjualan_20248[[#This Row],[ID_Pelanggan]], Data_Pelanggan[], 4, 0)</f>
        <v>Bandung</v>
      </c>
      <c r="I330" s="1" t="str">
        <f>VLOOKUP(Summary_Laporan_Penjualan_20248[[#This Row],[ID_Produk]], Data_Produk[], 6, 0)</f>
        <v>Depok</v>
      </c>
      <c r="J330" s="1">
        <f>VLOOKUP(Summary_Laporan_Penjualan_20248[[#This Row],[ID_Produk]], Data_Produk[], 7, 0)</f>
        <v>650000</v>
      </c>
      <c r="K330" s="1">
        <f>VLOOKUP(Summary_Laporan_Penjualan_20248[[#This Row],[ID_Produk]], Data_Produk[], 8, 0)</f>
        <v>741000</v>
      </c>
    </row>
    <row r="331" spans="1:11" x14ac:dyDescent="0.35">
      <c r="A331" s="1" t="s">
        <v>772</v>
      </c>
      <c r="B331" s="1" t="s">
        <v>248</v>
      </c>
      <c r="C331" s="1" t="s">
        <v>45</v>
      </c>
      <c r="D331" s="1" t="s">
        <v>171</v>
      </c>
      <c r="E331">
        <v>4</v>
      </c>
      <c r="F331" s="2">
        <v>45614</v>
      </c>
      <c r="G331" s="1" t="str">
        <f>VLOOKUP(Summary_Laporan_Penjualan_20248[[#This Row],[ID_Pelanggan]], Data_Pelanggan[], 2, 0)</f>
        <v>CV Techno</v>
      </c>
      <c r="H331" s="1" t="str">
        <f>VLOOKUP(Summary_Laporan_Penjualan_20248[[#This Row],[ID_Pelanggan]], Data_Pelanggan[], 4, 0)</f>
        <v>Yogyakarta</v>
      </c>
      <c r="I331" s="1" t="str">
        <f>VLOOKUP(Summary_Laporan_Penjualan_20248[[#This Row],[ID_Produk]], Data_Produk[], 6, 0)</f>
        <v>Semarang</v>
      </c>
      <c r="J331" s="1">
        <f>VLOOKUP(Summary_Laporan_Penjualan_20248[[#This Row],[ID_Produk]], Data_Produk[], 7, 0)</f>
        <v>250000</v>
      </c>
      <c r="K331" s="1">
        <f>VLOOKUP(Summary_Laporan_Penjualan_20248[[#This Row],[ID_Produk]], Data_Produk[], 8, 0)</f>
        <v>354000</v>
      </c>
    </row>
    <row r="332" spans="1:11" x14ac:dyDescent="0.35">
      <c r="A332" s="1" t="s">
        <v>774</v>
      </c>
      <c r="B332" s="1" t="s">
        <v>168</v>
      </c>
      <c r="C332" s="1" t="s">
        <v>78</v>
      </c>
      <c r="D332" s="1" t="s">
        <v>121</v>
      </c>
      <c r="E332">
        <v>6</v>
      </c>
      <c r="F332" s="2">
        <v>45523</v>
      </c>
      <c r="G332" s="1" t="str">
        <f>VLOOKUP(Summary_Laporan_Penjualan_20248[[#This Row],[ID_Pelanggan]], Data_Pelanggan[], 2, 0)</f>
        <v>CV Sinar Terang</v>
      </c>
      <c r="H332" s="1" t="str">
        <f>VLOOKUP(Summary_Laporan_Penjualan_20248[[#This Row],[ID_Pelanggan]], Data_Pelanggan[], 4, 0)</f>
        <v>Bandung</v>
      </c>
      <c r="I332" s="1" t="str">
        <f>VLOOKUP(Summary_Laporan_Penjualan_20248[[#This Row],[ID_Produk]], Data_Produk[], 6, 0)</f>
        <v>Semarang</v>
      </c>
      <c r="J332" s="1">
        <f>VLOOKUP(Summary_Laporan_Penjualan_20248[[#This Row],[ID_Produk]], Data_Produk[], 7, 0)</f>
        <v>500000</v>
      </c>
      <c r="K332" s="1">
        <f>VLOOKUP(Summary_Laporan_Penjualan_20248[[#This Row],[ID_Produk]], Data_Produk[], 8, 0)</f>
        <v>844000</v>
      </c>
    </row>
    <row r="333" spans="1:11" x14ac:dyDescent="0.35">
      <c r="A333" s="1" t="s">
        <v>776</v>
      </c>
      <c r="B333" s="1" t="s">
        <v>106</v>
      </c>
      <c r="C333" s="1" t="s">
        <v>51</v>
      </c>
      <c r="D333" s="1" t="s">
        <v>143</v>
      </c>
      <c r="E333">
        <v>14</v>
      </c>
      <c r="F333" s="2">
        <v>45600</v>
      </c>
      <c r="G333" s="1" t="str">
        <f>VLOOKUP(Summary_Laporan_Penjualan_20248[[#This Row],[ID_Pelanggan]], Data_Pelanggan[], 2, 0)</f>
        <v>Toko Musik Digital</v>
      </c>
      <c r="H333" s="1" t="str">
        <f>VLOOKUP(Summary_Laporan_Penjualan_20248[[#This Row],[ID_Pelanggan]], Data_Pelanggan[], 4, 0)</f>
        <v>Denpasar</v>
      </c>
      <c r="I333" s="1" t="str">
        <f>VLOOKUP(Summary_Laporan_Penjualan_20248[[#This Row],[ID_Produk]], Data_Produk[], 6, 0)</f>
        <v>Depok</v>
      </c>
      <c r="J333" s="1">
        <f>VLOOKUP(Summary_Laporan_Penjualan_20248[[#This Row],[ID_Produk]], Data_Produk[], 7, 0)</f>
        <v>300000</v>
      </c>
      <c r="K333" s="1">
        <f>VLOOKUP(Summary_Laporan_Penjualan_20248[[#This Row],[ID_Produk]], Data_Produk[], 8, 0)</f>
        <v>355000</v>
      </c>
    </row>
    <row r="334" spans="1:11" x14ac:dyDescent="0.35">
      <c r="A334" s="1" t="s">
        <v>777</v>
      </c>
      <c r="B334" s="1" t="s">
        <v>111</v>
      </c>
      <c r="C334" s="1" t="s">
        <v>35</v>
      </c>
      <c r="D334" s="1" t="s">
        <v>171</v>
      </c>
      <c r="E334">
        <v>4</v>
      </c>
      <c r="F334" s="2">
        <v>45389</v>
      </c>
      <c r="G334" s="1" t="str">
        <f>VLOOKUP(Summary_Laporan_Penjualan_20248[[#This Row],[ID_Pelanggan]], Data_Pelanggan[], 2, 0)</f>
        <v>PT Digital Nusantara</v>
      </c>
      <c r="H334" s="1" t="str">
        <f>VLOOKUP(Summary_Laporan_Penjualan_20248[[#This Row],[ID_Pelanggan]], Data_Pelanggan[], 4, 0)</f>
        <v>Jakarta</v>
      </c>
      <c r="I334" s="1" t="str">
        <f>VLOOKUP(Summary_Laporan_Penjualan_20248[[#This Row],[ID_Produk]], Data_Produk[], 6, 0)</f>
        <v>Depok</v>
      </c>
      <c r="J334" s="1">
        <f>VLOOKUP(Summary_Laporan_Penjualan_20248[[#This Row],[ID_Produk]], Data_Produk[], 7, 0)</f>
        <v>18000000</v>
      </c>
      <c r="K334" s="1">
        <f>VLOOKUP(Summary_Laporan_Penjualan_20248[[#This Row],[ID_Produk]], Data_Produk[], 8, 0)</f>
        <v>27603000</v>
      </c>
    </row>
    <row r="335" spans="1:11" x14ac:dyDescent="0.35">
      <c r="A335" s="1" t="s">
        <v>779</v>
      </c>
      <c r="B335" s="1" t="s">
        <v>164</v>
      </c>
      <c r="C335" s="1" t="s">
        <v>73</v>
      </c>
      <c r="D335" s="1" t="s">
        <v>157</v>
      </c>
      <c r="E335">
        <v>3</v>
      </c>
      <c r="F335" s="2">
        <v>45295</v>
      </c>
      <c r="G335" s="1" t="str">
        <f>VLOOKUP(Summary_Laporan_Penjualan_20248[[#This Row],[ID_Pelanggan]], Data_Pelanggan[], 2, 0)</f>
        <v>Toko Gadget Center</v>
      </c>
      <c r="H335" s="1" t="str">
        <f>VLOOKUP(Summary_Laporan_Penjualan_20248[[#This Row],[ID_Pelanggan]], Data_Pelanggan[], 4, 0)</f>
        <v>Malang</v>
      </c>
      <c r="I335" s="1" t="str">
        <f>VLOOKUP(Summary_Laporan_Penjualan_20248[[#This Row],[ID_Produk]], Data_Produk[], 6, 0)</f>
        <v>Jakarta</v>
      </c>
      <c r="J335" s="1">
        <f>VLOOKUP(Summary_Laporan_Penjualan_20248[[#This Row],[ID_Produk]], Data_Produk[], 7, 0)</f>
        <v>750000</v>
      </c>
      <c r="K335" s="1">
        <f>VLOOKUP(Summary_Laporan_Penjualan_20248[[#This Row],[ID_Produk]], Data_Produk[], 8, 0)</f>
        <v>971000</v>
      </c>
    </row>
    <row r="336" spans="1:11" x14ac:dyDescent="0.35">
      <c r="A336" s="1" t="s">
        <v>781</v>
      </c>
      <c r="B336" s="1" t="s">
        <v>137</v>
      </c>
      <c r="C336" s="1" t="s">
        <v>69</v>
      </c>
      <c r="D336" s="1" t="s">
        <v>121</v>
      </c>
      <c r="E336">
        <v>9</v>
      </c>
      <c r="F336" s="2">
        <v>45380</v>
      </c>
      <c r="G336" s="1" t="str">
        <f>VLOOKUP(Summary_Laporan_Penjualan_20248[[#This Row],[ID_Pelanggan]], Data_Pelanggan[], 2, 0)</f>
        <v>PT Teknologi Prima</v>
      </c>
      <c r="H336" s="1" t="str">
        <f>VLOOKUP(Summary_Laporan_Penjualan_20248[[#This Row],[ID_Pelanggan]], Data_Pelanggan[], 4, 0)</f>
        <v>Jakarta</v>
      </c>
      <c r="I336" s="1" t="str">
        <f>VLOOKUP(Summary_Laporan_Penjualan_20248[[#This Row],[ID_Produk]], Data_Produk[], 6, 0)</f>
        <v>Jakarta</v>
      </c>
      <c r="J336" s="1">
        <f>VLOOKUP(Summary_Laporan_Penjualan_20248[[#This Row],[ID_Produk]], Data_Produk[], 7, 0)</f>
        <v>2000000</v>
      </c>
      <c r="K336" s="1">
        <f>VLOOKUP(Summary_Laporan_Penjualan_20248[[#This Row],[ID_Produk]], Data_Produk[], 8, 0)</f>
        <v>2533000</v>
      </c>
    </row>
    <row r="337" spans="1:11" x14ac:dyDescent="0.35">
      <c r="A337" s="1" t="s">
        <v>783</v>
      </c>
      <c r="B337" s="1" t="s">
        <v>188</v>
      </c>
      <c r="C337" s="1" t="s">
        <v>35</v>
      </c>
      <c r="D337" s="1" t="s">
        <v>121</v>
      </c>
      <c r="E337">
        <v>15</v>
      </c>
      <c r="F337" s="2">
        <v>45379</v>
      </c>
      <c r="G337" s="1" t="str">
        <f>VLOOKUP(Summary_Laporan_Penjualan_20248[[#This Row],[ID_Pelanggan]], Data_Pelanggan[], 2, 0)</f>
        <v>PT Digital Nusantara</v>
      </c>
      <c r="H337" s="1" t="str">
        <f>VLOOKUP(Summary_Laporan_Penjualan_20248[[#This Row],[ID_Pelanggan]], Data_Pelanggan[], 4, 0)</f>
        <v>Jakarta</v>
      </c>
      <c r="I337" s="1" t="str">
        <f>VLOOKUP(Summary_Laporan_Penjualan_20248[[#This Row],[ID_Produk]], Data_Produk[], 6, 0)</f>
        <v>Semarang</v>
      </c>
      <c r="J337" s="1">
        <f>VLOOKUP(Summary_Laporan_Penjualan_20248[[#This Row],[ID_Produk]], Data_Produk[], 7, 0)</f>
        <v>2800000</v>
      </c>
      <c r="K337" s="1">
        <f>VLOOKUP(Summary_Laporan_Penjualan_20248[[#This Row],[ID_Produk]], Data_Produk[], 8, 0)</f>
        <v>4747000</v>
      </c>
    </row>
    <row r="338" spans="1:11" x14ac:dyDescent="0.35">
      <c r="A338" s="1" t="s">
        <v>785</v>
      </c>
      <c r="B338" s="1" t="s">
        <v>172</v>
      </c>
      <c r="C338" s="1" t="s">
        <v>73</v>
      </c>
      <c r="D338" s="1" t="s">
        <v>143</v>
      </c>
      <c r="E338">
        <v>5</v>
      </c>
      <c r="F338" s="2">
        <v>45342</v>
      </c>
      <c r="G338" s="1" t="str">
        <f>VLOOKUP(Summary_Laporan_Penjualan_20248[[#This Row],[ID_Pelanggan]], Data_Pelanggan[], 2, 0)</f>
        <v>Toko Gadget Center</v>
      </c>
      <c r="H338" s="1" t="str">
        <f>VLOOKUP(Summary_Laporan_Penjualan_20248[[#This Row],[ID_Pelanggan]], Data_Pelanggan[], 4, 0)</f>
        <v>Malang</v>
      </c>
      <c r="I338" s="1" t="str">
        <f>VLOOKUP(Summary_Laporan_Penjualan_20248[[#This Row],[ID_Produk]], Data_Produk[], 6, 0)</f>
        <v>Semarang</v>
      </c>
      <c r="J338" s="1">
        <f>VLOOKUP(Summary_Laporan_Penjualan_20248[[#This Row],[ID_Produk]], Data_Produk[], 7, 0)</f>
        <v>950000</v>
      </c>
      <c r="K338" s="1">
        <f>VLOOKUP(Summary_Laporan_Penjualan_20248[[#This Row],[ID_Produk]], Data_Produk[], 8, 0)</f>
        <v>1649000</v>
      </c>
    </row>
    <row r="339" spans="1:11" x14ac:dyDescent="0.35">
      <c r="A339" s="1" t="s">
        <v>787</v>
      </c>
      <c r="B339" s="1" t="s">
        <v>188</v>
      </c>
      <c r="C339" s="1" t="s">
        <v>45</v>
      </c>
      <c r="D339" s="1" t="s">
        <v>124</v>
      </c>
      <c r="E339">
        <v>14</v>
      </c>
      <c r="F339" s="2">
        <v>45441</v>
      </c>
      <c r="G339" s="1" t="str">
        <f>VLOOKUP(Summary_Laporan_Penjualan_20248[[#This Row],[ID_Pelanggan]], Data_Pelanggan[], 2, 0)</f>
        <v>CV Techno</v>
      </c>
      <c r="H339" s="1" t="str">
        <f>VLOOKUP(Summary_Laporan_Penjualan_20248[[#This Row],[ID_Pelanggan]], Data_Pelanggan[], 4, 0)</f>
        <v>Yogyakarta</v>
      </c>
      <c r="I339" s="1" t="str">
        <f>VLOOKUP(Summary_Laporan_Penjualan_20248[[#This Row],[ID_Produk]], Data_Produk[], 6, 0)</f>
        <v>Semarang</v>
      </c>
      <c r="J339" s="1">
        <f>VLOOKUP(Summary_Laporan_Penjualan_20248[[#This Row],[ID_Produk]], Data_Produk[], 7, 0)</f>
        <v>2800000</v>
      </c>
      <c r="K339" s="1">
        <f>VLOOKUP(Summary_Laporan_Penjualan_20248[[#This Row],[ID_Produk]], Data_Produk[], 8, 0)</f>
        <v>4747000</v>
      </c>
    </row>
    <row r="340" spans="1:11" x14ac:dyDescent="0.35">
      <c r="A340" s="1" t="s">
        <v>789</v>
      </c>
      <c r="B340" s="1" t="s">
        <v>141</v>
      </c>
      <c r="C340" s="1" t="s">
        <v>78</v>
      </c>
      <c r="D340" s="1" t="s">
        <v>121</v>
      </c>
      <c r="E340">
        <v>9</v>
      </c>
      <c r="F340" s="2">
        <v>45345</v>
      </c>
      <c r="G340" s="1" t="str">
        <f>VLOOKUP(Summary_Laporan_Penjualan_20248[[#This Row],[ID_Pelanggan]], Data_Pelanggan[], 2, 0)</f>
        <v>CV Sinar Terang</v>
      </c>
      <c r="H340" s="1" t="str">
        <f>VLOOKUP(Summary_Laporan_Penjualan_20248[[#This Row],[ID_Pelanggan]], Data_Pelanggan[], 4, 0)</f>
        <v>Bandung</v>
      </c>
      <c r="I340" s="1" t="str">
        <f>VLOOKUP(Summary_Laporan_Penjualan_20248[[#This Row],[ID_Produk]], Data_Produk[], 6, 0)</f>
        <v>Semarang</v>
      </c>
      <c r="J340" s="1">
        <f>VLOOKUP(Summary_Laporan_Penjualan_20248[[#This Row],[ID_Produk]], Data_Produk[], 7, 0)</f>
        <v>400000</v>
      </c>
      <c r="K340" s="1">
        <f>VLOOKUP(Summary_Laporan_Penjualan_20248[[#This Row],[ID_Produk]], Data_Produk[], 8, 0)</f>
        <v>623000</v>
      </c>
    </row>
    <row r="341" spans="1:11" x14ac:dyDescent="0.35">
      <c r="A341" s="1" t="s">
        <v>791</v>
      </c>
      <c r="B341" s="1" t="s">
        <v>116</v>
      </c>
      <c r="C341" s="1" t="s">
        <v>35</v>
      </c>
      <c r="D341" s="1" t="s">
        <v>124</v>
      </c>
      <c r="E341">
        <v>4</v>
      </c>
      <c r="F341" s="2">
        <v>45622</v>
      </c>
      <c r="G341" s="1" t="str">
        <f>VLOOKUP(Summary_Laporan_Penjualan_20248[[#This Row],[ID_Pelanggan]], Data_Pelanggan[], 2, 0)</f>
        <v>PT Digital Nusantara</v>
      </c>
      <c r="H341" s="1" t="str">
        <f>VLOOKUP(Summary_Laporan_Penjualan_20248[[#This Row],[ID_Pelanggan]], Data_Pelanggan[], 4, 0)</f>
        <v>Jakarta</v>
      </c>
      <c r="I341" s="1" t="str">
        <f>VLOOKUP(Summary_Laporan_Penjualan_20248[[#This Row],[ID_Produk]], Data_Produk[], 6, 0)</f>
        <v>Depok</v>
      </c>
      <c r="J341" s="1">
        <f>VLOOKUP(Summary_Laporan_Penjualan_20248[[#This Row],[ID_Produk]], Data_Produk[], 7, 0)</f>
        <v>5000000</v>
      </c>
      <c r="K341" s="1">
        <f>VLOOKUP(Summary_Laporan_Penjualan_20248[[#This Row],[ID_Produk]], Data_Produk[], 8, 0)</f>
        <v>7546000</v>
      </c>
    </row>
    <row r="342" spans="1:11" x14ac:dyDescent="0.35">
      <c r="A342" s="1" t="s">
        <v>793</v>
      </c>
      <c r="B342" s="1" t="s">
        <v>191</v>
      </c>
      <c r="C342" s="1" t="s">
        <v>63</v>
      </c>
      <c r="D342" s="1" t="s">
        <v>143</v>
      </c>
      <c r="E342">
        <v>14</v>
      </c>
      <c r="F342" s="2">
        <v>45657</v>
      </c>
      <c r="G342" s="1" t="str">
        <f>VLOOKUP(Summary_Laporan_Penjualan_20248[[#This Row],[ID_Pelanggan]], Data_Pelanggan[], 2, 0)</f>
        <v>UD Makmur</v>
      </c>
      <c r="H342" s="1" t="str">
        <f>VLOOKUP(Summary_Laporan_Penjualan_20248[[#This Row],[ID_Pelanggan]], Data_Pelanggan[], 4, 0)</f>
        <v>Palembang</v>
      </c>
      <c r="I342" s="1" t="str">
        <f>VLOOKUP(Summary_Laporan_Penjualan_20248[[#This Row],[ID_Produk]], Data_Produk[], 6, 0)</f>
        <v>Jakarta</v>
      </c>
      <c r="J342" s="1">
        <f>VLOOKUP(Summary_Laporan_Penjualan_20248[[#This Row],[ID_Produk]], Data_Produk[], 7, 0)</f>
        <v>12000000</v>
      </c>
      <c r="K342" s="1">
        <f>VLOOKUP(Summary_Laporan_Penjualan_20248[[#This Row],[ID_Produk]], Data_Produk[], 8, 0)</f>
        <v>13963000</v>
      </c>
    </row>
    <row r="343" spans="1:11" x14ac:dyDescent="0.35">
      <c r="A343" s="1" t="s">
        <v>795</v>
      </c>
      <c r="B343" s="1" t="s">
        <v>141</v>
      </c>
      <c r="C343" s="1" t="s">
        <v>8</v>
      </c>
      <c r="D343" s="1" t="s">
        <v>124</v>
      </c>
      <c r="E343">
        <v>13</v>
      </c>
      <c r="F343" s="2">
        <v>45412</v>
      </c>
      <c r="G343" s="1" t="str">
        <f>VLOOKUP(Summary_Laporan_Penjualan_20248[[#This Row],[ID_Pelanggan]], Data_Pelanggan[], 2, 0)</f>
        <v>PT Maju Jaya</v>
      </c>
      <c r="H343" s="1" t="str">
        <f>VLOOKUP(Summary_Laporan_Penjualan_20248[[#This Row],[ID_Pelanggan]], Data_Pelanggan[], 4, 0)</f>
        <v>Jakarta</v>
      </c>
      <c r="I343" s="1" t="str">
        <f>VLOOKUP(Summary_Laporan_Penjualan_20248[[#This Row],[ID_Produk]], Data_Produk[], 6, 0)</f>
        <v>Semarang</v>
      </c>
      <c r="J343" s="1">
        <f>VLOOKUP(Summary_Laporan_Penjualan_20248[[#This Row],[ID_Produk]], Data_Produk[], 7, 0)</f>
        <v>400000</v>
      </c>
      <c r="K343" s="1">
        <f>VLOOKUP(Summary_Laporan_Penjualan_20248[[#This Row],[ID_Produk]], Data_Produk[], 8, 0)</f>
        <v>623000</v>
      </c>
    </row>
    <row r="344" spans="1:11" x14ac:dyDescent="0.35">
      <c r="A344" s="1" t="s">
        <v>797</v>
      </c>
      <c r="B344" s="1" t="s">
        <v>109</v>
      </c>
      <c r="C344" s="1" t="s">
        <v>63</v>
      </c>
      <c r="D344" s="1" t="s">
        <v>128</v>
      </c>
      <c r="E344">
        <v>15</v>
      </c>
      <c r="F344" s="2">
        <v>45544</v>
      </c>
      <c r="G344" s="1" t="str">
        <f>VLOOKUP(Summary_Laporan_Penjualan_20248[[#This Row],[ID_Pelanggan]], Data_Pelanggan[], 2, 0)</f>
        <v>UD Makmur</v>
      </c>
      <c r="H344" s="1" t="str">
        <f>VLOOKUP(Summary_Laporan_Penjualan_20248[[#This Row],[ID_Pelanggan]], Data_Pelanggan[], 4, 0)</f>
        <v>Palembang</v>
      </c>
      <c r="I344" s="1" t="str">
        <f>VLOOKUP(Summary_Laporan_Penjualan_20248[[#This Row],[ID_Produk]], Data_Produk[], 6, 0)</f>
        <v>Semarang</v>
      </c>
      <c r="J344" s="1">
        <f>VLOOKUP(Summary_Laporan_Penjualan_20248[[#This Row],[ID_Produk]], Data_Produk[], 7, 0)</f>
        <v>2000000</v>
      </c>
      <c r="K344" s="1">
        <f>VLOOKUP(Summary_Laporan_Penjualan_20248[[#This Row],[ID_Produk]], Data_Produk[], 8, 0)</f>
        <v>3382000</v>
      </c>
    </row>
    <row r="345" spans="1:11" x14ac:dyDescent="0.35">
      <c r="A345" s="1" t="s">
        <v>799</v>
      </c>
      <c r="B345" s="1" t="s">
        <v>113</v>
      </c>
      <c r="C345" s="1" t="s">
        <v>73</v>
      </c>
      <c r="D345" s="1" t="s">
        <v>128</v>
      </c>
      <c r="E345">
        <v>5</v>
      </c>
      <c r="F345" s="2">
        <v>45481</v>
      </c>
      <c r="G345" s="1" t="str">
        <f>VLOOKUP(Summary_Laporan_Penjualan_20248[[#This Row],[ID_Pelanggan]], Data_Pelanggan[], 2, 0)</f>
        <v>Toko Gadget Center</v>
      </c>
      <c r="H345" s="1" t="str">
        <f>VLOOKUP(Summary_Laporan_Penjualan_20248[[#This Row],[ID_Pelanggan]], Data_Pelanggan[], 4, 0)</f>
        <v>Malang</v>
      </c>
      <c r="I345" s="1" t="str">
        <f>VLOOKUP(Summary_Laporan_Penjualan_20248[[#This Row],[ID_Produk]], Data_Produk[], 6, 0)</f>
        <v>Depok</v>
      </c>
      <c r="J345" s="1">
        <f>VLOOKUP(Summary_Laporan_Penjualan_20248[[#This Row],[ID_Produk]], Data_Produk[], 7, 0)</f>
        <v>4500000</v>
      </c>
      <c r="K345" s="1">
        <f>VLOOKUP(Summary_Laporan_Penjualan_20248[[#This Row],[ID_Produk]], Data_Produk[], 8, 0)</f>
        <v>5522000</v>
      </c>
    </row>
    <row r="346" spans="1:11" x14ac:dyDescent="0.35">
      <c r="A346" s="1" t="s">
        <v>801</v>
      </c>
      <c r="B346" s="1" t="s">
        <v>111</v>
      </c>
      <c r="C346" s="1" t="s">
        <v>82</v>
      </c>
      <c r="D346" s="1" t="s">
        <v>121</v>
      </c>
      <c r="E346">
        <v>2</v>
      </c>
      <c r="F346" s="2">
        <v>45320</v>
      </c>
      <c r="G346" s="1" t="str">
        <f>VLOOKUP(Summary_Laporan_Penjualan_20248[[#This Row],[ID_Pelanggan]], Data_Pelanggan[], 2, 0)</f>
        <v>Toko Komputer Maju</v>
      </c>
      <c r="H346" s="1" t="str">
        <f>VLOOKUP(Summary_Laporan_Penjualan_20248[[#This Row],[ID_Pelanggan]], Data_Pelanggan[], 4, 0)</f>
        <v>Solo</v>
      </c>
      <c r="I346" s="1" t="str">
        <f>VLOOKUP(Summary_Laporan_Penjualan_20248[[#This Row],[ID_Produk]], Data_Produk[], 6, 0)</f>
        <v>Depok</v>
      </c>
      <c r="J346" s="1">
        <f>VLOOKUP(Summary_Laporan_Penjualan_20248[[#This Row],[ID_Produk]], Data_Produk[], 7, 0)</f>
        <v>18000000</v>
      </c>
      <c r="K346" s="1">
        <f>VLOOKUP(Summary_Laporan_Penjualan_20248[[#This Row],[ID_Produk]], Data_Produk[], 8, 0)</f>
        <v>27603000</v>
      </c>
    </row>
    <row r="347" spans="1:11" x14ac:dyDescent="0.35">
      <c r="A347" s="1" t="s">
        <v>803</v>
      </c>
      <c r="B347" s="1" t="s">
        <v>149</v>
      </c>
      <c r="C347" s="1" t="s">
        <v>45</v>
      </c>
      <c r="D347" s="1" t="s">
        <v>124</v>
      </c>
      <c r="E347">
        <v>14</v>
      </c>
      <c r="F347" s="2">
        <v>45577</v>
      </c>
      <c r="G347" s="1" t="str">
        <f>VLOOKUP(Summary_Laporan_Penjualan_20248[[#This Row],[ID_Pelanggan]], Data_Pelanggan[], 2, 0)</f>
        <v>CV Techno</v>
      </c>
      <c r="H347" s="1" t="str">
        <f>VLOOKUP(Summary_Laporan_Penjualan_20248[[#This Row],[ID_Pelanggan]], Data_Pelanggan[], 4, 0)</f>
        <v>Yogyakarta</v>
      </c>
      <c r="I347" s="1" t="str">
        <f>VLOOKUP(Summary_Laporan_Penjualan_20248[[#This Row],[ID_Produk]], Data_Produk[], 6, 0)</f>
        <v>Semarang</v>
      </c>
      <c r="J347" s="1">
        <f>VLOOKUP(Summary_Laporan_Penjualan_20248[[#This Row],[ID_Produk]], Data_Produk[], 7, 0)</f>
        <v>100000</v>
      </c>
      <c r="K347" s="1">
        <f>VLOOKUP(Summary_Laporan_Penjualan_20248[[#This Row],[ID_Produk]], Data_Produk[], 8, 0)</f>
        <v>169000</v>
      </c>
    </row>
    <row r="348" spans="1:11" x14ac:dyDescent="0.35">
      <c r="A348" s="1" t="s">
        <v>805</v>
      </c>
      <c r="B348" s="1" t="s">
        <v>116</v>
      </c>
      <c r="C348" s="1" t="s">
        <v>15</v>
      </c>
      <c r="D348" s="1" t="s">
        <v>128</v>
      </c>
      <c r="E348">
        <v>11</v>
      </c>
      <c r="F348" s="2">
        <v>45589</v>
      </c>
      <c r="G348" s="1" t="str">
        <f>VLOOKUP(Summary_Laporan_Penjualan_20248[[#This Row],[ID_Pelanggan]], Data_Pelanggan[], 2, 0)</f>
        <v>CV Berkah</v>
      </c>
      <c r="H348" s="1" t="str">
        <f>VLOOKUP(Summary_Laporan_Penjualan_20248[[#This Row],[ID_Pelanggan]], Data_Pelanggan[], 4, 0)</f>
        <v>Bandung</v>
      </c>
      <c r="I348" s="1" t="str">
        <f>VLOOKUP(Summary_Laporan_Penjualan_20248[[#This Row],[ID_Produk]], Data_Produk[], 6, 0)</f>
        <v>Depok</v>
      </c>
      <c r="J348" s="1">
        <f>VLOOKUP(Summary_Laporan_Penjualan_20248[[#This Row],[ID_Produk]], Data_Produk[], 7, 0)</f>
        <v>5000000</v>
      </c>
      <c r="K348" s="1">
        <f>VLOOKUP(Summary_Laporan_Penjualan_20248[[#This Row],[ID_Produk]], Data_Produk[], 8, 0)</f>
        <v>7546000</v>
      </c>
    </row>
    <row r="349" spans="1:11" x14ac:dyDescent="0.35">
      <c r="A349" s="1" t="s">
        <v>807</v>
      </c>
      <c r="B349" s="1" t="s">
        <v>191</v>
      </c>
      <c r="C349" s="1" t="s">
        <v>78</v>
      </c>
      <c r="D349" s="1" t="s">
        <v>121</v>
      </c>
      <c r="E349">
        <v>3</v>
      </c>
      <c r="F349" s="2">
        <v>45606</v>
      </c>
      <c r="G349" s="1" t="str">
        <f>VLOOKUP(Summary_Laporan_Penjualan_20248[[#This Row],[ID_Pelanggan]], Data_Pelanggan[], 2, 0)</f>
        <v>CV Sinar Terang</v>
      </c>
      <c r="H349" s="1" t="str">
        <f>VLOOKUP(Summary_Laporan_Penjualan_20248[[#This Row],[ID_Pelanggan]], Data_Pelanggan[], 4, 0)</f>
        <v>Bandung</v>
      </c>
      <c r="I349" s="1" t="str">
        <f>VLOOKUP(Summary_Laporan_Penjualan_20248[[#This Row],[ID_Produk]], Data_Produk[], 6, 0)</f>
        <v>Jakarta</v>
      </c>
      <c r="J349" s="1">
        <f>VLOOKUP(Summary_Laporan_Penjualan_20248[[#This Row],[ID_Produk]], Data_Produk[], 7, 0)</f>
        <v>12000000</v>
      </c>
      <c r="K349" s="1">
        <f>VLOOKUP(Summary_Laporan_Penjualan_20248[[#This Row],[ID_Produk]], Data_Produk[], 8, 0)</f>
        <v>13963000</v>
      </c>
    </row>
    <row r="350" spans="1:11" x14ac:dyDescent="0.35">
      <c r="A350" s="1" t="s">
        <v>809</v>
      </c>
      <c r="B350" s="1" t="s">
        <v>149</v>
      </c>
      <c r="C350" s="1" t="s">
        <v>39</v>
      </c>
      <c r="D350" s="1" t="s">
        <v>128</v>
      </c>
      <c r="E350">
        <v>10</v>
      </c>
      <c r="F350" s="2">
        <v>45474</v>
      </c>
      <c r="G350" s="1" t="str">
        <f>VLOOKUP(Summary_Laporan_Penjualan_20248[[#This Row],[ID_Pelanggan]], Data_Pelanggan[], 2, 0)</f>
        <v>Toko Elektronik Jaya</v>
      </c>
      <c r="H350" s="1" t="str">
        <f>VLOOKUP(Summary_Laporan_Penjualan_20248[[#This Row],[ID_Pelanggan]], Data_Pelanggan[], 4, 0)</f>
        <v>Semarang</v>
      </c>
      <c r="I350" s="1" t="str">
        <f>VLOOKUP(Summary_Laporan_Penjualan_20248[[#This Row],[ID_Produk]], Data_Produk[], 6, 0)</f>
        <v>Semarang</v>
      </c>
      <c r="J350" s="1">
        <f>VLOOKUP(Summary_Laporan_Penjualan_20248[[#This Row],[ID_Produk]], Data_Produk[], 7, 0)</f>
        <v>100000</v>
      </c>
      <c r="K350" s="1">
        <f>VLOOKUP(Summary_Laporan_Penjualan_20248[[#This Row],[ID_Produk]], Data_Produk[], 8, 0)</f>
        <v>169000</v>
      </c>
    </row>
    <row r="351" spans="1:11" x14ac:dyDescent="0.35">
      <c r="A351" s="1" t="s">
        <v>811</v>
      </c>
      <c r="B351" s="1" t="s">
        <v>188</v>
      </c>
      <c r="C351" s="1" t="s">
        <v>51</v>
      </c>
      <c r="D351" s="1" t="s">
        <v>171</v>
      </c>
      <c r="E351">
        <v>3</v>
      </c>
      <c r="F351" s="2">
        <v>45618</v>
      </c>
      <c r="G351" s="1" t="str">
        <f>VLOOKUP(Summary_Laporan_Penjualan_20248[[#This Row],[ID_Pelanggan]], Data_Pelanggan[], 2, 0)</f>
        <v>Toko Musik Digital</v>
      </c>
      <c r="H351" s="1" t="str">
        <f>VLOOKUP(Summary_Laporan_Penjualan_20248[[#This Row],[ID_Pelanggan]], Data_Pelanggan[], 4, 0)</f>
        <v>Denpasar</v>
      </c>
      <c r="I351" s="1" t="str">
        <f>VLOOKUP(Summary_Laporan_Penjualan_20248[[#This Row],[ID_Produk]], Data_Produk[], 6, 0)</f>
        <v>Semarang</v>
      </c>
      <c r="J351" s="1">
        <f>VLOOKUP(Summary_Laporan_Penjualan_20248[[#This Row],[ID_Produk]], Data_Produk[], 7, 0)</f>
        <v>2800000</v>
      </c>
      <c r="K351" s="1">
        <f>VLOOKUP(Summary_Laporan_Penjualan_20248[[#This Row],[ID_Produk]], Data_Produk[], 8, 0)</f>
        <v>4747000</v>
      </c>
    </row>
    <row r="352" spans="1:11" x14ac:dyDescent="0.35">
      <c r="A352" s="1" t="s">
        <v>813</v>
      </c>
      <c r="B352" s="1" t="s">
        <v>164</v>
      </c>
      <c r="C352" s="1" t="s">
        <v>82</v>
      </c>
      <c r="D352" s="1" t="s">
        <v>171</v>
      </c>
      <c r="E352">
        <v>3</v>
      </c>
      <c r="F352" s="2">
        <v>45586</v>
      </c>
      <c r="G352" s="1" t="str">
        <f>VLOOKUP(Summary_Laporan_Penjualan_20248[[#This Row],[ID_Pelanggan]], Data_Pelanggan[], 2, 0)</f>
        <v>Toko Komputer Maju</v>
      </c>
      <c r="H352" s="1" t="str">
        <f>VLOOKUP(Summary_Laporan_Penjualan_20248[[#This Row],[ID_Pelanggan]], Data_Pelanggan[], 4, 0)</f>
        <v>Solo</v>
      </c>
      <c r="I352" s="1" t="str">
        <f>VLOOKUP(Summary_Laporan_Penjualan_20248[[#This Row],[ID_Produk]], Data_Produk[], 6, 0)</f>
        <v>Jakarta</v>
      </c>
      <c r="J352" s="1">
        <f>VLOOKUP(Summary_Laporan_Penjualan_20248[[#This Row],[ID_Produk]], Data_Produk[], 7, 0)</f>
        <v>750000</v>
      </c>
      <c r="K352" s="1">
        <f>VLOOKUP(Summary_Laporan_Penjualan_20248[[#This Row],[ID_Produk]], Data_Produk[], 8, 0)</f>
        <v>971000</v>
      </c>
    </row>
    <row r="353" spans="1:11" x14ac:dyDescent="0.35">
      <c r="A353" s="1" t="s">
        <v>815</v>
      </c>
      <c r="B353" s="1" t="s">
        <v>113</v>
      </c>
      <c r="C353" s="1" t="s">
        <v>39</v>
      </c>
      <c r="D353" s="1" t="s">
        <v>124</v>
      </c>
      <c r="E353">
        <v>3</v>
      </c>
      <c r="F353" s="2">
        <v>45411</v>
      </c>
      <c r="G353" s="1" t="str">
        <f>VLOOKUP(Summary_Laporan_Penjualan_20248[[#This Row],[ID_Pelanggan]], Data_Pelanggan[], 2, 0)</f>
        <v>Toko Elektronik Jaya</v>
      </c>
      <c r="H353" s="1" t="str">
        <f>VLOOKUP(Summary_Laporan_Penjualan_20248[[#This Row],[ID_Pelanggan]], Data_Pelanggan[], 4, 0)</f>
        <v>Semarang</v>
      </c>
      <c r="I353" s="1" t="str">
        <f>VLOOKUP(Summary_Laporan_Penjualan_20248[[#This Row],[ID_Produk]], Data_Produk[], 6, 0)</f>
        <v>Depok</v>
      </c>
      <c r="J353" s="1">
        <f>VLOOKUP(Summary_Laporan_Penjualan_20248[[#This Row],[ID_Produk]], Data_Produk[], 7, 0)</f>
        <v>4500000</v>
      </c>
      <c r="K353" s="1">
        <f>VLOOKUP(Summary_Laporan_Penjualan_20248[[#This Row],[ID_Produk]], Data_Produk[], 8, 0)</f>
        <v>5522000</v>
      </c>
    </row>
    <row r="354" spans="1:11" x14ac:dyDescent="0.35">
      <c r="A354" s="1" t="s">
        <v>817</v>
      </c>
      <c r="B354" s="1" t="s">
        <v>133</v>
      </c>
      <c r="C354" s="1" t="s">
        <v>73</v>
      </c>
      <c r="D354" s="1" t="s">
        <v>157</v>
      </c>
      <c r="E354">
        <v>6</v>
      </c>
      <c r="F354" s="2">
        <v>45372</v>
      </c>
      <c r="G354" s="1" t="str">
        <f>VLOOKUP(Summary_Laporan_Penjualan_20248[[#This Row],[ID_Pelanggan]], Data_Pelanggan[], 2, 0)</f>
        <v>Toko Gadget Center</v>
      </c>
      <c r="H354" s="1" t="str">
        <f>VLOOKUP(Summary_Laporan_Penjualan_20248[[#This Row],[ID_Pelanggan]], Data_Pelanggan[], 4, 0)</f>
        <v>Malang</v>
      </c>
      <c r="I354" s="1" t="str">
        <f>VLOOKUP(Summary_Laporan_Penjualan_20248[[#This Row],[ID_Produk]], Data_Produk[], 6, 0)</f>
        <v>Jakarta</v>
      </c>
      <c r="J354" s="1">
        <f>VLOOKUP(Summary_Laporan_Penjualan_20248[[#This Row],[ID_Produk]], Data_Produk[], 7, 0)</f>
        <v>2500000</v>
      </c>
      <c r="K354" s="1">
        <f>VLOOKUP(Summary_Laporan_Penjualan_20248[[#This Row],[ID_Produk]], Data_Produk[], 8, 0)</f>
        <v>3080000</v>
      </c>
    </row>
    <row r="355" spans="1:11" x14ac:dyDescent="0.35">
      <c r="A355" s="1" t="s">
        <v>819</v>
      </c>
      <c r="B355" s="1" t="s">
        <v>172</v>
      </c>
      <c r="C355" s="1" t="s">
        <v>73</v>
      </c>
      <c r="D355" s="1" t="s">
        <v>124</v>
      </c>
      <c r="E355">
        <v>14</v>
      </c>
      <c r="F355" s="2">
        <v>45376</v>
      </c>
      <c r="G355" s="1" t="str">
        <f>VLOOKUP(Summary_Laporan_Penjualan_20248[[#This Row],[ID_Pelanggan]], Data_Pelanggan[], 2, 0)</f>
        <v>Toko Gadget Center</v>
      </c>
      <c r="H355" s="1" t="str">
        <f>VLOOKUP(Summary_Laporan_Penjualan_20248[[#This Row],[ID_Pelanggan]], Data_Pelanggan[], 4, 0)</f>
        <v>Malang</v>
      </c>
      <c r="I355" s="1" t="str">
        <f>VLOOKUP(Summary_Laporan_Penjualan_20248[[#This Row],[ID_Produk]], Data_Produk[], 6, 0)</f>
        <v>Semarang</v>
      </c>
      <c r="J355" s="1">
        <f>VLOOKUP(Summary_Laporan_Penjualan_20248[[#This Row],[ID_Produk]], Data_Produk[], 7, 0)</f>
        <v>950000</v>
      </c>
      <c r="K355" s="1">
        <f>VLOOKUP(Summary_Laporan_Penjualan_20248[[#This Row],[ID_Produk]], Data_Produk[], 8, 0)</f>
        <v>1649000</v>
      </c>
    </row>
    <row r="356" spans="1:11" x14ac:dyDescent="0.35">
      <c r="A356" s="1" t="s">
        <v>821</v>
      </c>
      <c r="B356" s="1" t="s">
        <v>197</v>
      </c>
      <c r="C356" s="1" t="s">
        <v>45</v>
      </c>
      <c r="D356" s="1" t="s">
        <v>128</v>
      </c>
      <c r="E356">
        <v>9</v>
      </c>
      <c r="F356" s="2">
        <v>45355</v>
      </c>
      <c r="G356" s="1" t="str">
        <f>VLOOKUP(Summary_Laporan_Penjualan_20248[[#This Row],[ID_Pelanggan]], Data_Pelanggan[], 2, 0)</f>
        <v>CV Techno</v>
      </c>
      <c r="H356" s="1" t="str">
        <f>VLOOKUP(Summary_Laporan_Penjualan_20248[[#This Row],[ID_Pelanggan]], Data_Pelanggan[], 4, 0)</f>
        <v>Yogyakarta</v>
      </c>
      <c r="I356" s="1" t="str">
        <f>VLOOKUP(Summary_Laporan_Penjualan_20248[[#This Row],[ID_Produk]], Data_Produk[], 6, 0)</f>
        <v>Jakarta</v>
      </c>
      <c r="J356" s="1">
        <f>VLOOKUP(Summary_Laporan_Penjualan_20248[[#This Row],[ID_Produk]], Data_Produk[], 7, 0)</f>
        <v>1200000</v>
      </c>
      <c r="K356" s="1">
        <f>VLOOKUP(Summary_Laporan_Penjualan_20248[[#This Row],[ID_Produk]], Data_Produk[], 8, 0)</f>
        <v>1375000</v>
      </c>
    </row>
    <row r="357" spans="1:11" x14ac:dyDescent="0.35">
      <c r="A357" s="1" t="s">
        <v>823</v>
      </c>
      <c r="B357" s="1" t="s">
        <v>141</v>
      </c>
      <c r="C357" s="1" t="s">
        <v>51</v>
      </c>
      <c r="D357" s="1" t="s">
        <v>121</v>
      </c>
      <c r="E357">
        <v>11</v>
      </c>
      <c r="F357" s="2">
        <v>45388</v>
      </c>
      <c r="G357" s="1" t="str">
        <f>VLOOKUP(Summary_Laporan_Penjualan_20248[[#This Row],[ID_Pelanggan]], Data_Pelanggan[], 2, 0)</f>
        <v>Toko Musik Digital</v>
      </c>
      <c r="H357" s="1" t="str">
        <f>VLOOKUP(Summary_Laporan_Penjualan_20248[[#This Row],[ID_Pelanggan]], Data_Pelanggan[], 4, 0)</f>
        <v>Denpasar</v>
      </c>
      <c r="I357" s="1" t="str">
        <f>VLOOKUP(Summary_Laporan_Penjualan_20248[[#This Row],[ID_Produk]], Data_Produk[], 6, 0)</f>
        <v>Semarang</v>
      </c>
      <c r="J357" s="1">
        <f>VLOOKUP(Summary_Laporan_Penjualan_20248[[#This Row],[ID_Produk]], Data_Produk[], 7, 0)</f>
        <v>400000</v>
      </c>
      <c r="K357" s="1">
        <f>VLOOKUP(Summary_Laporan_Penjualan_20248[[#This Row],[ID_Produk]], Data_Produk[], 8, 0)</f>
        <v>623000</v>
      </c>
    </row>
    <row r="358" spans="1:11" x14ac:dyDescent="0.35">
      <c r="A358" s="1" t="s">
        <v>825</v>
      </c>
      <c r="B358" s="1" t="s">
        <v>106</v>
      </c>
      <c r="C358" s="1" t="s">
        <v>21</v>
      </c>
      <c r="D358" s="1" t="s">
        <v>143</v>
      </c>
      <c r="E358">
        <v>2</v>
      </c>
      <c r="F358" s="2">
        <v>45317</v>
      </c>
      <c r="G358" s="1" t="str">
        <f>VLOOKUP(Summary_Laporan_Penjualan_20248[[#This Row],[ID_Pelanggan]], Data_Pelanggan[], 2, 0)</f>
        <v>Toko Komputer Sejahtera</v>
      </c>
      <c r="H358" s="1" t="str">
        <f>VLOOKUP(Summary_Laporan_Penjualan_20248[[#This Row],[ID_Pelanggan]], Data_Pelanggan[], 4, 0)</f>
        <v>Surabaya</v>
      </c>
      <c r="I358" s="1" t="str">
        <f>VLOOKUP(Summary_Laporan_Penjualan_20248[[#This Row],[ID_Produk]], Data_Produk[], 6, 0)</f>
        <v>Depok</v>
      </c>
      <c r="J358" s="1">
        <f>VLOOKUP(Summary_Laporan_Penjualan_20248[[#This Row],[ID_Produk]], Data_Produk[], 7, 0)</f>
        <v>300000</v>
      </c>
      <c r="K358" s="1">
        <f>VLOOKUP(Summary_Laporan_Penjualan_20248[[#This Row],[ID_Produk]], Data_Produk[], 8, 0)</f>
        <v>355000</v>
      </c>
    </row>
    <row r="359" spans="1:11" x14ac:dyDescent="0.35">
      <c r="A359" s="1" t="s">
        <v>827</v>
      </c>
      <c r="B359" s="1" t="s">
        <v>137</v>
      </c>
      <c r="C359" s="1" t="s">
        <v>63</v>
      </c>
      <c r="D359" s="1" t="s">
        <v>121</v>
      </c>
      <c r="E359">
        <v>5</v>
      </c>
      <c r="F359" s="2">
        <v>45609</v>
      </c>
      <c r="G359" s="1" t="str">
        <f>VLOOKUP(Summary_Laporan_Penjualan_20248[[#This Row],[ID_Pelanggan]], Data_Pelanggan[], 2, 0)</f>
        <v>UD Makmur</v>
      </c>
      <c r="H359" s="1" t="str">
        <f>VLOOKUP(Summary_Laporan_Penjualan_20248[[#This Row],[ID_Pelanggan]], Data_Pelanggan[], 4, 0)</f>
        <v>Palembang</v>
      </c>
      <c r="I359" s="1" t="str">
        <f>VLOOKUP(Summary_Laporan_Penjualan_20248[[#This Row],[ID_Produk]], Data_Produk[], 6, 0)</f>
        <v>Jakarta</v>
      </c>
      <c r="J359" s="1">
        <f>VLOOKUP(Summary_Laporan_Penjualan_20248[[#This Row],[ID_Produk]], Data_Produk[], 7, 0)</f>
        <v>2000000</v>
      </c>
      <c r="K359" s="1">
        <f>VLOOKUP(Summary_Laporan_Penjualan_20248[[#This Row],[ID_Produk]], Data_Produk[], 8, 0)</f>
        <v>2533000</v>
      </c>
    </row>
    <row r="360" spans="1:11" x14ac:dyDescent="0.35">
      <c r="A360" s="1" t="s">
        <v>829</v>
      </c>
      <c r="B360" s="1" t="s">
        <v>109</v>
      </c>
      <c r="C360" s="1" t="s">
        <v>73</v>
      </c>
      <c r="D360" s="1" t="s">
        <v>171</v>
      </c>
      <c r="E360">
        <v>10</v>
      </c>
      <c r="F360" s="2">
        <v>45592</v>
      </c>
      <c r="G360" s="1" t="str">
        <f>VLOOKUP(Summary_Laporan_Penjualan_20248[[#This Row],[ID_Pelanggan]], Data_Pelanggan[], 2, 0)</f>
        <v>Toko Gadget Center</v>
      </c>
      <c r="H360" s="1" t="str">
        <f>VLOOKUP(Summary_Laporan_Penjualan_20248[[#This Row],[ID_Pelanggan]], Data_Pelanggan[], 4, 0)</f>
        <v>Malang</v>
      </c>
      <c r="I360" s="1" t="str">
        <f>VLOOKUP(Summary_Laporan_Penjualan_20248[[#This Row],[ID_Produk]], Data_Produk[], 6, 0)</f>
        <v>Semarang</v>
      </c>
      <c r="J360" s="1">
        <f>VLOOKUP(Summary_Laporan_Penjualan_20248[[#This Row],[ID_Produk]], Data_Produk[], 7, 0)</f>
        <v>2000000</v>
      </c>
      <c r="K360" s="1">
        <f>VLOOKUP(Summary_Laporan_Penjualan_20248[[#This Row],[ID_Produk]], Data_Produk[], 8, 0)</f>
        <v>3382000</v>
      </c>
    </row>
    <row r="361" spans="1:11" x14ac:dyDescent="0.35">
      <c r="A361" s="1" t="s">
        <v>830</v>
      </c>
      <c r="B361" s="1" t="s">
        <v>240</v>
      </c>
      <c r="C361" s="1" t="s">
        <v>73</v>
      </c>
      <c r="D361" s="1" t="s">
        <v>171</v>
      </c>
      <c r="E361">
        <v>6</v>
      </c>
      <c r="F361" s="2">
        <v>45366</v>
      </c>
      <c r="G361" s="1" t="str">
        <f>VLOOKUP(Summary_Laporan_Penjualan_20248[[#This Row],[ID_Pelanggan]], Data_Pelanggan[], 2, 0)</f>
        <v>Toko Gadget Center</v>
      </c>
      <c r="H361" s="1" t="str">
        <f>VLOOKUP(Summary_Laporan_Penjualan_20248[[#This Row],[ID_Pelanggan]], Data_Pelanggan[], 4, 0)</f>
        <v>Malang</v>
      </c>
      <c r="I361" s="1" t="str">
        <f>VLOOKUP(Summary_Laporan_Penjualan_20248[[#This Row],[ID_Produk]], Data_Produk[], 6, 0)</f>
        <v>Semarang</v>
      </c>
      <c r="J361" s="1">
        <f>VLOOKUP(Summary_Laporan_Penjualan_20248[[#This Row],[ID_Produk]], Data_Produk[], 7, 0)</f>
        <v>350000</v>
      </c>
      <c r="K361" s="1">
        <f>VLOOKUP(Summary_Laporan_Penjualan_20248[[#This Row],[ID_Produk]], Data_Produk[], 8, 0)</f>
        <v>626000</v>
      </c>
    </row>
    <row r="362" spans="1:11" x14ac:dyDescent="0.35">
      <c r="A362" s="1" t="s">
        <v>832</v>
      </c>
      <c r="B362" s="1" t="s">
        <v>172</v>
      </c>
      <c r="C362" s="1" t="s">
        <v>73</v>
      </c>
      <c r="D362" s="1" t="s">
        <v>157</v>
      </c>
      <c r="E362">
        <v>6</v>
      </c>
      <c r="F362" s="2">
        <v>45389</v>
      </c>
      <c r="G362" s="1" t="str">
        <f>VLOOKUP(Summary_Laporan_Penjualan_20248[[#This Row],[ID_Pelanggan]], Data_Pelanggan[], 2, 0)</f>
        <v>Toko Gadget Center</v>
      </c>
      <c r="H362" s="1" t="str">
        <f>VLOOKUP(Summary_Laporan_Penjualan_20248[[#This Row],[ID_Pelanggan]], Data_Pelanggan[], 4, 0)</f>
        <v>Malang</v>
      </c>
      <c r="I362" s="1" t="str">
        <f>VLOOKUP(Summary_Laporan_Penjualan_20248[[#This Row],[ID_Produk]], Data_Produk[], 6, 0)</f>
        <v>Semarang</v>
      </c>
      <c r="J362" s="1">
        <f>VLOOKUP(Summary_Laporan_Penjualan_20248[[#This Row],[ID_Produk]], Data_Produk[], 7, 0)</f>
        <v>950000</v>
      </c>
      <c r="K362" s="1">
        <f>VLOOKUP(Summary_Laporan_Penjualan_20248[[#This Row],[ID_Produk]], Data_Produk[], 8, 0)</f>
        <v>1649000</v>
      </c>
    </row>
    <row r="363" spans="1:11" x14ac:dyDescent="0.35">
      <c r="A363" s="1" t="s">
        <v>834</v>
      </c>
      <c r="B363" s="1" t="s">
        <v>176</v>
      </c>
      <c r="C363" s="1" t="s">
        <v>39</v>
      </c>
      <c r="D363" s="1" t="s">
        <v>171</v>
      </c>
      <c r="E363">
        <v>8</v>
      </c>
      <c r="F363" s="2">
        <v>45503</v>
      </c>
      <c r="G363" s="1" t="str">
        <f>VLOOKUP(Summary_Laporan_Penjualan_20248[[#This Row],[ID_Pelanggan]], Data_Pelanggan[], 2, 0)</f>
        <v>Toko Elektronik Jaya</v>
      </c>
      <c r="H363" s="1" t="str">
        <f>VLOOKUP(Summary_Laporan_Penjualan_20248[[#This Row],[ID_Pelanggan]], Data_Pelanggan[], 4, 0)</f>
        <v>Semarang</v>
      </c>
      <c r="I363" s="1" t="str">
        <f>VLOOKUP(Summary_Laporan_Penjualan_20248[[#This Row],[ID_Produk]], Data_Produk[], 6, 0)</f>
        <v>Depok</v>
      </c>
      <c r="J363" s="1">
        <f>VLOOKUP(Summary_Laporan_Penjualan_20248[[#This Row],[ID_Produk]], Data_Produk[], 7, 0)</f>
        <v>1500000</v>
      </c>
      <c r="K363" s="1">
        <f>VLOOKUP(Summary_Laporan_Penjualan_20248[[#This Row],[ID_Produk]], Data_Produk[], 8, 0)</f>
        <v>1772000</v>
      </c>
    </row>
    <row r="364" spans="1:11" x14ac:dyDescent="0.35">
      <c r="A364" s="1" t="s">
        <v>836</v>
      </c>
      <c r="B364" s="1" t="s">
        <v>133</v>
      </c>
      <c r="C364" s="1" t="s">
        <v>45</v>
      </c>
      <c r="D364" s="1" t="s">
        <v>128</v>
      </c>
      <c r="E364">
        <v>9</v>
      </c>
      <c r="F364" s="2">
        <v>45462</v>
      </c>
      <c r="G364" s="1" t="str">
        <f>VLOOKUP(Summary_Laporan_Penjualan_20248[[#This Row],[ID_Pelanggan]], Data_Pelanggan[], 2, 0)</f>
        <v>CV Techno</v>
      </c>
      <c r="H364" s="1" t="str">
        <f>VLOOKUP(Summary_Laporan_Penjualan_20248[[#This Row],[ID_Pelanggan]], Data_Pelanggan[], 4, 0)</f>
        <v>Yogyakarta</v>
      </c>
      <c r="I364" s="1" t="str">
        <f>VLOOKUP(Summary_Laporan_Penjualan_20248[[#This Row],[ID_Produk]], Data_Produk[], 6, 0)</f>
        <v>Jakarta</v>
      </c>
      <c r="J364" s="1">
        <f>VLOOKUP(Summary_Laporan_Penjualan_20248[[#This Row],[ID_Produk]], Data_Produk[], 7, 0)</f>
        <v>2500000</v>
      </c>
      <c r="K364" s="1">
        <f>VLOOKUP(Summary_Laporan_Penjualan_20248[[#This Row],[ID_Produk]], Data_Produk[], 8, 0)</f>
        <v>3080000</v>
      </c>
    </row>
    <row r="365" spans="1:11" x14ac:dyDescent="0.35">
      <c r="A365" s="1" t="s">
        <v>838</v>
      </c>
      <c r="B365" s="1" t="s">
        <v>188</v>
      </c>
      <c r="C365" s="1" t="s">
        <v>69</v>
      </c>
      <c r="D365" s="1" t="s">
        <v>171</v>
      </c>
      <c r="E365">
        <v>12</v>
      </c>
      <c r="F365" s="2">
        <v>45450</v>
      </c>
      <c r="G365" s="1" t="str">
        <f>VLOOKUP(Summary_Laporan_Penjualan_20248[[#This Row],[ID_Pelanggan]], Data_Pelanggan[], 2, 0)</f>
        <v>PT Teknologi Prima</v>
      </c>
      <c r="H365" s="1" t="str">
        <f>VLOOKUP(Summary_Laporan_Penjualan_20248[[#This Row],[ID_Pelanggan]], Data_Pelanggan[], 4, 0)</f>
        <v>Jakarta</v>
      </c>
      <c r="I365" s="1" t="str">
        <f>VLOOKUP(Summary_Laporan_Penjualan_20248[[#This Row],[ID_Produk]], Data_Produk[], 6, 0)</f>
        <v>Semarang</v>
      </c>
      <c r="J365" s="1">
        <f>VLOOKUP(Summary_Laporan_Penjualan_20248[[#This Row],[ID_Produk]], Data_Produk[], 7, 0)</f>
        <v>2800000</v>
      </c>
      <c r="K365" s="1">
        <f>VLOOKUP(Summary_Laporan_Penjualan_20248[[#This Row],[ID_Produk]], Data_Produk[], 8, 0)</f>
        <v>4747000</v>
      </c>
    </row>
    <row r="366" spans="1:11" x14ac:dyDescent="0.35">
      <c r="A366" s="1" t="s">
        <v>840</v>
      </c>
      <c r="B366" s="1" t="s">
        <v>240</v>
      </c>
      <c r="C366" s="1" t="s">
        <v>45</v>
      </c>
      <c r="D366" s="1" t="s">
        <v>157</v>
      </c>
      <c r="E366">
        <v>3</v>
      </c>
      <c r="F366" s="2">
        <v>45328</v>
      </c>
      <c r="G366" s="1" t="str">
        <f>VLOOKUP(Summary_Laporan_Penjualan_20248[[#This Row],[ID_Pelanggan]], Data_Pelanggan[], 2, 0)</f>
        <v>CV Techno</v>
      </c>
      <c r="H366" s="1" t="str">
        <f>VLOOKUP(Summary_Laporan_Penjualan_20248[[#This Row],[ID_Pelanggan]], Data_Pelanggan[], 4, 0)</f>
        <v>Yogyakarta</v>
      </c>
      <c r="I366" s="1" t="str">
        <f>VLOOKUP(Summary_Laporan_Penjualan_20248[[#This Row],[ID_Produk]], Data_Produk[], 6, 0)</f>
        <v>Semarang</v>
      </c>
      <c r="J366" s="1">
        <f>VLOOKUP(Summary_Laporan_Penjualan_20248[[#This Row],[ID_Produk]], Data_Produk[], 7, 0)</f>
        <v>350000</v>
      </c>
      <c r="K366" s="1">
        <f>VLOOKUP(Summary_Laporan_Penjualan_20248[[#This Row],[ID_Produk]], Data_Produk[], 8, 0)</f>
        <v>626000</v>
      </c>
    </row>
    <row r="367" spans="1:11" x14ac:dyDescent="0.35">
      <c r="A367" s="1" t="s">
        <v>842</v>
      </c>
      <c r="B367" s="1" t="s">
        <v>141</v>
      </c>
      <c r="C367" s="1" t="s">
        <v>78</v>
      </c>
      <c r="D367" s="1" t="s">
        <v>121</v>
      </c>
      <c r="E367">
        <v>2</v>
      </c>
      <c r="F367" s="2">
        <v>45528</v>
      </c>
      <c r="G367" s="1" t="str">
        <f>VLOOKUP(Summary_Laporan_Penjualan_20248[[#This Row],[ID_Pelanggan]], Data_Pelanggan[], 2, 0)</f>
        <v>CV Sinar Terang</v>
      </c>
      <c r="H367" s="1" t="str">
        <f>VLOOKUP(Summary_Laporan_Penjualan_20248[[#This Row],[ID_Pelanggan]], Data_Pelanggan[], 4, 0)</f>
        <v>Bandung</v>
      </c>
      <c r="I367" s="1" t="str">
        <f>VLOOKUP(Summary_Laporan_Penjualan_20248[[#This Row],[ID_Produk]], Data_Produk[], 6, 0)</f>
        <v>Semarang</v>
      </c>
      <c r="J367" s="1">
        <f>VLOOKUP(Summary_Laporan_Penjualan_20248[[#This Row],[ID_Produk]], Data_Produk[], 7, 0)</f>
        <v>400000</v>
      </c>
      <c r="K367" s="1">
        <f>VLOOKUP(Summary_Laporan_Penjualan_20248[[#This Row],[ID_Produk]], Data_Produk[], 8, 0)</f>
        <v>623000</v>
      </c>
    </row>
    <row r="368" spans="1:11" x14ac:dyDescent="0.35">
      <c r="A368" s="1" t="s">
        <v>844</v>
      </c>
      <c r="B368" s="1" t="s">
        <v>109</v>
      </c>
      <c r="C368" s="1" t="s">
        <v>21</v>
      </c>
      <c r="D368" s="1" t="s">
        <v>171</v>
      </c>
      <c r="E368">
        <v>13</v>
      </c>
      <c r="F368" s="2">
        <v>45450</v>
      </c>
      <c r="G368" s="1" t="str">
        <f>VLOOKUP(Summary_Laporan_Penjualan_20248[[#This Row],[ID_Pelanggan]], Data_Pelanggan[], 2, 0)</f>
        <v>Toko Komputer Sejahtera</v>
      </c>
      <c r="H368" s="1" t="str">
        <f>VLOOKUP(Summary_Laporan_Penjualan_20248[[#This Row],[ID_Pelanggan]], Data_Pelanggan[], 4, 0)</f>
        <v>Surabaya</v>
      </c>
      <c r="I368" s="1" t="str">
        <f>VLOOKUP(Summary_Laporan_Penjualan_20248[[#This Row],[ID_Produk]], Data_Produk[], 6, 0)</f>
        <v>Semarang</v>
      </c>
      <c r="J368" s="1">
        <f>VLOOKUP(Summary_Laporan_Penjualan_20248[[#This Row],[ID_Produk]], Data_Produk[], 7, 0)</f>
        <v>2000000</v>
      </c>
      <c r="K368" s="1">
        <f>VLOOKUP(Summary_Laporan_Penjualan_20248[[#This Row],[ID_Produk]], Data_Produk[], 8, 0)</f>
        <v>3382000</v>
      </c>
    </row>
    <row r="369" spans="1:11" x14ac:dyDescent="0.35">
      <c r="A369" s="1" t="s">
        <v>845</v>
      </c>
      <c r="B369" s="1" t="s">
        <v>197</v>
      </c>
      <c r="C369" s="1" t="s">
        <v>51</v>
      </c>
      <c r="D369" s="1" t="s">
        <v>143</v>
      </c>
      <c r="E369">
        <v>12</v>
      </c>
      <c r="F369" s="2">
        <v>45392</v>
      </c>
      <c r="G369" s="1" t="str">
        <f>VLOOKUP(Summary_Laporan_Penjualan_20248[[#This Row],[ID_Pelanggan]], Data_Pelanggan[], 2, 0)</f>
        <v>Toko Musik Digital</v>
      </c>
      <c r="H369" s="1" t="str">
        <f>VLOOKUP(Summary_Laporan_Penjualan_20248[[#This Row],[ID_Pelanggan]], Data_Pelanggan[], 4, 0)</f>
        <v>Denpasar</v>
      </c>
      <c r="I369" s="1" t="str">
        <f>VLOOKUP(Summary_Laporan_Penjualan_20248[[#This Row],[ID_Produk]], Data_Produk[], 6, 0)</f>
        <v>Jakarta</v>
      </c>
      <c r="J369" s="1">
        <f>VLOOKUP(Summary_Laporan_Penjualan_20248[[#This Row],[ID_Produk]], Data_Produk[], 7, 0)</f>
        <v>1200000</v>
      </c>
      <c r="K369" s="1">
        <f>VLOOKUP(Summary_Laporan_Penjualan_20248[[#This Row],[ID_Produk]], Data_Produk[], 8, 0)</f>
        <v>1375000</v>
      </c>
    </row>
    <row r="370" spans="1:11" x14ac:dyDescent="0.35">
      <c r="A370" s="1" t="s">
        <v>847</v>
      </c>
      <c r="B370" s="1" t="s">
        <v>149</v>
      </c>
      <c r="C370" s="1" t="s">
        <v>69</v>
      </c>
      <c r="D370" s="1" t="s">
        <v>121</v>
      </c>
      <c r="E370">
        <v>1</v>
      </c>
      <c r="F370" s="2">
        <v>45299</v>
      </c>
      <c r="G370" s="1" t="str">
        <f>VLOOKUP(Summary_Laporan_Penjualan_20248[[#This Row],[ID_Pelanggan]], Data_Pelanggan[], 2, 0)</f>
        <v>PT Teknologi Prima</v>
      </c>
      <c r="H370" s="1" t="str">
        <f>VLOOKUP(Summary_Laporan_Penjualan_20248[[#This Row],[ID_Pelanggan]], Data_Pelanggan[], 4, 0)</f>
        <v>Jakarta</v>
      </c>
      <c r="I370" s="1" t="str">
        <f>VLOOKUP(Summary_Laporan_Penjualan_20248[[#This Row],[ID_Produk]], Data_Produk[], 6, 0)</f>
        <v>Semarang</v>
      </c>
      <c r="J370" s="1">
        <f>VLOOKUP(Summary_Laporan_Penjualan_20248[[#This Row],[ID_Produk]], Data_Produk[], 7, 0)</f>
        <v>100000</v>
      </c>
      <c r="K370" s="1">
        <f>VLOOKUP(Summary_Laporan_Penjualan_20248[[#This Row],[ID_Produk]], Data_Produk[], 8, 0)</f>
        <v>169000</v>
      </c>
    </row>
    <row r="371" spans="1:11" x14ac:dyDescent="0.35">
      <c r="A371" s="1" t="s">
        <v>849</v>
      </c>
      <c r="B371" s="1" t="s">
        <v>240</v>
      </c>
      <c r="C371" s="1" t="s">
        <v>35</v>
      </c>
      <c r="D371" s="1" t="s">
        <v>143</v>
      </c>
      <c r="E371">
        <v>1</v>
      </c>
      <c r="F371" s="2">
        <v>45583</v>
      </c>
      <c r="G371" s="1" t="str">
        <f>VLOOKUP(Summary_Laporan_Penjualan_20248[[#This Row],[ID_Pelanggan]], Data_Pelanggan[], 2, 0)</f>
        <v>PT Digital Nusantara</v>
      </c>
      <c r="H371" s="1" t="str">
        <f>VLOOKUP(Summary_Laporan_Penjualan_20248[[#This Row],[ID_Pelanggan]], Data_Pelanggan[], 4, 0)</f>
        <v>Jakarta</v>
      </c>
      <c r="I371" s="1" t="str">
        <f>VLOOKUP(Summary_Laporan_Penjualan_20248[[#This Row],[ID_Produk]], Data_Produk[], 6, 0)</f>
        <v>Semarang</v>
      </c>
      <c r="J371" s="1">
        <f>VLOOKUP(Summary_Laporan_Penjualan_20248[[#This Row],[ID_Produk]], Data_Produk[], 7, 0)</f>
        <v>350000</v>
      </c>
      <c r="K371" s="1">
        <f>VLOOKUP(Summary_Laporan_Penjualan_20248[[#This Row],[ID_Produk]], Data_Produk[], 8, 0)</f>
        <v>626000</v>
      </c>
    </row>
    <row r="372" spans="1:11" x14ac:dyDescent="0.35">
      <c r="A372" s="1" t="s">
        <v>851</v>
      </c>
      <c r="B372" s="1" t="s">
        <v>133</v>
      </c>
      <c r="C372" s="1" t="s">
        <v>87</v>
      </c>
      <c r="D372" s="1" t="s">
        <v>157</v>
      </c>
      <c r="E372">
        <v>7</v>
      </c>
      <c r="F372" s="2">
        <v>45498</v>
      </c>
      <c r="G372" s="1" t="str">
        <f>VLOOKUP(Summary_Laporan_Penjualan_20248[[#This Row],[ID_Pelanggan]], Data_Pelanggan[], 2, 0)</f>
        <v>PT Indo Digital</v>
      </c>
      <c r="H372" s="1" t="str">
        <f>VLOOKUP(Summary_Laporan_Penjualan_20248[[#This Row],[ID_Pelanggan]], Data_Pelanggan[], 4, 0)</f>
        <v>Tangerang</v>
      </c>
      <c r="I372" s="1" t="str">
        <f>VLOOKUP(Summary_Laporan_Penjualan_20248[[#This Row],[ID_Produk]], Data_Produk[], 6, 0)</f>
        <v>Jakarta</v>
      </c>
      <c r="J372" s="1">
        <f>VLOOKUP(Summary_Laporan_Penjualan_20248[[#This Row],[ID_Produk]], Data_Produk[], 7, 0)</f>
        <v>2500000</v>
      </c>
      <c r="K372" s="1">
        <f>VLOOKUP(Summary_Laporan_Penjualan_20248[[#This Row],[ID_Produk]], Data_Produk[], 8, 0)</f>
        <v>3080000</v>
      </c>
    </row>
    <row r="373" spans="1:11" x14ac:dyDescent="0.35">
      <c r="A373" s="1" t="s">
        <v>853</v>
      </c>
      <c r="B373" s="1" t="s">
        <v>164</v>
      </c>
      <c r="C373" s="1" t="s">
        <v>69</v>
      </c>
      <c r="D373" s="1" t="s">
        <v>171</v>
      </c>
      <c r="E373">
        <v>5</v>
      </c>
      <c r="F373" s="2">
        <v>45508</v>
      </c>
      <c r="G373" s="1" t="str">
        <f>VLOOKUP(Summary_Laporan_Penjualan_20248[[#This Row],[ID_Pelanggan]], Data_Pelanggan[], 2, 0)</f>
        <v>PT Teknologi Prima</v>
      </c>
      <c r="H373" s="1" t="str">
        <f>VLOOKUP(Summary_Laporan_Penjualan_20248[[#This Row],[ID_Pelanggan]], Data_Pelanggan[], 4, 0)</f>
        <v>Jakarta</v>
      </c>
      <c r="I373" s="1" t="str">
        <f>VLOOKUP(Summary_Laporan_Penjualan_20248[[#This Row],[ID_Produk]], Data_Produk[], 6, 0)</f>
        <v>Jakarta</v>
      </c>
      <c r="J373" s="1">
        <f>VLOOKUP(Summary_Laporan_Penjualan_20248[[#This Row],[ID_Produk]], Data_Produk[], 7, 0)</f>
        <v>750000</v>
      </c>
      <c r="K373" s="1">
        <f>VLOOKUP(Summary_Laporan_Penjualan_20248[[#This Row],[ID_Produk]], Data_Produk[], 8, 0)</f>
        <v>971000</v>
      </c>
    </row>
    <row r="374" spans="1:11" x14ac:dyDescent="0.35">
      <c r="A374" s="1" t="s">
        <v>855</v>
      </c>
      <c r="B374" s="1" t="s">
        <v>197</v>
      </c>
      <c r="C374" s="1" t="s">
        <v>45</v>
      </c>
      <c r="D374" s="1" t="s">
        <v>171</v>
      </c>
      <c r="E374">
        <v>7</v>
      </c>
      <c r="F374" s="2">
        <v>45650</v>
      </c>
      <c r="G374" s="1" t="str">
        <f>VLOOKUP(Summary_Laporan_Penjualan_20248[[#This Row],[ID_Pelanggan]], Data_Pelanggan[], 2, 0)</f>
        <v>CV Techno</v>
      </c>
      <c r="H374" s="1" t="str">
        <f>VLOOKUP(Summary_Laporan_Penjualan_20248[[#This Row],[ID_Pelanggan]], Data_Pelanggan[], 4, 0)</f>
        <v>Yogyakarta</v>
      </c>
      <c r="I374" s="1" t="str">
        <f>VLOOKUP(Summary_Laporan_Penjualan_20248[[#This Row],[ID_Produk]], Data_Produk[], 6, 0)</f>
        <v>Jakarta</v>
      </c>
      <c r="J374" s="1">
        <f>VLOOKUP(Summary_Laporan_Penjualan_20248[[#This Row],[ID_Produk]], Data_Produk[], 7, 0)</f>
        <v>1200000</v>
      </c>
      <c r="K374" s="1">
        <f>VLOOKUP(Summary_Laporan_Penjualan_20248[[#This Row],[ID_Produk]], Data_Produk[], 8, 0)</f>
        <v>1375000</v>
      </c>
    </row>
    <row r="375" spans="1:11" x14ac:dyDescent="0.35">
      <c r="A375" s="1" t="s">
        <v>857</v>
      </c>
      <c r="B375" s="1" t="s">
        <v>191</v>
      </c>
      <c r="C375" s="1" t="s">
        <v>21</v>
      </c>
      <c r="D375" s="1" t="s">
        <v>171</v>
      </c>
      <c r="E375">
        <v>10</v>
      </c>
      <c r="F375" s="2">
        <v>45641</v>
      </c>
      <c r="G375" s="1" t="str">
        <f>VLOOKUP(Summary_Laporan_Penjualan_20248[[#This Row],[ID_Pelanggan]], Data_Pelanggan[], 2, 0)</f>
        <v>Toko Komputer Sejahtera</v>
      </c>
      <c r="H375" s="1" t="str">
        <f>VLOOKUP(Summary_Laporan_Penjualan_20248[[#This Row],[ID_Pelanggan]], Data_Pelanggan[], 4, 0)</f>
        <v>Surabaya</v>
      </c>
      <c r="I375" s="1" t="str">
        <f>VLOOKUP(Summary_Laporan_Penjualan_20248[[#This Row],[ID_Produk]], Data_Produk[], 6, 0)</f>
        <v>Jakarta</v>
      </c>
      <c r="J375" s="1">
        <f>VLOOKUP(Summary_Laporan_Penjualan_20248[[#This Row],[ID_Produk]], Data_Produk[], 7, 0)</f>
        <v>12000000</v>
      </c>
      <c r="K375" s="1">
        <f>VLOOKUP(Summary_Laporan_Penjualan_20248[[#This Row],[ID_Produk]], Data_Produk[], 8, 0)</f>
        <v>13963000</v>
      </c>
    </row>
    <row r="376" spans="1:11" x14ac:dyDescent="0.35">
      <c r="A376" s="1" t="s">
        <v>859</v>
      </c>
      <c r="B376" s="1" t="s">
        <v>172</v>
      </c>
      <c r="C376" s="1" t="s">
        <v>73</v>
      </c>
      <c r="D376" s="1" t="s">
        <v>124</v>
      </c>
      <c r="E376">
        <v>3</v>
      </c>
      <c r="F376" s="2">
        <v>45524</v>
      </c>
      <c r="G376" s="1" t="str">
        <f>VLOOKUP(Summary_Laporan_Penjualan_20248[[#This Row],[ID_Pelanggan]], Data_Pelanggan[], 2, 0)</f>
        <v>Toko Gadget Center</v>
      </c>
      <c r="H376" s="1" t="str">
        <f>VLOOKUP(Summary_Laporan_Penjualan_20248[[#This Row],[ID_Pelanggan]], Data_Pelanggan[], 4, 0)</f>
        <v>Malang</v>
      </c>
      <c r="I376" s="1" t="str">
        <f>VLOOKUP(Summary_Laporan_Penjualan_20248[[#This Row],[ID_Produk]], Data_Produk[], 6, 0)</f>
        <v>Semarang</v>
      </c>
      <c r="J376" s="1">
        <f>VLOOKUP(Summary_Laporan_Penjualan_20248[[#This Row],[ID_Produk]], Data_Produk[], 7, 0)</f>
        <v>950000</v>
      </c>
      <c r="K376" s="1">
        <f>VLOOKUP(Summary_Laporan_Penjualan_20248[[#This Row],[ID_Produk]], Data_Produk[], 8, 0)</f>
        <v>1649000</v>
      </c>
    </row>
    <row r="377" spans="1:11" x14ac:dyDescent="0.35">
      <c r="A377" s="1" t="s">
        <v>861</v>
      </c>
      <c r="B377" s="1" t="s">
        <v>149</v>
      </c>
      <c r="C377" s="1" t="s">
        <v>63</v>
      </c>
      <c r="D377" s="1" t="s">
        <v>157</v>
      </c>
      <c r="E377">
        <v>15</v>
      </c>
      <c r="F377" s="2">
        <v>45409</v>
      </c>
      <c r="G377" s="1" t="str">
        <f>VLOOKUP(Summary_Laporan_Penjualan_20248[[#This Row],[ID_Pelanggan]], Data_Pelanggan[], 2, 0)</f>
        <v>UD Makmur</v>
      </c>
      <c r="H377" s="1" t="str">
        <f>VLOOKUP(Summary_Laporan_Penjualan_20248[[#This Row],[ID_Pelanggan]], Data_Pelanggan[], 4, 0)</f>
        <v>Palembang</v>
      </c>
      <c r="I377" s="1" t="str">
        <f>VLOOKUP(Summary_Laporan_Penjualan_20248[[#This Row],[ID_Produk]], Data_Produk[], 6, 0)</f>
        <v>Semarang</v>
      </c>
      <c r="J377" s="1">
        <f>VLOOKUP(Summary_Laporan_Penjualan_20248[[#This Row],[ID_Produk]], Data_Produk[], 7, 0)</f>
        <v>100000</v>
      </c>
      <c r="K377" s="1">
        <f>VLOOKUP(Summary_Laporan_Penjualan_20248[[#This Row],[ID_Produk]], Data_Produk[], 8, 0)</f>
        <v>169000</v>
      </c>
    </row>
    <row r="378" spans="1:11" x14ac:dyDescent="0.35">
      <c r="A378" s="1" t="s">
        <v>863</v>
      </c>
      <c r="B378" s="1" t="s">
        <v>176</v>
      </c>
      <c r="C378" s="1" t="s">
        <v>29</v>
      </c>
      <c r="D378" s="1" t="s">
        <v>157</v>
      </c>
      <c r="E378">
        <v>5</v>
      </c>
      <c r="F378" s="2">
        <v>45545</v>
      </c>
      <c r="G378" s="1" t="str">
        <f>VLOOKUP(Summary_Laporan_Penjualan_20248[[#This Row],[ID_Pelanggan]], Data_Pelanggan[], 2, 0)</f>
        <v>UD Sentosa</v>
      </c>
      <c r="H378" s="1" t="str">
        <f>VLOOKUP(Summary_Laporan_Penjualan_20248[[#This Row],[ID_Pelanggan]], Data_Pelanggan[], 4, 0)</f>
        <v>Medan</v>
      </c>
      <c r="I378" s="1" t="str">
        <f>VLOOKUP(Summary_Laporan_Penjualan_20248[[#This Row],[ID_Produk]], Data_Produk[], 6, 0)</f>
        <v>Depok</v>
      </c>
      <c r="J378" s="1">
        <f>VLOOKUP(Summary_Laporan_Penjualan_20248[[#This Row],[ID_Produk]], Data_Produk[], 7, 0)</f>
        <v>1500000</v>
      </c>
      <c r="K378" s="1">
        <f>VLOOKUP(Summary_Laporan_Penjualan_20248[[#This Row],[ID_Produk]], Data_Produk[], 8, 0)</f>
        <v>1772000</v>
      </c>
    </row>
    <row r="379" spans="1:11" x14ac:dyDescent="0.35">
      <c r="A379" s="1" t="s">
        <v>865</v>
      </c>
      <c r="B379" s="1" t="s">
        <v>149</v>
      </c>
      <c r="C379" s="1" t="s">
        <v>78</v>
      </c>
      <c r="D379" s="1" t="s">
        <v>143</v>
      </c>
      <c r="E379">
        <v>2</v>
      </c>
      <c r="F379" s="2">
        <v>45424</v>
      </c>
      <c r="G379" s="1" t="str">
        <f>VLOOKUP(Summary_Laporan_Penjualan_20248[[#This Row],[ID_Pelanggan]], Data_Pelanggan[], 2, 0)</f>
        <v>CV Sinar Terang</v>
      </c>
      <c r="H379" s="1" t="str">
        <f>VLOOKUP(Summary_Laporan_Penjualan_20248[[#This Row],[ID_Pelanggan]], Data_Pelanggan[], 4, 0)</f>
        <v>Bandung</v>
      </c>
      <c r="I379" s="1" t="str">
        <f>VLOOKUP(Summary_Laporan_Penjualan_20248[[#This Row],[ID_Produk]], Data_Produk[], 6, 0)</f>
        <v>Semarang</v>
      </c>
      <c r="J379" s="1">
        <f>VLOOKUP(Summary_Laporan_Penjualan_20248[[#This Row],[ID_Produk]], Data_Produk[], 7, 0)</f>
        <v>100000</v>
      </c>
      <c r="K379" s="1">
        <f>VLOOKUP(Summary_Laporan_Penjualan_20248[[#This Row],[ID_Produk]], Data_Produk[], 8, 0)</f>
        <v>169000</v>
      </c>
    </row>
    <row r="380" spans="1:11" x14ac:dyDescent="0.35">
      <c r="A380" s="1" t="s">
        <v>866</v>
      </c>
      <c r="B380" s="1" t="s">
        <v>197</v>
      </c>
      <c r="C380" s="1" t="s">
        <v>29</v>
      </c>
      <c r="D380" s="1" t="s">
        <v>121</v>
      </c>
      <c r="E380">
        <v>6</v>
      </c>
      <c r="F380" s="2">
        <v>45564</v>
      </c>
      <c r="G380" s="1" t="str">
        <f>VLOOKUP(Summary_Laporan_Penjualan_20248[[#This Row],[ID_Pelanggan]], Data_Pelanggan[], 2, 0)</f>
        <v>UD Sentosa</v>
      </c>
      <c r="H380" s="1" t="str">
        <f>VLOOKUP(Summary_Laporan_Penjualan_20248[[#This Row],[ID_Pelanggan]], Data_Pelanggan[], 4, 0)</f>
        <v>Medan</v>
      </c>
      <c r="I380" s="1" t="str">
        <f>VLOOKUP(Summary_Laporan_Penjualan_20248[[#This Row],[ID_Produk]], Data_Produk[], 6, 0)</f>
        <v>Jakarta</v>
      </c>
      <c r="J380" s="1">
        <f>VLOOKUP(Summary_Laporan_Penjualan_20248[[#This Row],[ID_Produk]], Data_Produk[], 7, 0)</f>
        <v>1200000</v>
      </c>
      <c r="K380" s="1">
        <f>VLOOKUP(Summary_Laporan_Penjualan_20248[[#This Row],[ID_Produk]], Data_Produk[], 8, 0)</f>
        <v>1375000</v>
      </c>
    </row>
    <row r="381" spans="1:11" x14ac:dyDescent="0.35">
      <c r="A381" s="1" t="s">
        <v>868</v>
      </c>
      <c r="B381" s="1" t="s">
        <v>133</v>
      </c>
      <c r="C381" s="1" t="s">
        <v>35</v>
      </c>
      <c r="D381" s="1" t="s">
        <v>143</v>
      </c>
      <c r="E381">
        <v>10</v>
      </c>
      <c r="F381" s="2">
        <v>45421</v>
      </c>
      <c r="G381" s="1" t="str">
        <f>VLOOKUP(Summary_Laporan_Penjualan_20248[[#This Row],[ID_Pelanggan]], Data_Pelanggan[], 2, 0)</f>
        <v>PT Digital Nusantara</v>
      </c>
      <c r="H381" s="1" t="str">
        <f>VLOOKUP(Summary_Laporan_Penjualan_20248[[#This Row],[ID_Pelanggan]], Data_Pelanggan[], 4, 0)</f>
        <v>Jakarta</v>
      </c>
      <c r="I381" s="1" t="str">
        <f>VLOOKUP(Summary_Laporan_Penjualan_20248[[#This Row],[ID_Produk]], Data_Produk[], 6, 0)</f>
        <v>Jakarta</v>
      </c>
      <c r="J381" s="1">
        <f>VLOOKUP(Summary_Laporan_Penjualan_20248[[#This Row],[ID_Produk]], Data_Produk[], 7, 0)</f>
        <v>2500000</v>
      </c>
      <c r="K381" s="1">
        <f>VLOOKUP(Summary_Laporan_Penjualan_20248[[#This Row],[ID_Produk]], Data_Produk[], 8, 0)</f>
        <v>3080000</v>
      </c>
    </row>
    <row r="382" spans="1:11" x14ac:dyDescent="0.35">
      <c r="A382" s="1" t="s">
        <v>870</v>
      </c>
      <c r="B382" s="1" t="s">
        <v>176</v>
      </c>
      <c r="C382" s="1" t="s">
        <v>35</v>
      </c>
      <c r="D382" s="1" t="s">
        <v>143</v>
      </c>
      <c r="E382">
        <v>13</v>
      </c>
      <c r="F382" s="2">
        <v>45591</v>
      </c>
      <c r="G382" s="1" t="str">
        <f>VLOOKUP(Summary_Laporan_Penjualan_20248[[#This Row],[ID_Pelanggan]], Data_Pelanggan[], 2, 0)</f>
        <v>PT Digital Nusantara</v>
      </c>
      <c r="H382" s="1" t="str">
        <f>VLOOKUP(Summary_Laporan_Penjualan_20248[[#This Row],[ID_Pelanggan]], Data_Pelanggan[], 4, 0)</f>
        <v>Jakarta</v>
      </c>
      <c r="I382" s="1" t="str">
        <f>VLOOKUP(Summary_Laporan_Penjualan_20248[[#This Row],[ID_Produk]], Data_Produk[], 6, 0)</f>
        <v>Depok</v>
      </c>
      <c r="J382" s="1">
        <f>VLOOKUP(Summary_Laporan_Penjualan_20248[[#This Row],[ID_Produk]], Data_Produk[], 7, 0)</f>
        <v>1500000</v>
      </c>
      <c r="K382" s="1">
        <f>VLOOKUP(Summary_Laporan_Penjualan_20248[[#This Row],[ID_Produk]], Data_Produk[], 8, 0)</f>
        <v>1772000</v>
      </c>
    </row>
    <row r="383" spans="1:11" x14ac:dyDescent="0.35">
      <c r="A383" s="1" t="s">
        <v>872</v>
      </c>
      <c r="B383" s="1" t="s">
        <v>164</v>
      </c>
      <c r="C383" s="1" t="s">
        <v>8</v>
      </c>
      <c r="D383" s="1" t="s">
        <v>143</v>
      </c>
      <c r="E383">
        <v>1</v>
      </c>
      <c r="F383" s="2">
        <v>45555</v>
      </c>
      <c r="G383" s="1" t="str">
        <f>VLOOKUP(Summary_Laporan_Penjualan_20248[[#This Row],[ID_Pelanggan]], Data_Pelanggan[], 2, 0)</f>
        <v>PT Maju Jaya</v>
      </c>
      <c r="H383" s="1" t="str">
        <f>VLOOKUP(Summary_Laporan_Penjualan_20248[[#This Row],[ID_Pelanggan]], Data_Pelanggan[], 4, 0)</f>
        <v>Jakarta</v>
      </c>
      <c r="I383" s="1" t="str">
        <f>VLOOKUP(Summary_Laporan_Penjualan_20248[[#This Row],[ID_Produk]], Data_Produk[], 6, 0)</f>
        <v>Jakarta</v>
      </c>
      <c r="J383" s="1">
        <f>VLOOKUP(Summary_Laporan_Penjualan_20248[[#This Row],[ID_Produk]], Data_Produk[], 7, 0)</f>
        <v>750000</v>
      </c>
      <c r="K383" s="1">
        <f>VLOOKUP(Summary_Laporan_Penjualan_20248[[#This Row],[ID_Produk]], Data_Produk[], 8, 0)</f>
        <v>971000</v>
      </c>
    </row>
    <row r="384" spans="1:11" x14ac:dyDescent="0.35">
      <c r="A384" s="1" t="s">
        <v>874</v>
      </c>
      <c r="B384" s="1" t="s">
        <v>188</v>
      </c>
      <c r="C384" s="1" t="s">
        <v>87</v>
      </c>
      <c r="D384" s="1" t="s">
        <v>128</v>
      </c>
      <c r="E384">
        <v>9</v>
      </c>
      <c r="F384" s="2">
        <v>45353</v>
      </c>
      <c r="G384" s="1" t="str">
        <f>VLOOKUP(Summary_Laporan_Penjualan_20248[[#This Row],[ID_Pelanggan]], Data_Pelanggan[], 2, 0)</f>
        <v>PT Indo Digital</v>
      </c>
      <c r="H384" s="1" t="str">
        <f>VLOOKUP(Summary_Laporan_Penjualan_20248[[#This Row],[ID_Pelanggan]], Data_Pelanggan[], 4, 0)</f>
        <v>Tangerang</v>
      </c>
      <c r="I384" s="1" t="str">
        <f>VLOOKUP(Summary_Laporan_Penjualan_20248[[#This Row],[ID_Produk]], Data_Produk[], 6, 0)</f>
        <v>Semarang</v>
      </c>
      <c r="J384" s="1">
        <f>VLOOKUP(Summary_Laporan_Penjualan_20248[[#This Row],[ID_Produk]], Data_Produk[], 7, 0)</f>
        <v>2800000</v>
      </c>
      <c r="K384" s="1">
        <f>VLOOKUP(Summary_Laporan_Penjualan_20248[[#This Row],[ID_Produk]], Data_Produk[], 8, 0)</f>
        <v>4747000</v>
      </c>
    </row>
    <row r="385" spans="1:11" x14ac:dyDescent="0.35">
      <c r="A385" s="1" t="s">
        <v>876</v>
      </c>
      <c r="B385" s="1" t="s">
        <v>111</v>
      </c>
      <c r="C385" s="1" t="s">
        <v>21</v>
      </c>
      <c r="D385" s="1" t="s">
        <v>124</v>
      </c>
      <c r="E385">
        <v>5</v>
      </c>
      <c r="F385" s="2">
        <v>45497</v>
      </c>
      <c r="G385" s="1" t="str">
        <f>VLOOKUP(Summary_Laporan_Penjualan_20248[[#This Row],[ID_Pelanggan]], Data_Pelanggan[], 2, 0)</f>
        <v>Toko Komputer Sejahtera</v>
      </c>
      <c r="H385" s="1" t="str">
        <f>VLOOKUP(Summary_Laporan_Penjualan_20248[[#This Row],[ID_Pelanggan]], Data_Pelanggan[], 4, 0)</f>
        <v>Surabaya</v>
      </c>
      <c r="I385" s="1" t="str">
        <f>VLOOKUP(Summary_Laporan_Penjualan_20248[[#This Row],[ID_Produk]], Data_Produk[], 6, 0)</f>
        <v>Depok</v>
      </c>
      <c r="J385" s="1">
        <f>VLOOKUP(Summary_Laporan_Penjualan_20248[[#This Row],[ID_Produk]], Data_Produk[], 7, 0)</f>
        <v>18000000</v>
      </c>
      <c r="K385" s="1">
        <f>VLOOKUP(Summary_Laporan_Penjualan_20248[[#This Row],[ID_Produk]], Data_Produk[], 8, 0)</f>
        <v>27603000</v>
      </c>
    </row>
    <row r="386" spans="1:11" x14ac:dyDescent="0.35">
      <c r="A386" s="1" t="s">
        <v>878</v>
      </c>
      <c r="B386" s="1" t="s">
        <v>188</v>
      </c>
      <c r="C386" s="1" t="s">
        <v>35</v>
      </c>
      <c r="D386" s="1" t="s">
        <v>157</v>
      </c>
      <c r="E386">
        <v>3</v>
      </c>
      <c r="F386" s="2">
        <v>45301</v>
      </c>
      <c r="G386" s="1" t="str">
        <f>VLOOKUP(Summary_Laporan_Penjualan_20248[[#This Row],[ID_Pelanggan]], Data_Pelanggan[], 2, 0)</f>
        <v>PT Digital Nusantara</v>
      </c>
      <c r="H386" s="1" t="str">
        <f>VLOOKUP(Summary_Laporan_Penjualan_20248[[#This Row],[ID_Pelanggan]], Data_Pelanggan[], 4, 0)</f>
        <v>Jakarta</v>
      </c>
      <c r="I386" s="1" t="str">
        <f>VLOOKUP(Summary_Laporan_Penjualan_20248[[#This Row],[ID_Produk]], Data_Produk[], 6, 0)</f>
        <v>Semarang</v>
      </c>
      <c r="J386" s="1">
        <f>VLOOKUP(Summary_Laporan_Penjualan_20248[[#This Row],[ID_Produk]], Data_Produk[], 7, 0)</f>
        <v>2800000</v>
      </c>
      <c r="K386" s="1">
        <f>VLOOKUP(Summary_Laporan_Penjualan_20248[[#This Row],[ID_Produk]], Data_Produk[], 8, 0)</f>
        <v>4747000</v>
      </c>
    </row>
    <row r="387" spans="1:11" x14ac:dyDescent="0.35">
      <c r="A387" s="1" t="s">
        <v>880</v>
      </c>
      <c r="B387" s="1" t="s">
        <v>133</v>
      </c>
      <c r="C387" s="1" t="s">
        <v>69</v>
      </c>
      <c r="D387" s="1" t="s">
        <v>121</v>
      </c>
      <c r="E387">
        <v>7</v>
      </c>
      <c r="F387" s="2">
        <v>45632</v>
      </c>
      <c r="G387" s="1" t="str">
        <f>VLOOKUP(Summary_Laporan_Penjualan_20248[[#This Row],[ID_Pelanggan]], Data_Pelanggan[], 2, 0)</f>
        <v>PT Teknologi Prima</v>
      </c>
      <c r="H387" s="1" t="str">
        <f>VLOOKUP(Summary_Laporan_Penjualan_20248[[#This Row],[ID_Pelanggan]], Data_Pelanggan[], 4, 0)</f>
        <v>Jakarta</v>
      </c>
      <c r="I387" s="1" t="str">
        <f>VLOOKUP(Summary_Laporan_Penjualan_20248[[#This Row],[ID_Produk]], Data_Produk[], 6, 0)</f>
        <v>Jakarta</v>
      </c>
      <c r="J387" s="1">
        <f>VLOOKUP(Summary_Laporan_Penjualan_20248[[#This Row],[ID_Produk]], Data_Produk[], 7, 0)</f>
        <v>2500000</v>
      </c>
      <c r="K387" s="1">
        <f>VLOOKUP(Summary_Laporan_Penjualan_20248[[#This Row],[ID_Produk]], Data_Produk[], 8, 0)</f>
        <v>3080000</v>
      </c>
    </row>
    <row r="388" spans="1:11" x14ac:dyDescent="0.35">
      <c r="A388" s="1" t="s">
        <v>882</v>
      </c>
      <c r="B388" s="1" t="s">
        <v>164</v>
      </c>
      <c r="C388" s="1" t="s">
        <v>45</v>
      </c>
      <c r="D388" s="1" t="s">
        <v>128</v>
      </c>
      <c r="E388">
        <v>15</v>
      </c>
      <c r="F388" s="2">
        <v>45388</v>
      </c>
      <c r="G388" s="1" t="str">
        <f>VLOOKUP(Summary_Laporan_Penjualan_20248[[#This Row],[ID_Pelanggan]], Data_Pelanggan[], 2, 0)</f>
        <v>CV Techno</v>
      </c>
      <c r="H388" s="1" t="str">
        <f>VLOOKUP(Summary_Laporan_Penjualan_20248[[#This Row],[ID_Pelanggan]], Data_Pelanggan[], 4, 0)</f>
        <v>Yogyakarta</v>
      </c>
      <c r="I388" s="1" t="str">
        <f>VLOOKUP(Summary_Laporan_Penjualan_20248[[#This Row],[ID_Produk]], Data_Produk[], 6, 0)</f>
        <v>Jakarta</v>
      </c>
      <c r="J388" s="1">
        <f>VLOOKUP(Summary_Laporan_Penjualan_20248[[#This Row],[ID_Produk]], Data_Produk[], 7, 0)</f>
        <v>750000</v>
      </c>
      <c r="K388" s="1">
        <f>VLOOKUP(Summary_Laporan_Penjualan_20248[[#This Row],[ID_Produk]], Data_Produk[], 8, 0)</f>
        <v>971000</v>
      </c>
    </row>
    <row r="389" spans="1:11" x14ac:dyDescent="0.35">
      <c r="A389" s="1" t="s">
        <v>884</v>
      </c>
      <c r="B389" s="1" t="s">
        <v>106</v>
      </c>
      <c r="C389" s="1" t="s">
        <v>15</v>
      </c>
      <c r="D389" s="1" t="s">
        <v>171</v>
      </c>
      <c r="E389">
        <v>14</v>
      </c>
      <c r="F389" s="2">
        <v>45377</v>
      </c>
      <c r="G389" s="1" t="str">
        <f>VLOOKUP(Summary_Laporan_Penjualan_20248[[#This Row],[ID_Pelanggan]], Data_Pelanggan[], 2, 0)</f>
        <v>CV Berkah</v>
      </c>
      <c r="H389" s="1" t="str">
        <f>VLOOKUP(Summary_Laporan_Penjualan_20248[[#This Row],[ID_Pelanggan]], Data_Pelanggan[], 4, 0)</f>
        <v>Bandung</v>
      </c>
      <c r="I389" s="1" t="str">
        <f>VLOOKUP(Summary_Laporan_Penjualan_20248[[#This Row],[ID_Produk]], Data_Produk[], 6, 0)</f>
        <v>Depok</v>
      </c>
      <c r="J389" s="1">
        <f>VLOOKUP(Summary_Laporan_Penjualan_20248[[#This Row],[ID_Produk]], Data_Produk[], 7, 0)</f>
        <v>300000</v>
      </c>
      <c r="K389" s="1">
        <f>VLOOKUP(Summary_Laporan_Penjualan_20248[[#This Row],[ID_Produk]], Data_Produk[], 8, 0)</f>
        <v>355000</v>
      </c>
    </row>
    <row r="390" spans="1:11" x14ac:dyDescent="0.35">
      <c r="A390" s="1" t="s">
        <v>886</v>
      </c>
      <c r="B390" s="1" t="s">
        <v>106</v>
      </c>
      <c r="C390" s="1" t="s">
        <v>63</v>
      </c>
      <c r="D390" s="1" t="s">
        <v>128</v>
      </c>
      <c r="E390">
        <v>15</v>
      </c>
      <c r="F390" s="2">
        <v>45542</v>
      </c>
      <c r="G390" s="1" t="str">
        <f>VLOOKUP(Summary_Laporan_Penjualan_20248[[#This Row],[ID_Pelanggan]], Data_Pelanggan[], 2, 0)</f>
        <v>UD Makmur</v>
      </c>
      <c r="H390" s="1" t="str">
        <f>VLOOKUP(Summary_Laporan_Penjualan_20248[[#This Row],[ID_Pelanggan]], Data_Pelanggan[], 4, 0)</f>
        <v>Palembang</v>
      </c>
      <c r="I390" s="1" t="str">
        <f>VLOOKUP(Summary_Laporan_Penjualan_20248[[#This Row],[ID_Produk]], Data_Produk[], 6, 0)</f>
        <v>Depok</v>
      </c>
      <c r="J390" s="1">
        <f>VLOOKUP(Summary_Laporan_Penjualan_20248[[#This Row],[ID_Produk]], Data_Produk[], 7, 0)</f>
        <v>300000</v>
      </c>
      <c r="K390" s="1">
        <f>VLOOKUP(Summary_Laporan_Penjualan_20248[[#This Row],[ID_Produk]], Data_Produk[], 8, 0)</f>
        <v>355000</v>
      </c>
    </row>
    <row r="391" spans="1:11" x14ac:dyDescent="0.35">
      <c r="A391" s="1" t="s">
        <v>887</v>
      </c>
      <c r="B391" s="1" t="s">
        <v>111</v>
      </c>
      <c r="C391" s="1" t="s">
        <v>8</v>
      </c>
      <c r="D391" s="1" t="s">
        <v>143</v>
      </c>
      <c r="E391">
        <v>4</v>
      </c>
      <c r="F391" s="2">
        <v>45602</v>
      </c>
      <c r="G391" s="1" t="str">
        <f>VLOOKUP(Summary_Laporan_Penjualan_20248[[#This Row],[ID_Pelanggan]], Data_Pelanggan[], 2, 0)</f>
        <v>PT Maju Jaya</v>
      </c>
      <c r="H391" s="1" t="str">
        <f>VLOOKUP(Summary_Laporan_Penjualan_20248[[#This Row],[ID_Pelanggan]], Data_Pelanggan[], 4, 0)</f>
        <v>Jakarta</v>
      </c>
      <c r="I391" s="1" t="str">
        <f>VLOOKUP(Summary_Laporan_Penjualan_20248[[#This Row],[ID_Produk]], Data_Produk[], 6, 0)</f>
        <v>Depok</v>
      </c>
      <c r="J391" s="1">
        <f>VLOOKUP(Summary_Laporan_Penjualan_20248[[#This Row],[ID_Produk]], Data_Produk[], 7, 0)</f>
        <v>18000000</v>
      </c>
      <c r="K391" s="1">
        <f>VLOOKUP(Summary_Laporan_Penjualan_20248[[#This Row],[ID_Produk]], Data_Produk[], 8, 0)</f>
        <v>27603000</v>
      </c>
    </row>
    <row r="392" spans="1:11" x14ac:dyDescent="0.35">
      <c r="A392" s="1" t="s">
        <v>889</v>
      </c>
      <c r="B392" s="1" t="s">
        <v>173</v>
      </c>
      <c r="C392" s="1" t="s">
        <v>73</v>
      </c>
      <c r="D392" s="1" t="s">
        <v>171</v>
      </c>
      <c r="E392">
        <v>6</v>
      </c>
      <c r="F392" s="2">
        <v>45418</v>
      </c>
      <c r="G392" s="1" t="str">
        <f>VLOOKUP(Summary_Laporan_Penjualan_20248[[#This Row],[ID_Pelanggan]], Data_Pelanggan[], 2, 0)</f>
        <v>Toko Gadget Center</v>
      </c>
      <c r="H392" s="1" t="str">
        <f>VLOOKUP(Summary_Laporan_Penjualan_20248[[#This Row],[ID_Pelanggan]], Data_Pelanggan[], 4, 0)</f>
        <v>Malang</v>
      </c>
      <c r="I392" s="1" t="str">
        <f>VLOOKUP(Summary_Laporan_Penjualan_20248[[#This Row],[ID_Produk]], Data_Produk[], 6, 0)</f>
        <v>Depok</v>
      </c>
      <c r="J392" s="1">
        <f>VLOOKUP(Summary_Laporan_Penjualan_20248[[#This Row],[ID_Produk]], Data_Produk[], 7, 0)</f>
        <v>80000</v>
      </c>
      <c r="K392" s="1">
        <f>VLOOKUP(Summary_Laporan_Penjualan_20248[[#This Row],[ID_Produk]], Data_Produk[], 8, 0)</f>
        <v>92000</v>
      </c>
    </row>
    <row r="393" spans="1:11" x14ac:dyDescent="0.35">
      <c r="A393" s="1" t="s">
        <v>891</v>
      </c>
      <c r="B393" s="1" t="s">
        <v>191</v>
      </c>
      <c r="C393" s="1" t="s">
        <v>39</v>
      </c>
      <c r="D393" s="1" t="s">
        <v>143</v>
      </c>
      <c r="E393">
        <v>12</v>
      </c>
      <c r="F393" s="2">
        <v>45354</v>
      </c>
      <c r="G393" s="1" t="str">
        <f>VLOOKUP(Summary_Laporan_Penjualan_20248[[#This Row],[ID_Pelanggan]], Data_Pelanggan[], 2, 0)</f>
        <v>Toko Elektronik Jaya</v>
      </c>
      <c r="H393" s="1" t="str">
        <f>VLOOKUP(Summary_Laporan_Penjualan_20248[[#This Row],[ID_Pelanggan]], Data_Pelanggan[], 4, 0)</f>
        <v>Semarang</v>
      </c>
      <c r="I393" s="1" t="str">
        <f>VLOOKUP(Summary_Laporan_Penjualan_20248[[#This Row],[ID_Produk]], Data_Produk[], 6, 0)</f>
        <v>Jakarta</v>
      </c>
      <c r="J393" s="1">
        <f>VLOOKUP(Summary_Laporan_Penjualan_20248[[#This Row],[ID_Produk]], Data_Produk[], 7, 0)</f>
        <v>12000000</v>
      </c>
      <c r="K393" s="1">
        <f>VLOOKUP(Summary_Laporan_Penjualan_20248[[#This Row],[ID_Produk]], Data_Produk[], 8, 0)</f>
        <v>13963000</v>
      </c>
    </row>
    <row r="394" spans="1:11" x14ac:dyDescent="0.35">
      <c r="A394" s="1" t="s">
        <v>893</v>
      </c>
      <c r="B394" s="1" t="s">
        <v>149</v>
      </c>
      <c r="C394" s="1" t="s">
        <v>35</v>
      </c>
      <c r="D394" s="1" t="s">
        <v>128</v>
      </c>
      <c r="E394">
        <v>14</v>
      </c>
      <c r="F394" s="2">
        <v>45421</v>
      </c>
      <c r="G394" s="1" t="str">
        <f>VLOOKUP(Summary_Laporan_Penjualan_20248[[#This Row],[ID_Pelanggan]], Data_Pelanggan[], 2, 0)</f>
        <v>PT Digital Nusantara</v>
      </c>
      <c r="H394" s="1" t="str">
        <f>VLOOKUP(Summary_Laporan_Penjualan_20248[[#This Row],[ID_Pelanggan]], Data_Pelanggan[], 4, 0)</f>
        <v>Jakarta</v>
      </c>
      <c r="I394" s="1" t="str">
        <f>VLOOKUP(Summary_Laporan_Penjualan_20248[[#This Row],[ID_Produk]], Data_Produk[], 6, 0)</f>
        <v>Semarang</v>
      </c>
      <c r="J394" s="1">
        <f>VLOOKUP(Summary_Laporan_Penjualan_20248[[#This Row],[ID_Produk]], Data_Produk[], 7, 0)</f>
        <v>100000</v>
      </c>
      <c r="K394" s="1">
        <f>VLOOKUP(Summary_Laporan_Penjualan_20248[[#This Row],[ID_Produk]], Data_Produk[], 8, 0)</f>
        <v>169000</v>
      </c>
    </row>
    <row r="395" spans="1:11" x14ac:dyDescent="0.35">
      <c r="A395" s="1" t="s">
        <v>895</v>
      </c>
      <c r="B395" s="1" t="s">
        <v>240</v>
      </c>
      <c r="C395" s="1" t="s">
        <v>63</v>
      </c>
      <c r="D395" s="1" t="s">
        <v>124</v>
      </c>
      <c r="E395">
        <v>11</v>
      </c>
      <c r="F395" s="2">
        <v>45435</v>
      </c>
      <c r="G395" s="1" t="str">
        <f>VLOOKUP(Summary_Laporan_Penjualan_20248[[#This Row],[ID_Pelanggan]], Data_Pelanggan[], 2, 0)</f>
        <v>UD Makmur</v>
      </c>
      <c r="H395" s="1" t="str">
        <f>VLOOKUP(Summary_Laporan_Penjualan_20248[[#This Row],[ID_Pelanggan]], Data_Pelanggan[], 4, 0)</f>
        <v>Palembang</v>
      </c>
      <c r="I395" s="1" t="str">
        <f>VLOOKUP(Summary_Laporan_Penjualan_20248[[#This Row],[ID_Produk]], Data_Produk[], 6, 0)</f>
        <v>Semarang</v>
      </c>
      <c r="J395" s="1">
        <f>VLOOKUP(Summary_Laporan_Penjualan_20248[[#This Row],[ID_Produk]], Data_Produk[], 7, 0)</f>
        <v>350000</v>
      </c>
      <c r="K395" s="1">
        <f>VLOOKUP(Summary_Laporan_Penjualan_20248[[#This Row],[ID_Produk]], Data_Produk[], 8, 0)</f>
        <v>626000</v>
      </c>
    </row>
    <row r="396" spans="1:11" x14ac:dyDescent="0.35">
      <c r="A396" s="1" t="s">
        <v>897</v>
      </c>
      <c r="B396" s="1" t="s">
        <v>191</v>
      </c>
      <c r="C396" s="1" t="s">
        <v>73</v>
      </c>
      <c r="D396" s="1" t="s">
        <v>171</v>
      </c>
      <c r="E396">
        <v>12</v>
      </c>
      <c r="F396" s="2">
        <v>45579</v>
      </c>
      <c r="G396" s="1" t="str">
        <f>VLOOKUP(Summary_Laporan_Penjualan_20248[[#This Row],[ID_Pelanggan]], Data_Pelanggan[], 2, 0)</f>
        <v>Toko Gadget Center</v>
      </c>
      <c r="H396" s="1" t="str">
        <f>VLOOKUP(Summary_Laporan_Penjualan_20248[[#This Row],[ID_Pelanggan]], Data_Pelanggan[], 4, 0)</f>
        <v>Malang</v>
      </c>
      <c r="I396" s="1" t="str">
        <f>VLOOKUP(Summary_Laporan_Penjualan_20248[[#This Row],[ID_Produk]], Data_Produk[], 6, 0)</f>
        <v>Jakarta</v>
      </c>
      <c r="J396" s="1">
        <f>VLOOKUP(Summary_Laporan_Penjualan_20248[[#This Row],[ID_Produk]], Data_Produk[], 7, 0)</f>
        <v>12000000</v>
      </c>
      <c r="K396" s="1">
        <f>VLOOKUP(Summary_Laporan_Penjualan_20248[[#This Row],[ID_Produk]], Data_Produk[], 8, 0)</f>
        <v>13963000</v>
      </c>
    </row>
    <row r="397" spans="1:11" x14ac:dyDescent="0.35">
      <c r="A397" s="1" t="s">
        <v>899</v>
      </c>
      <c r="B397" s="1" t="s">
        <v>191</v>
      </c>
      <c r="C397" s="1" t="s">
        <v>15</v>
      </c>
      <c r="D397" s="1" t="s">
        <v>157</v>
      </c>
      <c r="E397">
        <v>2</v>
      </c>
      <c r="F397" s="2">
        <v>45363</v>
      </c>
      <c r="G397" s="1" t="str">
        <f>VLOOKUP(Summary_Laporan_Penjualan_20248[[#This Row],[ID_Pelanggan]], Data_Pelanggan[], 2, 0)</f>
        <v>CV Berkah</v>
      </c>
      <c r="H397" s="1" t="str">
        <f>VLOOKUP(Summary_Laporan_Penjualan_20248[[#This Row],[ID_Pelanggan]], Data_Pelanggan[], 4, 0)</f>
        <v>Bandung</v>
      </c>
      <c r="I397" s="1" t="str">
        <f>VLOOKUP(Summary_Laporan_Penjualan_20248[[#This Row],[ID_Produk]], Data_Produk[], 6, 0)</f>
        <v>Jakarta</v>
      </c>
      <c r="J397" s="1">
        <f>VLOOKUP(Summary_Laporan_Penjualan_20248[[#This Row],[ID_Produk]], Data_Produk[], 7, 0)</f>
        <v>12000000</v>
      </c>
      <c r="K397" s="1">
        <f>VLOOKUP(Summary_Laporan_Penjualan_20248[[#This Row],[ID_Produk]], Data_Produk[], 8, 0)</f>
        <v>13963000</v>
      </c>
    </row>
    <row r="398" spans="1:11" x14ac:dyDescent="0.35">
      <c r="A398" s="1" t="s">
        <v>901</v>
      </c>
      <c r="B398" s="1" t="s">
        <v>109</v>
      </c>
      <c r="C398" s="1" t="s">
        <v>35</v>
      </c>
      <c r="D398" s="1" t="s">
        <v>157</v>
      </c>
      <c r="E398">
        <v>15</v>
      </c>
      <c r="F398" s="2">
        <v>45547</v>
      </c>
      <c r="G398" s="1" t="str">
        <f>VLOOKUP(Summary_Laporan_Penjualan_20248[[#This Row],[ID_Pelanggan]], Data_Pelanggan[], 2, 0)</f>
        <v>PT Digital Nusantara</v>
      </c>
      <c r="H398" s="1" t="str">
        <f>VLOOKUP(Summary_Laporan_Penjualan_20248[[#This Row],[ID_Pelanggan]], Data_Pelanggan[], 4, 0)</f>
        <v>Jakarta</v>
      </c>
      <c r="I398" s="1" t="str">
        <f>VLOOKUP(Summary_Laporan_Penjualan_20248[[#This Row],[ID_Produk]], Data_Produk[], 6, 0)</f>
        <v>Semarang</v>
      </c>
      <c r="J398" s="1">
        <f>VLOOKUP(Summary_Laporan_Penjualan_20248[[#This Row],[ID_Produk]], Data_Produk[], 7, 0)</f>
        <v>2000000</v>
      </c>
      <c r="K398" s="1">
        <f>VLOOKUP(Summary_Laporan_Penjualan_20248[[#This Row],[ID_Produk]], Data_Produk[], 8, 0)</f>
        <v>3382000</v>
      </c>
    </row>
    <row r="399" spans="1:11" x14ac:dyDescent="0.35">
      <c r="A399" s="1" t="s">
        <v>902</v>
      </c>
      <c r="B399" s="1" t="s">
        <v>164</v>
      </c>
      <c r="C399" s="1" t="s">
        <v>87</v>
      </c>
      <c r="D399" s="1" t="s">
        <v>121</v>
      </c>
      <c r="E399">
        <v>12</v>
      </c>
      <c r="F399" s="2">
        <v>45371</v>
      </c>
      <c r="G399" s="1" t="str">
        <f>VLOOKUP(Summary_Laporan_Penjualan_20248[[#This Row],[ID_Pelanggan]], Data_Pelanggan[], 2, 0)</f>
        <v>PT Indo Digital</v>
      </c>
      <c r="H399" s="1" t="str">
        <f>VLOOKUP(Summary_Laporan_Penjualan_20248[[#This Row],[ID_Pelanggan]], Data_Pelanggan[], 4, 0)</f>
        <v>Tangerang</v>
      </c>
      <c r="I399" s="1" t="str">
        <f>VLOOKUP(Summary_Laporan_Penjualan_20248[[#This Row],[ID_Produk]], Data_Produk[], 6, 0)</f>
        <v>Jakarta</v>
      </c>
      <c r="J399" s="1">
        <f>VLOOKUP(Summary_Laporan_Penjualan_20248[[#This Row],[ID_Produk]], Data_Produk[], 7, 0)</f>
        <v>750000</v>
      </c>
      <c r="K399" s="1">
        <f>VLOOKUP(Summary_Laporan_Penjualan_20248[[#This Row],[ID_Produk]], Data_Produk[], 8, 0)</f>
        <v>971000</v>
      </c>
    </row>
    <row r="400" spans="1:11" x14ac:dyDescent="0.35">
      <c r="A400" s="1" t="s">
        <v>904</v>
      </c>
      <c r="B400" s="1" t="s">
        <v>272</v>
      </c>
      <c r="C400" s="1" t="s">
        <v>21</v>
      </c>
      <c r="D400" s="1" t="s">
        <v>124</v>
      </c>
      <c r="E400">
        <v>3</v>
      </c>
      <c r="F400" s="2">
        <v>45642</v>
      </c>
      <c r="G400" s="1" t="str">
        <f>VLOOKUP(Summary_Laporan_Penjualan_20248[[#This Row],[ID_Pelanggan]], Data_Pelanggan[], 2, 0)</f>
        <v>Toko Komputer Sejahtera</v>
      </c>
      <c r="H400" s="1" t="str">
        <f>VLOOKUP(Summary_Laporan_Penjualan_20248[[#This Row],[ID_Pelanggan]], Data_Pelanggan[], 4, 0)</f>
        <v>Surabaya</v>
      </c>
      <c r="I400" s="1" t="str">
        <f>VLOOKUP(Summary_Laporan_Penjualan_20248[[#This Row],[ID_Produk]], Data_Produk[], 6, 0)</f>
        <v>Depok</v>
      </c>
      <c r="J400" s="1">
        <f>VLOOKUP(Summary_Laporan_Penjualan_20248[[#This Row],[ID_Produk]], Data_Produk[], 7, 0)</f>
        <v>650000</v>
      </c>
      <c r="K400" s="1">
        <f>VLOOKUP(Summary_Laporan_Penjualan_20248[[#This Row],[ID_Produk]], Data_Produk[], 8, 0)</f>
        <v>741000</v>
      </c>
    </row>
    <row r="401" spans="1:11" x14ac:dyDescent="0.35">
      <c r="A401" s="1" t="s">
        <v>906</v>
      </c>
      <c r="B401" s="1" t="s">
        <v>272</v>
      </c>
      <c r="C401" s="1" t="s">
        <v>45</v>
      </c>
      <c r="D401" s="1" t="s">
        <v>124</v>
      </c>
      <c r="E401">
        <v>2</v>
      </c>
      <c r="F401" s="2">
        <v>45587</v>
      </c>
      <c r="G401" s="1" t="str">
        <f>VLOOKUP(Summary_Laporan_Penjualan_20248[[#This Row],[ID_Pelanggan]], Data_Pelanggan[], 2, 0)</f>
        <v>CV Techno</v>
      </c>
      <c r="H401" s="1" t="str">
        <f>VLOOKUP(Summary_Laporan_Penjualan_20248[[#This Row],[ID_Pelanggan]], Data_Pelanggan[], 4, 0)</f>
        <v>Yogyakarta</v>
      </c>
      <c r="I401" s="1" t="str">
        <f>VLOOKUP(Summary_Laporan_Penjualan_20248[[#This Row],[ID_Produk]], Data_Produk[], 6, 0)</f>
        <v>Depok</v>
      </c>
      <c r="J401" s="1">
        <f>VLOOKUP(Summary_Laporan_Penjualan_20248[[#This Row],[ID_Produk]], Data_Produk[], 7, 0)</f>
        <v>650000</v>
      </c>
      <c r="K401" s="1">
        <f>VLOOKUP(Summary_Laporan_Penjualan_20248[[#This Row],[ID_Produk]], Data_Produk[], 8, 0)</f>
        <v>741000</v>
      </c>
    </row>
    <row r="402" spans="1:11" x14ac:dyDescent="0.35">
      <c r="A402" s="1" t="s">
        <v>908</v>
      </c>
      <c r="B402" s="1" t="s">
        <v>272</v>
      </c>
      <c r="C402" s="1" t="s">
        <v>15</v>
      </c>
      <c r="D402" s="1" t="s">
        <v>128</v>
      </c>
      <c r="E402">
        <v>8</v>
      </c>
      <c r="F402" s="2">
        <v>45380</v>
      </c>
      <c r="G402" s="1" t="str">
        <f>VLOOKUP(Summary_Laporan_Penjualan_20248[[#This Row],[ID_Pelanggan]], Data_Pelanggan[], 2, 0)</f>
        <v>CV Berkah</v>
      </c>
      <c r="H402" s="1" t="str">
        <f>VLOOKUP(Summary_Laporan_Penjualan_20248[[#This Row],[ID_Pelanggan]], Data_Pelanggan[], 4, 0)</f>
        <v>Bandung</v>
      </c>
      <c r="I402" s="1" t="str">
        <f>VLOOKUP(Summary_Laporan_Penjualan_20248[[#This Row],[ID_Produk]], Data_Produk[], 6, 0)</f>
        <v>Depok</v>
      </c>
      <c r="J402" s="1">
        <f>VLOOKUP(Summary_Laporan_Penjualan_20248[[#This Row],[ID_Produk]], Data_Produk[], 7, 0)</f>
        <v>650000</v>
      </c>
      <c r="K402" s="1">
        <f>VLOOKUP(Summary_Laporan_Penjualan_20248[[#This Row],[ID_Produk]], Data_Produk[], 8, 0)</f>
        <v>741000</v>
      </c>
    </row>
    <row r="403" spans="1:11" x14ac:dyDescent="0.35">
      <c r="A403" s="1" t="s">
        <v>910</v>
      </c>
      <c r="B403" s="1" t="s">
        <v>137</v>
      </c>
      <c r="C403" s="1" t="s">
        <v>78</v>
      </c>
      <c r="D403" s="1" t="s">
        <v>124</v>
      </c>
      <c r="E403">
        <v>1</v>
      </c>
      <c r="F403" s="2">
        <v>45607</v>
      </c>
      <c r="G403" s="1" t="str">
        <f>VLOOKUP(Summary_Laporan_Penjualan_20248[[#This Row],[ID_Pelanggan]], Data_Pelanggan[], 2, 0)</f>
        <v>CV Sinar Terang</v>
      </c>
      <c r="H403" s="1" t="str">
        <f>VLOOKUP(Summary_Laporan_Penjualan_20248[[#This Row],[ID_Pelanggan]], Data_Pelanggan[], 4, 0)</f>
        <v>Bandung</v>
      </c>
      <c r="I403" s="1" t="str">
        <f>VLOOKUP(Summary_Laporan_Penjualan_20248[[#This Row],[ID_Produk]], Data_Produk[], 6, 0)</f>
        <v>Jakarta</v>
      </c>
      <c r="J403" s="1">
        <f>VLOOKUP(Summary_Laporan_Penjualan_20248[[#This Row],[ID_Produk]], Data_Produk[], 7, 0)</f>
        <v>2000000</v>
      </c>
      <c r="K403" s="1">
        <f>VLOOKUP(Summary_Laporan_Penjualan_20248[[#This Row],[ID_Produk]], Data_Produk[], 8, 0)</f>
        <v>2533000</v>
      </c>
    </row>
    <row r="404" spans="1:11" x14ac:dyDescent="0.35">
      <c r="A404" s="1" t="s">
        <v>912</v>
      </c>
      <c r="B404" s="1" t="s">
        <v>113</v>
      </c>
      <c r="C404" s="1" t="s">
        <v>45</v>
      </c>
      <c r="D404" s="1" t="s">
        <v>143</v>
      </c>
      <c r="E404">
        <v>8</v>
      </c>
      <c r="F404" s="2">
        <v>45407</v>
      </c>
      <c r="G404" s="1" t="str">
        <f>VLOOKUP(Summary_Laporan_Penjualan_20248[[#This Row],[ID_Pelanggan]], Data_Pelanggan[], 2, 0)</f>
        <v>CV Techno</v>
      </c>
      <c r="H404" s="1" t="str">
        <f>VLOOKUP(Summary_Laporan_Penjualan_20248[[#This Row],[ID_Pelanggan]], Data_Pelanggan[], 4, 0)</f>
        <v>Yogyakarta</v>
      </c>
      <c r="I404" s="1" t="str">
        <f>VLOOKUP(Summary_Laporan_Penjualan_20248[[#This Row],[ID_Produk]], Data_Produk[], 6, 0)</f>
        <v>Depok</v>
      </c>
      <c r="J404" s="1">
        <f>VLOOKUP(Summary_Laporan_Penjualan_20248[[#This Row],[ID_Produk]], Data_Produk[], 7, 0)</f>
        <v>4500000</v>
      </c>
      <c r="K404" s="1">
        <f>VLOOKUP(Summary_Laporan_Penjualan_20248[[#This Row],[ID_Produk]], Data_Produk[], 8, 0)</f>
        <v>5522000</v>
      </c>
    </row>
    <row r="405" spans="1:11" x14ac:dyDescent="0.35">
      <c r="A405" s="1" t="s">
        <v>914</v>
      </c>
      <c r="B405" s="1" t="s">
        <v>248</v>
      </c>
      <c r="C405" s="1" t="s">
        <v>8</v>
      </c>
      <c r="D405" s="1" t="s">
        <v>128</v>
      </c>
      <c r="E405">
        <v>10</v>
      </c>
      <c r="F405" s="2">
        <v>45388</v>
      </c>
      <c r="G405" s="1" t="str">
        <f>VLOOKUP(Summary_Laporan_Penjualan_20248[[#This Row],[ID_Pelanggan]], Data_Pelanggan[], 2, 0)</f>
        <v>PT Maju Jaya</v>
      </c>
      <c r="H405" s="1" t="str">
        <f>VLOOKUP(Summary_Laporan_Penjualan_20248[[#This Row],[ID_Pelanggan]], Data_Pelanggan[], 4, 0)</f>
        <v>Jakarta</v>
      </c>
      <c r="I405" s="1" t="str">
        <f>VLOOKUP(Summary_Laporan_Penjualan_20248[[#This Row],[ID_Produk]], Data_Produk[], 6, 0)</f>
        <v>Semarang</v>
      </c>
      <c r="J405" s="1">
        <f>VLOOKUP(Summary_Laporan_Penjualan_20248[[#This Row],[ID_Produk]], Data_Produk[], 7, 0)</f>
        <v>250000</v>
      </c>
      <c r="K405" s="1">
        <f>VLOOKUP(Summary_Laporan_Penjualan_20248[[#This Row],[ID_Produk]], Data_Produk[], 8, 0)</f>
        <v>354000</v>
      </c>
    </row>
    <row r="406" spans="1:11" x14ac:dyDescent="0.35">
      <c r="A406" s="1" t="s">
        <v>914</v>
      </c>
      <c r="B406" s="1" t="s">
        <v>168</v>
      </c>
      <c r="C406" s="1" t="s">
        <v>8</v>
      </c>
      <c r="D406" s="1" t="s">
        <v>128</v>
      </c>
      <c r="E406">
        <v>10</v>
      </c>
      <c r="F406" s="2">
        <v>45388</v>
      </c>
      <c r="G406" s="1" t="str">
        <f>VLOOKUP(Summary_Laporan_Penjualan_20248[[#This Row],[ID_Pelanggan]], Data_Pelanggan[], 2, 0)</f>
        <v>PT Maju Jaya</v>
      </c>
      <c r="H406" s="1" t="str">
        <f>VLOOKUP(Summary_Laporan_Penjualan_20248[[#This Row],[ID_Pelanggan]], Data_Pelanggan[], 4, 0)</f>
        <v>Jakarta</v>
      </c>
      <c r="I406" s="1" t="str">
        <f>VLOOKUP(Summary_Laporan_Penjualan_20248[[#This Row],[ID_Produk]], Data_Produk[], 6, 0)</f>
        <v>Semarang</v>
      </c>
      <c r="J406" s="1">
        <f>VLOOKUP(Summary_Laporan_Penjualan_20248[[#This Row],[ID_Produk]], Data_Produk[], 7, 0)</f>
        <v>500000</v>
      </c>
      <c r="K406" s="1">
        <f>VLOOKUP(Summary_Laporan_Penjualan_20248[[#This Row],[ID_Produk]], Data_Produk[], 8, 0)</f>
        <v>844000</v>
      </c>
    </row>
    <row r="407" spans="1:11" x14ac:dyDescent="0.35">
      <c r="A407" s="1" t="s">
        <v>914</v>
      </c>
      <c r="B407" s="1" t="s">
        <v>172</v>
      </c>
      <c r="C407" s="1" t="s">
        <v>8</v>
      </c>
      <c r="D407" s="1" t="s">
        <v>128</v>
      </c>
      <c r="E407">
        <v>10</v>
      </c>
      <c r="F407" s="2">
        <v>45388</v>
      </c>
      <c r="G407" s="1" t="str">
        <f>VLOOKUP(Summary_Laporan_Penjualan_20248[[#This Row],[ID_Pelanggan]], Data_Pelanggan[], 2, 0)</f>
        <v>PT Maju Jaya</v>
      </c>
      <c r="H407" s="1" t="str">
        <f>VLOOKUP(Summary_Laporan_Penjualan_20248[[#This Row],[ID_Pelanggan]], Data_Pelanggan[], 4, 0)</f>
        <v>Jakarta</v>
      </c>
      <c r="I407" s="1" t="str">
        <f>VLOOKUP(Summary_Laporan_Penjualan_20248[[#This Row],[ID_Produk]], Data_Produk[], 6, 0)</f>
        <v>Semarang</v>
      </c>
      <c r="J407" s="1">
        <f>VLOOKUP(Summary_Laporan_Penjualan_20248[[#This Row],[ID_Produk]], Data_Produk[], 7, 0)</f>
        <v>950000</v>
      </c>
      <c r="K407" s="1">
        <f>VLOOKUP(Summary_Laporan_Penjualan_20248[[#This Row],[ID_Produk]], Data_Produk[], 8, 0)</f>
        <v>1649000</v>
      </c>
    </row>
    <row r="408" spans="1:11" x14ac:dyDescent="0.35">
      <c r="A408" s="1" t="s">
        <v>914</v>
      </c>
      <c r="B408" s="1" t="s">
        <v>173</v>
      </c>
      <c r="C408" s="1" t="s">
        <v>8</v>
      </c>
      <c r="D408" s="1" t="s">
        <v>128</v>
      </c>
      <c r="E408">
        <v>10</v>
      </c>
      <c r="F408" s="2">
        <v>45388</v>
      </c>
      <c r="G408" s="1" t="str">
        <f>VLOOKUP(Summary_Laporan_Penjualan_20248[[#This Row],[ID_Pelanggan]], Data_Pelanggan[], 2, 0)</f>
        <v>PT Maju Jaya</v>
      </c>
      <c r="H408" s="1" t="str">
        <f>VLOOKUP(Summary_Laporan_Penjualan_20248[[#This Row],[ID_Pelanggan]], Data_Pelanggan[], 4, 0)</f>
        <v>Jakarta</v>
      </c>
      <c r="I408" s="1" t="str">
        <f>VLOOKUP(Summary_Laporan_Penjualan_20248[[#This Row],[ID_Produk]], Data_Produk[], 6, 0)</f>
        <v>Depok</v>
      </c>
      <c r="J408" s="1">
        <f>VLOOKUP(Summary_Laporan_Penjualan_20248[[#This Row],[ID_Produk]], Data_Produk[], 7, 0)</f>
        <v>80000</v>
      </c>
      <c r="K408" s="1">
        <f>VLOOKUP(Summary_Laporan_Penjualan_20248[[#This Row],[ID_Produk]], Data_Produk[], 8, 0)</f>
        <v>92000</v>
      </c>
    </row>
    <row r="409" spans="1:11" x14ac:dyDescent="0.35">
      <c r="A409" s="1" t="s">
        <v>914</v>
      </c>
      <c r="B409" s="1" t="s">
        <v>111</v>
      </c>
      <c r="C409" s="1" t="s">
        <v>8</v>
      </c>
      <c r="D409" s="1" t="s">
        <v>128</v>
      </c>
      <c r="E409">
        <v>10</v>
      </c>
      <c r="F409" s="2">
        <v>45388</v>
      </c>
      <c r="G409" s="1" t="str">
        <f>VLOOKUP(Summary_Laporan_Penjualan_20248[[#This Row],[ID_Pelanggan]], Data_Pelanggan[], 2, 0)</f>
        <v>PT Maju Jaya</v>
      </c>
      <c r="H409" s="1" t="str">
        <f>VLOOKUP(Summary_Laporan_Penjualan_20248[[#This Row],[ID_Pelanggan]], Data_Pelanggan[], 4, 0)</f>
        <v>Jakarta</v>
      </c>
      <c r="I409" s="1" t="str">
        <f>VLOOKUP(Summary_Laporan_Penjualan_20248[[#This Row],[ID_Produk]], Data_Produk[], 6, 0)</f>
        <v>Depok</v>
      </c>
      <c r="J409" s="1">
        <f>VLOOKUP(Summary_Laporan_Penjualan_20248[[#This Row],[ID_Produk]], Data_Produk[], 7, 0)</f>
        <v>18000000</v>
      </c>
      <c r="K409" s="1">
        <f>VLOOKUP(Summary_Laporan_Penjualan_20248[[#This Row],[ID_Produk]], Data_Produk[], 8, 0)</f>
        <v>27603000</v>
      </c>
    </row>
    <row r="410" spans="1:11" x14ac:dyDescent="0.35">
      <c r="A410" s="1" t="s">
        <v>914</v>
      </c>
      <c r="B410" s="1" t="s">
        <v>113</v>
      </c>
      <c r="C410" s="1" t="s">
        <v>8</v>
      </c>
      <c r="D410" s="1" t="s">
        <v>128</v>
      </c>
      <c r="E410">
        <v>10</v>
      </c>
      <c r="F410" s="2">
        <v>45388</v>
      </c>
      <c r="G410" s="1" t="str">
        <f>VLOOKUP(Summary_Laporan_Penjualan_20248[[#This Row],[ID_Pelanggan]], Data_Pelanggan[], 2, 0)</f>
        <v>PT Maju Jaya</v>
      </c>
      <c r="H410" s="1" t="str">
        <f>VLOOKUP(Summary_Laporan_Penjualan_20248[[#This Row],[ID_Pelanggan]], Data_Pelanggan[], 4, 0)</f>
        <v>Jakarta</v>
      </c>
      <c r="I410" s="1" t="str">
        <f>VLOOKUP(Summary_Laporan_Penjualan_20248[[#This Row],[ID_Produk]], Data_Produk[], 6, 0)</f>
        <v>Depok</v>
      </c>
      <c r="J410" s="1">
        <f>VLOOKUP(Summary_Laporan_Penjualan_20248[[#This Row],[ID_Produk]], Data_Produk[], 7, 0)</f>
        <v>4500000</v>
      </c>
      <c r="K410" s="1">
        <f>VLOOKUP(Summary_Laporan_Penjualan_20248[[#This Row],[ID_Produk]], Data_Produk[], 8, 0)</f>
        <v>5522000</v>
      </c>
    </row>
    <row r="411" spans="1:11" x14ac:dyDescent="0.35">
      <c r="A411" s="1" t="s">
        <v>914</v>
      </c>
      <c r="B411" s="1" t="s">
        <v>106</v>
      </c>
      <c r="C411" s="1" t="s">
        <v>8</v>
      </c>
      <c r="D411" s="1" t="s">
        <v>128</v>
      </c>
      <c r="E411">
        <v>10</v>
      </c>
      <c r="F411" s="2">
        <v>45388</v>
      </c>
      <c r="G411" s="1" t="str">
        <f>VLOOKUP(Summary_Laporan_Penjualan_20248[[#This Row],[ID_Pelanggan]], Data_Pelanggan[], 2, 0)</f>
        <v>PT Maju Jaya</v>
      </c>
      <c r="H411" s="1" t="str">
        <f>VLOOKUP(Summary_Laporan_Penjualan_20248[[#This Row],[ID_Pelanggan]], Data_Pelanggan[], 4, 0)</f>
        <v>Jakarta</v>
      </c>
      <c r="I411" s="1" t="str">
        <f>VLOOKUP(Summary_Laporan_Penjualan_20248[[#This Row],[ID_Produk]], Data_Produk[], 6, 0)</f>
        <v>Depok</v>
      </c>
      <c r="J411" s="1">
        <f>VLOOKUP(Summary_Laporan_Penjualan_20248[[#This Row],[ID_Produk]], Data_Produk[], 7, 0)</f>
        <v>300000</v>
      </c>
      <c r="K411" s="1">
        <f>VLOOKUP(Summary_Laporan_Penjualan_20248[[#This Row],[ID_Produk]], Data_Produk[], 8, 0)</f>
        <v>355000</v>
      </c>
    </row>
    <row r="412" spans="1:11" x14ac:dyDescent="0.35">
      <c r="A412" s="1" t="s">
        <v>914</v>
      </c>
      <c r="B412" s="1" t="s">
        <v>197</v>
      </c>
      <c r="C412" s="1" t="s">
        <v>8</v>
      </c>
      <c r="D412" s="1" t="s">
        <v>128</v>
      </c>
      <c r="E412">
        <v>10</v>
      </c>
      <c r="F412" s="2">
        <v>45388</v>
      </c>
      <c r="G412" s="1" t="str">
        <f>VLOOKUP(Summary_Laporan_Penjualan_20248[[#This Row],[ID_Pelanggan]], Data_Pelanggan[], 2, 0)</f>
        <v>PT Maju Jaya</v>
      </c>
      <c r="H412" s="1" t="str">
        <f>VLOOKUP(Summary_Laporan_Penjualan_20248[[#This Row],[ID_Pelanggan]], Data_Pelanggan[], 4, 0)</f>
        <v>Jakarta</v>
      </c>
      <c r="I412" s="1" t="str">
        <f>VLOOKUP(Summary_Laporan_Penjualan_20248[[#This Row],[ID_Produk]], Data_Produk[], 6, 0)</f>
        <v>Jakarta</v>
      </c>
      <c r="J412" s="1">
        <f>VLOOKUP(Summary_Laporan_Penjualan_20248[[#This Row],[ID_Produk]], Data_Produk[], 7, 0)</f>
        <v>1200000</v>
      </c>
      <c r="K412" s="1">
        <f>VLOOKUP(Summary_Laporan_Penjualan_20248[[#This Row],[ID_Produk]], Data_Produk[], 8, 0)</f>
        <v>1375000</v>
      </c>
    </row>
    <row r="413" spans="1:11" x14ac:dyDescent="0.35">
      <c r="A413" s="1" t="s">
        <v>914</v>
      </c>
      <c r="B413" s="1" t="s">
        <v>116</v>
      </c>
      <c r="C413" s="1" t="s">
        <v>8</v>
      </c>
      <c r="D413" s="1" t="s">
        <v>128</v>
      </c>
      <c r="E413">
        <v>10</v>
      </c>
      <c r="F413" s="2">
        <v>45388</v>
      </c>
      <c r="G413" s="1" t="str">
        <f>VLOOKUP(Summary_Laporan_Penjualan_20248[[#This Row],[ID_Pelanggan]], Data_Pelanggan[], 2, 0)</f>
        <v>PT Maju Jaya</v>
      </c>
      <c r="H413" s="1" t="str">
        <f>VLOOKUP(Summary_Laporan_Penjualan_20248[[#This Row],[ID_Pelanggan]], Data_Pelanggan[], 4, 0)</f>
        <v>Jakarta</v>
      </c>
      <c r="I413" s="1" t="str">
        <f>VLOOKUP(Summary_Laporan_Penjualan_20248[[#This Row],[ID_Produk]], Data_Produk[], 6, 0)</f>
        <v>Depok</v>
      </c>
      <c r="J413" s="1">
        <f>VLOOKUP(Summary_Laporan_Penjualan_20248[[#This Row],[ID_Produk]], Data_Produk[], 7, 0)</f>
        <v>5000000</v>
      </c>
      <c r="K413" s="1">
        <f>VLOOKUP(Summary_Laporan_Penjualan_20248[[#This Row],[ID_Produk]], Data_Produk[], 8, 0)</f>
        <v>7546000</v>
      </c>
    </row>
    <row r="414" spans="1:11" x14ac:dyDescent="0.35">
      <c r="A414" s="1" t="s">
        <v>914</v>
      </c>
      <c r="B414" s="1" t="s">
        <v>133</v>
      </c>
      <c r="C414" s="1" t="s">
        <v>8</v>
      </c>
      <c r="D414" s="1" t="s">
        <v>128</v>
      </c>
      <c r="E414">
        <v>10</v>
      </c>
      <c r="F414" s="2">
        <v>45388</v>
      </c>
      <c r="G414" s="1" t="str">
        <f>VLOOKUP(Summary_Laporan_Penjualan_20248[[#This Row],[ID_Pelanggan]], Data_Pelanggan[], 2, 0)</f>
        <v>PT Maju Jaya</v>
      </c>
      <c r="H414" s="1" t="str">
        <f>VLOOKUP(Summary_Laporan_Penjualan_20248[[#This Row],[ID_Pelanggan]], Data_Pelanggan[], 4, 0)</f>
        <v>Jakarta</v>
      </c>
      <c r="I414" s="1" t="str">
        <f>VLOOKUP(Summary_Laporan_Penjualan_20248[[#This Row],[ID_Produk]], Data_Produk[], 6, 0)</f>
        <v>Jakarta</v>
      </c>
      <c r="J414" s="1">
        <f>VLOOKUP(Summary_Laporan_Penjualan_20248[[#This Row],[ID_Produk]], Data_Produk[], 7, 0)</f>
        <v>2500000</v>
      </c>
      <c r="K414" s="1">
        <f>VLOOKUP(Summary_Laporan_Penjualan_20248[[#This Row],[ID_Produk]], Data_Produk[], 8, 0)</f>
        <v>3080000</v>
      </c>
    </row>
    <row r="415" spans="1:11" x14ac:dyDescent="0.35">
      <c r="A415" s="1" t="s">
        <v>914</v>
      </c>
      <c r="B415" s="1" t="s">
        <v>141</v>
      </c>
      <c r="C415" s="1" t="s">
        <v>8</v>
      </c>
      <c r="D415" s="1" t="s">
        <v>128</v>
      </c>
      <c r="E415">
        <v>10</v>
      </c>
      <c r="F415" s="2">
        <v>45388</v>
      </c>
      <c r="G415" s="1" t="str">
        <f>VLOOKUP(Summary_Laporan_Penjualan_20248[[#This Row],[ID_Pelanggan]], Data_Pelanggan[], 2, 0)</f>
        <v>PT Maju Jaya</v>
      </c>
      <c r="H415" s="1" t="str">
        <f>VLOOKUP(Summary_Laporan_Penjualan_20248[[#This Row],[ID_Pelanggan]], Data_Pelanggan[], 4, 0)</f>
        <v>Jakarta</v>
      </c>
      <c r="I415" s="1" t="str">
        <f>VLOOKUP(Summary_Laporan_Penjualan_20248[[#This Row],[ID_Produk]], Data_Produk[], 6, 0)</f>
        <v>Semarang</v>
      </c>
      <c r="J415" s="1">
        <f>VLOOKUP(Summary_Laporan_Penjualan_20248[[#This Row],[ID_Produk]], Data_Produk[], 7, 0)</f>
        <v>400000</v>
      </c>
      <c r="K415" s="1">
        <f>VLOOKUP(Summary_Laporan_Penjualan_20248[[#This Row],[ID_Produk]], Data_Produk[], 8, 0)</f>
        <v>623000</v>
      </c>
    </row>
    <row r="416" spans="1:11" x14ac:dyDescent="0.35">
      <c r="A416" s="1" t="s">
        <v>914</v>
      </c>
      <c r="B416" s="1" t="s">
        <v>109</v>
      </c>
      <c r="C416" s="1" t="s">
        <v>8</v>
      </c>
      <c r="D416" s="1" t="s">
        <v>128</v>
      </c>
      <c r="E416">
        <v>10</v>
      </c>
      <c r="F416" s="2">
        <v>45388</v>
      </c>
      <c r="G416" s="1" t="str">
        <f>VLOOKUP(Summary_Laporan_Penjualan_20248[[#This Row],[ID_Pelanggan]], Data_Pelanggan[], 2, 0)</f>
        <v>PT Maju Jaya</v>
      </c>
      <c r="H416" s="1" t="str">
        <f>VLOOKUP(Summary_Laporan_Penjualan_20248[[#This Row],[ID_Pelanggan]], Data_Pelanggan[], 4, 0)</f>
        <v>Jakarta</v>
      </c>
      <c r="I416" s="1" t="str">
        <f>VLOOKUP(Summary_Laporan_Penjualan_20248[[#This Row],[ID_Produk]], Data_Produk[], 6, 0)</f>
        <v>Semarang</v>
      </c>
      <c r="J416" s="1">
        <f>VLOOKUP(Summary_Laporan_Penjualan_20248[[#This Row],[ID_Produk]], Data_Produk[], 7, 0)</f>
        <v>2000000</v>
      </c>
      <c r="K416" s="1">
        <f>VLOOKUP(Summary_Laporan_Penjualan_20248[[#This Row],[ID_Produk]], Data_Produk[], 8, 0)</f>
        <v>3382000</v>
      </c>
    </row>
    <row r="417" spans="1:11" x14ac:dyDescent="0.35">
      <c r="A417" s="1" t="s">
        <v>915</v>
      </c>
      <c r="B417" s="1" t="s">
        <v>141</v>
      </c>
      <c r="C417" s="1" t="s">
        <v>51</v>
      </c>
      <c r="D417" s="1" t="s">
        <v>128</v>
      </c>
      <c r="E417">
        <v>6</v>
      </c>
      <c r="F417" s="2">
        <v>45630</v>
      </c>
      <c r="G417" s="1" t="str">
        <f>VLOOKUP(Summary_Laporan_Penjualan_20248[[#This Row],[ID_Pelanggan]], Data_Pelanggan[], 2, 0)</f>
        <v>Toko Musik Digital</v>
      </c>
      <c r="H417" s="1" t="str">
        <f>VLOOKUP(Summary_Laporan_Penjualan_20248[[#This Row],[ID_Pelanggan]], Data_Pelanggan[], 4, 0)</f>
        <v>Denpasar</v>
      </c>
      <c r="I417" s="1" t="str">
        <f>VLOOKUP(Summary_Laporan_Penjualan_20248[[#This Row],[ID_Produk]], Data_Produk[], 6, 0)</f>
        <v>Semarang</v>
      </c>
      <c r="J417" s="1">
        <f>VLOOKUP(Summary_Laporan_Penjualan_20248[[#This Row],[ID_Produk]], Data_Produk[], 7, 0)</f>
        <v>400000</v>
      </c>
      <c r="K417" s="1">
        <f>VLOOKUP(Summary_Laporan_Penjualan_20248[[#This Row],[ID_Produk]], Data_Produk[], 8, 0)</f>
        <v>623000</v>
      </c>
    </row>
    <row r="418" spans="1:11" x14ac:dyDescent="0.35">
      <c r="A418" s="1" t="s">
        <v>917</v>
      </c>
      <c r="B418" s="1" t="s">
        <v>109</v>
      </c>
      <c r="C418" s="1" t="s">
        <v>57</v>
      </c>
      <c r="D418" s="1" t="s">
        <v>143</v>
      </c>
      <c r="E418">
        <v>3</v>
      </c>
      <c r="F418" s="2">
        <v>45574</v>
      </c>
      <c r="G418" s="1" t="str">
        <f>VLOOKUP(Summary_Laporan_Penjualan_20248[[#This Row],[ID_Pelanggan]], Data_Pelanggan[], 2, 0)</f>
        <v>PT Karya Mandiri</v>
      </c>
      <c r="H418" s="1" t="str">
        <f>VLOOKUP(Summary_Laporan_Penjualan_20248[[#This Row],[ID_Pelanggan]], Data_Pelanggan[], 4, 0)</f>
        <v>Makassar</v>
      </c>
      <c r="I418" s="1" t="str">
        <f>VLOOKUP(Summary_Laporan_Penjualan_20248[[#This Row],[ID_Produk]], Data_Produk[], 6, 0)</f>
        <v>Semarang</v>
      </c>
      <c r="J418" s="1">
        <f>VLOOKUP(Summary_Laporan_Penjualan_20248[[#This Row],[ID_Produk]], Data_Produk[], 7, 0)</f>
        <v>2000000</v>
      </c>
      <c r="K418" s="1">
        <f>VLOOKUP(Summary_Laporan_Penjualan_20248[[#This Row],[ID_Produk]], Data_Produk[], 8, 0)</f>
        <v>3382000</v>
      </c>
    </row>
    <row r="419" spans="1:11" x14ac:dyDescent="0.35">
      <c r="A419" s="1" t="s">
        <v>919</v>
      </c>
      <c r="B419" s="1" t="s">
        <v>109</v>
      </c>
      <c r="C419" s="1" t="s">
        <v>63</v>
      </c>
      <c r="D419" s="1" t="s">
        <v>171</v>
      </c>
      <c r="E419">
        <v>14</v>
      </c>
      <c r="F419" s="2">
        <v>45341</v>
      </c>
      <c r="G419" s="1" t="str">
        <f>VLOOKUP(Summary_Laporan_Penjualan_20248[[#This Row],[ID_Pelanggan]], Data_Pelanggan[], 2, 0)</f>
        <v>UD Makmur</v>
      </c>
      <c r="H419" s="1" t="str">
        <f>VLOOKUP(Summary_Laporan_Penjualan_20248[[#This Row],[ID_Pelanggan]], Data_Pelanggan[], 4, 0)</f>
        <v>Palembang</v>
      </c>
      <c r="I419" s="1" t="str">
        <f>VLOOKUP(Summary_Laporan_Penjualan_20248[[#This Row],[ID_Produk]], Data_Produk[], 6, 0)</f>
        <v>Semarang</v>
      </c>
      <c r="J419" s="1">
        <f>VLOOKUP(Summary_Laporan_Penjualan_20248[[#This Row],[ID_Produk]], Data_Produk[], 7, 0)</f>
        <v>2000000</v>
      </c>
      <c r="K419" s="1">
        <f>VLOOKUP(Summary_Laporan_Penjualan_20248[[#This Row],[ID_Produk]], Data_Produk[], 8, 0)</f>
        <v>3382000</v>
      </c>
    </row>
    <row r="420" spans="1:11" x14ac:dyDescent="0.35">
      <c r="A420" s="1" t="s">
        <v>921</v>
      </c>
      <c r="B420" s="1" t="s">
        <v>106</v>
      </c>
      <c r="C420" s="1" t="s">
        <v>78</v>
      </c>
      <c r="D420" s="1" t="s">
        <v>157</v>
      </c>
      <c r="E420">
        <v>13</v>
      </c>
      <c r="F420" s="2">
        <v>45475</v>
      </c>
      <c r="G420" s="1" t="str">
        <f>VLOOKUP(Summary_Laporan_Penjualan_20248[[#This Row],[ID_Pelanggan]], Data_Pelanggan[], 2, 0)</f>
        <v>CV Sinar Terang</v>
      </c>
      <c r="H420" s="1" t="str">
        <f>VLOOKUP(Summary_Laporan_Penjualan_20248[[#This Row],[ID_Pelanggan]], Data_Pelanggan[], 4, 0)</f>
        <v>Bandung</v>
      </c>
      <c r="I420" s="1" t="str">
        <f>VLOOKUP(Summary_Laporan_Penjualan_20248[[#This Row],[ID_Produk]], Data_Produk[], 6, 0)</f>
        <v>Depok</v>
      </c>
      <c r="J420" s="1">
        <f>VLOOKUP(Summary_Laporan_Penjualan_20248[[#This Row],[ID_Produk]], Data_Produk[], 7, 0)</f>
        <v>300000</v>
      </c>
      <c r="K420" s="1">
        <f>VLOOKUP(Summary_Laporan_Penjualan_20248[[#This Row],[ID_Produk]], Data_Produk[], 8, 0)</f>
        <v>355000</v>
      </c>
    </row>
    <row r="421" spans="1:11" x14ac:dyDescent="0.35">
      <c r="A421" s="1" t="s">
        <v>923</v>
      </c>
      <c r="B421" s="1" t="s">
        <v>173</v>
      </c>
      <c r="C421" s="1" t="s">
        <v>51</v>
      </c>
      <c r="D421" s="1" t="s">
        <v>121</v>
      </c>
      <c r="E421">
        <v>14</v>
      </c>
      <c r="F421" s="2">
        <v>45440</v>
      </c>
      <c r="G421" s="1" t="str">
        <f>VLOOKUP(Summary_Laporan_Penjualan_20248[[#This Row],[ID_Pelanggan]], Data_Pelanggan[], 2, 0)</f>
        <v>Toko Musik Digital</v>
      </c>
      <c r="H421" s="1" t="str">
        <f>VLOOKUP(Summary_Laporan_Penjualan_20248[[#This Row],[ID_Pelanggan]], Data_Pelanggan[], 4, 0)</f>
        <v>Denpasar</v>
      </c>
      <c r="I421" s="1" t="str">
        <f>VLOOKUP(Summary_Laporan_Penjualan_20248[[#This Row],[ID_Produk]], Data_Produk[], 6, 0)</f>
        <v>Depok</v>
      </c>
      <c r="J421" s="1">
        <f>VLOOKUP(Summary_Laporan_Penjualan_20248[[#This Row],[ID_Produk]], Data_Produk[], 7, 0)</f>
        <v>80000</v>
      </c>
      <c r="K421" s="1">
        <f>VLOOKUP(Summary_Laporan_Penjualan_20248[[#This Row],[ID_Produk]], Data_Produk[], 8, 0)</f>
        <v>92000</v>
      </c>
    </row>
    <row r="422" spans="1:11" x14ac:dyDescent="0.35">
      <c r="A422" s="1" t="s">
        <v>925</v>
      </c>
      <c r="B422" s="1" t="s">
        <v>106</v>
      </c>
      <c r="C422" s="1" t="s">
        <v>78</v>
      </c>
      <c r="D422" s="1" t="s">
        <v>128</v>
      </c>
      <c r="E422">
        <v>10</v>
      </c>
      <c r="F422" s="2">
        <v>45651</v>
      </c>
      <c r="G422" s="1" t="str">
        <f>VLOOKUP(Summary_Laporan_Penjualan_20248[[#This Row],[ID_Pelanggan]], Data_Pelanggan[], 2, 0)</f>
        <v>CV Sinar Terang</v>
      </c>
      <c r="H422" s="1" t="str">
        <f>VLOOKUP(Summary_Laporan_Penjualan_20248[[#This Row],[ID_Pelanggan]], Data_Pelanggan[], 4, 0)</f>
        <v>Bandung</v>
      </c>
      <c r="I422" s="1" t="str">
        <f>VLOOKUP(Summary_Laporan_Penjualan_20248[[#This Row],[ID_Produk]], Data_Produk[], 6, 0)</f>
        <v>Depok</v>
      </c>
      <c r="J422" s="1">
        <f>VLOOKUP(Summary_Laporan_Penjualan_20248[[#This Row],[ID_Produk]], Data_Produk[], 7, 0)</f>
        <v>300000</v>
      </c>
      <c r="K422" s="1">
        <f>VLOOKUP(Summary_Laporan_Penjualan_20248[[#This Row],[ID_Produk]], Data_Produk[], 8, 0)</f>
        <v>355000</v>
      </c>
    </row>
    <row r="423" spans="1:11" x14ac:dyDescent="0.35">
      <c r="A423" s="1" t="s">
        <v>926</v>
      </c>
      <c r="B423" s="1" t="s">
        <v>133</v>
      </c>
      <c r="C423" s="1" t="s">
        <v>15</v>
      </c>
      <c r="D423" s="1" t="s">
        <v>128</v>
      </c>
      <c r="E423">
        <v>4</v>
      </c>
      <c r="F423" s="2">
        <v>45476</v>
      </c>
      <c r="G423" s="1" t="str">
        <f>VLOOKUP(Summary_Laporan_Penjualan_20248[[#This Row],[ID_Pelanggan]], Data_Pelanggan[], 2, 0)</f>
        <v>CV Berkah</v>
      </c>
      <c r="H423" s="1" t="str">
        <f>VLOOKUP(Summary_Laporan_Penjualan_20248[[#This Row],[ID_Pelanggan]], Data_Pelanggan[], 4, 0)</f>
        <v>Bandung</v>
      </c>
      <c r="I423" s="1" t="str">
        <f>VLOOKUP(Summary_Laporan_Penjualan_20248[[#This Row],[ID_Produk]], Data_Produk[], 6, 0)</f>
        <v>Jakarta</v>
      </c>
      <c r="J423" s="1">
        <f>VLOOKUP(Summary_Laporan_Penjualan_20248[[#This Row],[ID_Produk]], Data_Produk[], 7, 0)</f>
        <v>2500000</v>
      </c>
      <c r="K423" s="1">
        <f>VLOOKUP(Summary_Laporan_Penjualan_20248[[#This Row],[ID_Produk]], Data_Produk[], 8, 0)</f>
        <v>3080000</v>
      </c>
    </row>
    <row r="424" spans="1:11" x14ac:dyDescent="0.35">
      <c r="A424" s="1" t="s">
        <v>928</v>
      </c>
      <c r="B424" s="1" t="s">
        <v>141</v>
      </c>
      <c r="C424" s="1" t="s">
        <v>73</v>
      </c>
      <c r="D424" s="1" t="s">
        <v>124</v>
      </c>
      <c r="E424">
        <v>14</v>
      </c>
      <c r="F424" s="2">
        <v>45533</v>
      </c>
      <c r="G424" s="1" t="str">
        <f>VLOOKUP(Summary_Laporan_Penjualan_20248[[#This Row],[ID_Pelanggan]], Data_Pelanggan[], 2, 0)</f>
        <v>Toko Gadget Center</v>
      </c>
      <c r="H424" s="1" t="str">
        <f>VLOOKUP(Summary_Laporan_Penjualan_20248[[#This Row],[ID_Pelanggan]], Data_Pelanggan[], 4, 0)</f>
        <v>Malang</v>
      </c>
      <c r="I424" s="1" t="str">
        <f>VLOOKUP(Summary_Laporan_Penjualan_20248[[#This Row],[ID_Produk]], Data_Produk[], 6, 0)</f>
        <v>Semarang</v>
      </c>
      <c r="J424" s="1">
        <f>VLOOKUP(Summary_Laporan_Penjualan_20248[[#This Row],[ID_Produk]], Data_Produk[], 7, 0)</f>
        <v>400000</v>
      </c>
      <c r="K424" s="1">
        <f>VLOOKUP(Summary_Laporan_Penjualan_20248[[#This Row],[ID_Produk]], Data_Produk[], 8, 0)</f>
        <v>623000</v>
      </c>
    </row>
    <row r="425" spans="1:11" x14ac:dyDescent="0.35">
      <c r="A425" s="1" t="s">
        <v>930</v>
      </c>
      <c r="B425" s="1" t="s">
        <v>191</v>
      </c>
      <c r="C425" s="1" t="s">
        <v>78</v>
      </c>
      <c r="D425" s="1" t="s">
        <v>157</v>
      </c>
      <c r="E425">
        <v>14</v>
      </c>
      <c r="F425" s="2">
        <v>45647</v>
      </c>
      <c r="G425" s="1" t="str">
        <f>VLOOKUP(Summary_Laporan_Penjualan_20248[[#This Row],[ID_Pelanggan]], Data_Pelanggan[], 2, 0)</f>
        <v>CV Sinar Terang</v>
      </c>
      <c r="H425" s="1" t="str">
        <f>VLOOKUP(Summary_Laporan_Penjualan_20248[[#This Row],[ID_Pelanggan]], Data_Pelanggan[], 4, 0)</f>
        <v>Bandung</v>
      </c>
      <c r="I425" s="1" t="str">
        <f>VLOOKUP(Summary_Laporan_Penjualan_20248[[#This Row],[ID_Produk]], Data_Produk[], 6, 0)</f>
        <v>Jakarta</v>
      </c>
      <c r="J425" s="1">
        <f>VLOOKUP(Summary_Laporan_Penjualan_20248[[#This Row],[ID_Produk]], Data_Produk[], 7, 0)</f>
        <v>12000000</v>
      </c>
      <c r="K425" s="1">
        <f>VLOOKUP(Summary_Laporan_Penjualan_20248[[#This Row],[ID_Produk]], Data_Produk[], 8, 0)</f>
        <v>13963000</v>
      </c>
    </row>
    <row r="426" spans="1:11" x14ac:dyDescent="0.35">
      <c r="A426" s="1" t="s">
        <v>932</v>
      </c>
      <c r="B426" s="1" t="s">
        <v>173</v>
      </c>
      <c r="C426" s="1" t="s">
        <v>63</v>
      </c>
      <c r="D426" s="1" t="s">
        <v>157</v>
      </c>
      <c r="E426">
        <v>3</v>
      </c>
      <c r="F426" s="2">
        <v>45655</v>
      </c>
      <c r="G426" s="1" t="str">
        <f>VLOOKUP(Summary_Laporan_Penjualan_20248[[#This Row],[ID_Pelanggan]], Data_Pelanggan[], 2, 0)</f>
        <v>UD Makmur</v>
      </c>
      <c r="H426" s="1" t="str">
        <f>VLOOKUP(Summary_Laporan_Penjualan_20248[[#This Row],[ID_Pelanggan]], Data_Pelanggan[], 4, 0)</f>
        <v>Palembang</v>
      </c>
      <c r="I426" s="1" t="str">
        <f>VLOOKUP(Summary_Laporan_Penjualan_20248[[#This Row],[ID_Produk]], Data_Produk[], 6, 0)</f>
        <v>Depok</v>
      </c>
      <c r="J426" s="1">
        <f>VLOOKUP(Summary_Laporan_Penjualan_20248[[#This Row],[ID_Produk]], Data_Produk[], 7, 0)</f>
        <v>80000</v>
      </c>
      <c r="K426" s="1">
        <f>VLOOKUP(Summary_Laporan_Penjualan_20248[[#This Row],[ID_Produk]], Data_Produk[], 8, 0)</f>
        <v>92000</v>
      </c>
    </row>
    <row r="427" spans="1:11" x14ac:dyDescent="0.35">
      <c r="A427" s="1" t="s">
        <v>934</v>
      </c>
      <c r="B427" s="1" t="s">
        <v>137</v>
      </c>
      <c r="C427" s="1" t="s">
        <v>51</v>
      </c>
      <c r="D427" s="1" t="s">
        <v>157</v>
      </c>
      <c r="E427">
        <v>5</v>
      </c>
      <c r="F427" s="2">
        <v>45429</v>
      </c>
      <c r="G427" s="1" t="str">
        <f>VLOOKUP(Summary_Laporan_Penjualan_20248[[#This Row],[ID_Pelanggan]], Data_Pelanggan[], 2, 0)</f>
        <v>Toko Musik Digital</v>
      </c>
      <c r="H427" s="1" t="str">
        <f>VLOOKUP(Summary_Laporan_Penjualan_20248[[#This Row],[ID_Pelanggan]], Data_Pelanggan[], 4, 0)</f>
        <v>Denpasar</v>
      </c>
      <c r="I427" s="1" t="str">
        <f>VLOOKUP(Summary_Laporan_Penjualan_20248[[#This Row],[ID_Produk]], Data_Produk[], 6, 0)</f>
        <v>Jakarta</v>
      </c>
      <c r="J427" s="1">
        <f>VLOOKUP(Summary_Laporan_Penjualan_20248[[#This Row],[ID_Produk]], Data_Produk[], 7, 0)</f>
        <v>2000000</v>
      </c>
      <c r="K427" s="1">
        <f>VLOOKUP(Summary_Laporan_Penjualan_20248[[#This Row],[ID_Produk]], Data_Produk[], 8, 0)</f>
        <v>2533000</v>
      </c>
    </row>
    <row r="428" spans="1:11" x14ac:dyDescent="0.35">
      <c r="A428" s="1" t="s">
        <v>936</v>
      </c>
      <c r="B428" s="1" t="s">
        <v>106</v>
      </c>
      <c r="C428" s="1" t="s">
        <v>45</v>
      </c>
      <c r="D428" s="1" t="s">
        <v>171</v>
      </c>
      <c r="E428">
        <v>13</v>
      </c>
      <c r="F428" s="2">
        <v>45429</v>
      </c>
      <c r="G428" s="1" t="str">
        <f>VLOOKUP(Summary_Laporan_Penjualan_20248[[#This Row],[ID_Pelanggan]], Data_Pelanggan[], 2, 0)</f>
        <v>CV Techno</v>
      </c>
      <c r="H428" s="1" t="str">
        <f>VLOOKUP(Summary_Laporan_Penjualan_20248[[#This Row],[ID_Pelanggan]], Data_Pelanggan[], 4, 0)</f>
        <v>Yogyakarta</v>
      </c>
      <c r="I428" s="1" t="str">
        <f>VLOOKUP(Summary_Laporan_Penjualan_20248[[#This Row],[ID_Produk]], Data_Produk[], 6, 0)</f>
        <v>Depok</v>
      </c>
      <c r="J428" s="1">
        <f>VLOOKUP(Summary_Laporan_Penjualan_20248[[#This Row],[ID_Produk]], Data_Produk[], 7, 0)</f>
        <v>300000</v>
      </c>
      <c r="K428" s="1">
        <f>VLOOKUP(Summary_Laporan_Penjualan_20248[[#This Row],[ID_Produk]], Data_Produk[], 8, 0)</f>
        <v>355000</v>
      </c>
    </row>
    <row r="429" spans="1:11" x14ac:dyDescent="0.35">
      <c r="A429" s="1" t="s">
        <v>938</v>
      </c>
      <c r="B429" s="1" t="s">
        <v>164</v>
      </c>
      <c r="C429" s="1" t="s">
        <v>63</v>
      </c>
      <c r="D429" s="1" t="s">
        <v>121</v>
      </c>
      <c r="E429">
        <v>8</v>
      </c>
      <c r="F429" s="2">
        <v>45311</v>
      </c>
      <c r="G429" s="1" t="str">
        <f>VLOOKUP(Summary_Laporan_Penjualan_20248[[#This Row],[ID_Pelanggan]], Data_Pelanggan[], 2, 0)</f>
        <v>UD Makmur</v>
      </c>
      <c r="H429" s="1" t="str">
        <f>VLOOKUP(Summary_Laporan_Penjualan_20248[[#This Row],[ID_Pelanggan]], Data_Pelanggan[], 4, 0)</f>
        <v>Palembang</v>
      </c>
      <c r="I429" s="1" t="str">
        <f>VLOOKUP(Summary_Laporan_Penjualan_20248[[#This Row],[ID_Produk]], Data_Produk[], 6, 0)</f>
        <v>Jakarta</v>
      </c>
      <c r="J429" s="1">
        <f>VLOOKUP(Summary_Laporan_Penjualan_20248[[#This Row],[ID_Produk]], Data_Produk[], 7, 0)</f>
        <v>750000</v>
      </c>
      <c r="K429" s="1">
        <f>VLOOKUP(Summary_Laporan_Penjualan_20248[[#This Row],[ID_Produk]], Data_Produk[], 8, 0)</f>
        <v>971000</v>
      </c>
    </row>
    <row r="430" spans="1:11" x14ac:dyDescent="0.35">
      <c r="A430" s="1" t="s">
        <v>940</v>
      </c>
      <c r="B430" s="1" t="s">
        <v>176</v>
      </c>
      <c r="C430" s="1" t="s">
        <v>15</v>
      </c>
      <c r="D430" s="1" t="s">
        <v>157</v>
      </c>
      <c r="E430">
        <v>9</v>
      </c>
      <c r="F430" s="2">
        <v>45353</v>
      </c>
      <c r="G430" s="1" t="str">
        <f>VLOOKUP(Summary_Laporan_Penjualan_20248[[#This Row],[ID_Pelanggan]], Data_Pelanggan[], 2, 0)</f>
        <v>CV Berkah</v>
      </c>
      <c r="H430" s="1" t="str">
        <f>VLOOKUP(Summary_Laporan_Penjualan_20248[[#This Row],[ID_Pelanggan]], Data_Pelanggan[], 4, 0)</f>
        <v>Bandung</v>
      </c>
      <c r="I430" s="1" t="str">
        <f>VLOOKUP(Summary_Laporan_Penjualan_20248[[#This Row],[ID_Produk]], Data_Produk[], 6, 0)</f>
        <v>Depok</v>
      </c>
      <c r="J430" s="1">
        <f>VLOOKUP(Summary_Laporan_Penjualan_20248[[#This Row],[ID_Produk]], Data_Produk[], 7, 0)</f>
        <v>1500000</v>
      </c>
      <c r="K430" s="1">
        <f>VLOOKUP(Summary_Laporan_Penjualan_20248[[#This Row],[ID_Produk]], Data_Produk[], 8, 0)</f>
        <v>1772000</v>
      </c>
    </row>
    <row r="431" spans="1:11" x14ac:dyDescent="0.35">
      <c r="A431" s="1" t="s">
        <v>941</v>
      </c>
      <c r="B431" s="1" t="s">
        <v>272</v>
      </c>
      <c r="C431" s="1" t="s">
        <v>69</v>
      </c>
      <c r="D431" s="1" t="s">
        <v>121</v>
      </c>
      <c r="E431">
        <v>14</v>
      </c>
      <c r="F431" s="2">
        <v>45629</v>
      </c>
      <c r="G431" s="1" t="str">
        <f>VLOOKUP(Summary_Laporan_Penjualan_20248[[#This Row],[ID_Pelanggan]], Data_Pelanggan[], 2, 0)</f>
        <v>PT Teknologi Prima</v>
      </c>
      <c r="H431" s="1" t="str">
        <f>VLOOKUP(Summary_Laporan_Penjualan_20248[[#This Row],[ID_Pelanggan]], Data_Pelanggan[], 4, 0)</f>
        <v>Jakarta</v>
      </c>
      <c r="I431" s="1" t="str">
        <f>VLOOKUP(Summary_Laporan_Penjualan_20248[[#This Row],[ID_Produk]], Data_Produk[], 6, 0)</f>
        <v>Depok</v>
      </c>
      <c r="J431" s="1">
        <f>VLOOKUP(Summary_Laporan_Penjualan_20248[[#This Row],[ID_Produk]], Data_Produk[], 7, 0)</f>
        <v>650000</v>
      </c>
      <c r="K431" s="1">
        <f>VLOOKUP(Summary_Laporan_Penjualan_20248[[#This Row],[ID_Produk]], Data_Produk[], 8, 0)</f>
        <v>741000</v>
      </c>
    </row>
    <row r="432" spans="1:11" x14ac:dyDescent="0.35">
      <c r="A432" s="1" t="s">
        <v>943</v>
      </c>
      <c r="B432" s="1" t="s">
        <v>197</v>
      </c>
      <c r="C432" s="1" t="s">
        <v>45</v>
      </c>
      <c r="D432" s="1" t="s">
        <v>143</v>
      </c>
      <c r="E432">
        <v>4</v>
      </c>
      <c r="F432" s="2">
        <v>45505</v>
      </c>
      <c r="G432" s="1" t="str">
        <f>VLOOKUP(Summary_Laporan_Penjualan_20248[[#This Row],[ID_Pelanggan]], Data_Pelanggan[], 2, 0)</f>
        <v>CV Techno</v>
      </c>
      <c r="H432" s="1" t="str">
        <f>VLOOKUP(Summary_Laporan_Penjualan_20248[[#This Row],[ID_Pelanggan]], Data_Pelanggan[], 4, 0)</f>
        <v>Yogyakarta</v>
      </c>
      <c r="I432" s="1" t="str">
        <f>VLOOKUP(Summary_Laporan_Penjualan_20248[[#This Row],[ID_Produk]], Data_Produk[], 6, 0)</f>
        <v>Jakarta</v>
      </c>
      <c r="J432" s="1">
        <f>VLOOKUP(Summary_Laporan_Penjualan_20248[[#This Row],[ID_Produk]], Data_Produk[], 7, 0)</f>
        <v>1200000</v>
      </c>
      <c r="K432" s="1">
        <f>VLOOKUP(Summary_Laporan_Penjualan_20248[[#This Row],[ID_Produk]], Data_Produk[], 8, 0)</f>
        <v>1375000</v>
      </c>
    </row>
    <row r="433" spans="1:11" x14ac:dyDescent="0.35">
      <c r="A433" s="1" t="s">
        <v>945</v>
      </c>
      <c r="B433" s="1" t="s">
        <v>149</v>
      </c>
      <c r="C433" s="1" t="s">
        <v>39</v>
      </c>
      <c r="D433" s="1" t="s">
        <v>143</v>
      </c>
      <c r="E433">
        <v>4</v>
      </c>
      <c r="F433" s="2">
        <v>45594</v>
      </c>
      <c r="G433" s="1" t="str">
        <f>VLOOKUP(Summary_Laporan_Penjualan_20248[[#This Row],[ID_Pelanggan]], Data_Pelanggan[], 2, 0)</f>
        <v>Toko Elektronik Jaya</v>
      </c>
      <c r="H433" s="1" t="str">
        <f>VLOOKUP(Summary_Laporan_Penjualan_20248[[#This Row],[ID_Pelanggan]], Data_Pelanggan[], 4, 0)</f>
        <v>Semarang</v>
      </c>
      <c r="I433" s="1" t="str">
        <f>VLOOKUP(Summary_Laporan_Penjualan_20248[[#This Row],[ID_Produk]], Data_Produk[], 6, 0)</f>
        <v>Semarang</v>
      </c>
      <c r="J433" s="1">
        <f>VLOOKUP(Summary_Laporan_Penjualan_20248[[#This Row],[ID_Produk]], Data_Produk[], 7, 0)</f>
        <v>100000</v>
      </c>
      <c r="K433" s="1">
        <f>VLOOKUP(Summary_Laporan_Penjualan_20248[[#This Row],[ID_Produk]], Data_Produk[], 8, 0)</f>
        <v>169000</v>
      </c>
    </row>
    <row r="434" spans="1:11" x14ac:dyDescent="0.35">
      <c r="A434" s="1" t="s">
        <v>946</v>
      </c>
      <c r="B434" s="1" t="s">
        <v>188</v>
      </c>
      <c r="C434" s="1" t="s">
        <v>29</v>
      </c>
      <c r="D434" s="1" t="s">
        <v>128</v>
      </c>
      <c r="E434">
        <v>9</v>
      </c>
      <c r="F434" s="2">
        <v>45505</v>
      </c>
      <c r="G434" s="1" t="str">
        <f>VLOOKUP(Summary_Laporan_Penjualan_20248[[#This Row],[ID_Pelanggan]], Data_Pelanggan[], 2, 0)</f>
        <v>UD Sentosa</v>
      </c>
      <c r="H434" s="1" t="str">
        <f>VLOOKUP(Summary_Laporan_Penjualan_20248[[#This Row],[ID_Pelanggan]], Data_Pelanggan[], 4, 0)</f>
        <v>Medan</v>
      </c>
      <c r="I434" s="1" t="str">
        <f>VLOOKUP(Summary_Laporan_Penjualan_20248[[#This Row],[ID_Produk]], Data_Produk[], 6, 0)</f>
        <v>Semarang</v>
      </c>
      <c r="J434" s="1">
        <f>VLOOKUP(Summary_Laporan_Penjualan_20248[[#This Row],[ID_Produk]], Data_Produk[], 7, 0)</f>
        <v>2800000</v>
      </c>
      <c r="K434" s="1">
        <f>VLOOKUP(Summary_Laporan_Penjualan_20248[[#This Row],[ID_Produk]], Data_Produk[], 8, 0)</f>
        <v>4747000</v>
      </c>
    </row>
    <row r="435" spans="1:11" x14ac:dyDescent="0.35">
      <c r="A435" s="1" t="s">
        <v>947</v>
      </c>
      <c r="B435" s="1" t="s">
        <v>168</v>
      </c>
      <c r="C435" s="1" t="s">
        <v>21</v>
      </c>
      <c r="D435" s="1" t="s">
        <v>157</v>
      </c>
      <c r="E435">
        <v>11</v>
      </c>
      <c r="F435" s="2">
        <v>45332</v>
      </c>
      <c r="G435" s="1" t="str">
        <f>VLOOKUP(Summary_Laporan_Penjualan_20248[[#This Row],[ID_Pelanggan]], Data_Pelanggan[], 2, 0)</f>
        <v>Toko Komputer Sejahtera</v>
      </c>
      <c r="H435" s="1" t="str">
        <f>VLOOKUP(Summary_Laporan_Penjualan_20248[[#This Row],[ID_Pelanggan]], Data_Pelanggan[], 4, 0)</f>
        <v>Surabaya</v>
      </c>
      <c r="I435" s="1" t="str">
        <f>VLOOKUP(Summary_Laporan_Penjualan_20248[[#This Row],[ID_Produk]], Data_Produk[], 6, 0)</f>
        <v>Semarang</v>
      </c>
      <c r="J435" s="1">
        <f>VLOOKUP(Summary_Laporan_Penjualan_20248[[#This Row],[ID_Produk]], Data_Produk[], 7, 0)</f>
        <v>500000</v>
      </c>
      <c r="K435" s="1">
        <f>VLOOKUP(Summary_Laporan_Penjualan_20248[[#This Row],[ID_Produk]], Data_Produk[], 8, 0)</f>
        <v>844000</v>
      </c>
    </row>
    <row r="436" spans="1:11" x14ac:dyDescent="0.35">
      <c r="A436" s="1" t="s">
        <v>949</v>
      </c>
      <c r="B436" s="1" t="s">
        <v>172</v>
      </c>
      <c r="C436" s="1" t="s">
        <v>63</v>
      </c>
      <c r="D436" s="1" t="s">
        <v>128</v>
      </c>
      <c r="E436">
        <v>2</v>
      </c>
      <c r="F436" s="2">
        <v>45334</v>
      </c>
      <c r="G436" s="1" t="str">
        <f>VLOOKUP(Summary_Laporan_Penjualan_20248[[#This Row],[ID_Pelanggan]], Data_Pelanggan[], 2, 0)</f>
        <v>UD Makmur</v>
      </c>
      <c r="H436" s="1" t="str">
        <f>VLOOKUP(Summary_Laporan_Penjualan_20248[[#This Row],[ID_Pelanggan]], Data_Pelanggan[], 4, 0)</f>
        <v>Palembang</v>
      </c>
      <c r="I436" s="1" t="str">
        <f>VLOOKUP(Summary_Laporan_Penjualan_20248[[#This Row],[ID_Produk]], Data_Produk[], 6, 0)</f>
        <v>Semarang</v>
      </c>
      <c r="J436" s="1">
        <f>VLOOKUP(Summary_Laporan_Penjualan_20248[[#This Row],[ID_Produk]], Data_Produk[], 7, 0)</f>
        <v>950000</v>
      </c>
      <c r="K436" s="1">
        <f>VLOOKUP(Summary_Laporan_Penjualan_20248[[#This Row],[ID_Produk]], Data_Produk[], 8, 0)</f>
        <v>1649000</v>
      </c>
    </row>
    <row r="437" spans="1:11" x14ac:dyDescent="0.35">
      <c r="A437" s="1" t="s">
        <v>951</v>
      </c>
      <c r="B437" s="1" t="s">
        <v>172</v>
      </c>
      <c r="C437" s="1" t="s">
        <v>21</v>
      </c>
      <c r="D437" s="1" t="s">
        <v>143</v>
      </c>
      <c r="E437">
        <v>7</v>
      </c>
      <c r="F437" s="2">
        <v>45653</v>
      </c>
      <c r="G437" s="1" t="str">
        <f>VLOOKUP(Summary_Laporan_Penjualan_20248[[#This Row],[ID_Pelanggan]], Data_Pelanggan[], 2, 0)</f>
        <v>Toko Komputer Sejahtera</v>
      </c>
      <c r="H437" s="1" t="str">
        <f>VLOOKUP(Summary_Laporan_Penjualan_20248[[#This Row],[ID_Pelanggan]], Data_Pelanggan[], 4, 0)</f>
        <v>Surabaya</v>
      </c>
      <c r="I437" s="1" t="str">
        <f>VLOOKUP(Summary_Laporan_Penjualan_20248[[#This Row],[ID_Produk]], Data_Produk[], 6, 0)</f>
        <v>Semarang</v>
      </c>
      <c r="J437" s="1">
        <f>VLOOKUP(Summary_Laporan_Penjualan_20248[[#This Row],[ID_Produk]], Data_Produk[], 7, 0)</f>
        <v>950000</v>
      </c>
      <c r="K437" s="1">
        <f>VLOOKUP(Summary_Laporan_Penjualan_20248[[#This Row],[ID_Produk]], Data_Produk[], 8, 0)</f>
        <v>1649000</v>
      </c>
    </row>
    <row r="438" spans="1:11" x14ac:dyDescent="0.35">
      <c r="A438" s="1" t="s">
        <v>953</v>
      </c>
      <c r="B438" s="1" t="s">
        <v>173</v>
      </c>
      <c r="C438" s="1" t="s">
        <v>78</v>
      </c>
      <c r="D438" s="1" t="s">
        <v>128</v>
      </c>
      <c r="E438">
        <v>6</v>
      </c>
      <c r="F438" s="2">
        <v>45554</v>
      </c>
      <c r="G438" s="1" t="str">
        <f>VLOOKUP(Summary_Laporan_Penjualan_20248[[#This Row],[ID_Pelanggan]], Data_Pelanggan[], 2, 0)</f>
        <v>CV Sinar Terang</v>
      </c>
      <c r="H438" s="1" t="str">
        <f>VLOOKUP(Summary_Laporan_Penjualan_20248[[#This Row],[ID_Pelanggan]], Data_Pelanggan[], 4, 0)</f>
        <v>Bandung</v>
      </c>
      <c r="I438" s="1" t="str">
        <f>VLOOKUP(Summary_Laporan_Penjualan_20248[[#This Row],[ID_Produk]], Data_Produk[], 6, 0)</f>
        <v>Depok</v>
      </c>
      <c r="J438" s="1">
        <f>VLOOKUP(Summary_Laporan_Penjualan_20248[[#This Row],[ID_Produk]], Data_Produk[], 7, 0)</f>
        <v>80000</v>
      </c>
      <c r="K438" s="1">
        <f>VLOOKUP(Summary_Laporan_Penjualan_20248[[#This Row],[ID_Produk]], Data_Produk[], 8, 0)</f>
        <v>92000</v>
      </c>
    </row>
    <row r="439" spans="1:11" x14ac:dyDescent="0.35">
      <c r="A439" s="1" t="s">
        <v>955</v>
      </c>
      <c r="B439" s="1" t="s">
        <v>141</v>
      </c>
      <c r="C439" s="1" t="s">
        <v>21</v>
      </c>
      <c r="D439" s="1" t="s">
        <v>124</v>
      </c>
      <c r="E439">
        <v>1</v>
      </c>
      <c r="F439" s="2">
        <v>45389</v>
      </c>
      <c r="G439" s="1" t="str">
        <f>VLOOKUP(Summary_Laporan_Penjualan_20248[[#This Row],[ID_Pelanggan]], Data_Pelanggan[], 2, 0)</f>
        <v>Toko Komputer Sejahtera</v>
      </c>
      <c r="H439" s="1" t="str">
        <f>VLOOKUP(Summary_Laporan_Penjualan_20248[[#This Row],[ID_Pelanggan]], Data_Pelanggan[], 4, 0)</f>
        <v>Surabaya</v>
      </c>
      <c r="I439" s="1" t="str">
        <f>VLOOKUP(Summary_Laporan_Penjualan_20248[[#This Row],[ID_Produk]], Data_Produk[], 6, 0)</f>
        <v>Semarang</v>
      </c>
      <c r="J439" s="1">
        <f>VLOOKUP(Summary_Laporan_Penjualan_20248[[#This Row],[ID_Produk]], Data_Produk[], 7, 0)</f>
        <v>400000</v>
      </c>
      <c r="K439" s="1">
        <f>VLOOKUP(Summary_Laporan_Penjualan_20248[[#This Row],[ID_Produk]], Data_Produk[], 8, 0)</f>
        <v>623000</v>
      </c>
    </row>
    <row r="440" spans="1:11" x14ac:dyDescent="0.35">
      <c r="A440" s="1" t="s">
        <v>957</v>
      </c>
      <c r="B440" s="1" t="s">
        <v>106</v>
      </c>
      <c r="C440" s="1" t="s">
        <v>8</v>
      </c>
      <c r="D440" s="1" t="s">
        <v>143</v>
      </c>
      <c r="E440">
        <v>1</v>
      </c>
      <c r="F440" s="2">
        <v>45324</v>
      </c>
      <c r="G440" s="1" t="str">
        <f>VLOOKUP(Summary_Laporan_Penjualan_20248[[#This Row],[ID_Pelanggan]], Data_Pelanggan[], 2, 0)</f>
        <v>PT Maju Jaya</v>
      </c>
      <c r="H440" s="1" t="str">
        <f>VLOOKUP(Summary_Laporan_Penjualan_20248[[#This Row],[ID_Pelanggan]], Data_Pelanggan[], 4, 0)</f>
        <v>Jakarta</v>
      </c>
      <c r="I440" s="1" t="str">
        <f>VLOOKUP(Summary_Laporan_Penjualan_20248[[#This Row],[ID_Produk]], Data_Produk[], 6, 0)</f>
        <v>Depok</v>
      </c>
      <c r="J440" s="1">
        <f>VLOOKUP(Summary_Laporan_Penjualan_20248[[#This Row],[ID_Produk]], Data_Produk[], 7, 0)</f>
        <v>300000</v>
      </c>
      <c r="K440" s="1">
        <f>VLOOKUP(Summary_Laporan_Penjualan_20248[[#This Row],[ID_Produk]], Data_Produk[], 8, 0)</f>
        <v>355000</v>
      </c>
    </row>
    <row r="441" spans="1:11" x14ac:dyDescent="0.35">
      <c r="A441" s="1" t="s">
        <v>959</v>
      </c>
      <c r="B441" s="1" t="s">
        <v>248</v>
      </c>
      <c r="C441" s="1" t="s">
        <v>87</v>
      </c>
      <c r="D441" s="1" t="s">
        <v>124</v>
      </c>
      <c r="E441">
        <v>6</v>
      </c>
      <c r="F441" s="2">
        <v>45490</v>
      </c>
      <c r="G441" s="1" t="str">
        <f>VLOOKUP(Summary_Laporan_Penjualan_20248[[#This Row],[ID_Pelanggan]], Data_Pelanggan[], 2, 0)</f>
        <v>PT Indo Digital</v>
      </c>
      <c r="H441" s="1" t="str">
        <f>VLOOKUP(Summary_Laporan_Penjualan_20248[[#This Row],[ID_Pelanggan]], Data_Pelanggan[], 4, 0)</f>
        <v>Tangerang</v>
      </c>
      <c r="I441" s="1" t="str">
        <f>VLOOKUP(Summary_Laporan_Penjualan_20248[[#This Row],[ID_Produk]], Data_Produk[], 6, 0)</f>
        <v>Semarang</v>
      </c>
      <c r="J441" s="1">
        <f>VLOOKUP(Summary_Laporan_Penjualan_20248[[#This Row],[ID_Produk]], Data_Produk[], 7, 0)</f>
        <v>250000</v>
      </c>
      <c r="K441" s="1">
        <f>VLOOKUP(Summary_Laporan_Penjualan_20248[[#This Row],[ID_Produk]], Data_Produk[], 8, 0)</f>
        <v>354000</v>
      </c>
    </row>
    <row r="442" spans="1:11" x14ac:dyDescent="0.35">
      <c r="A442" s="1" t="s">
        <v>961</v>
      </c>
      <c r="B442" s="1" t="s">
        <v>172</v>
      </c>
      <c r="C442" s="1" t="s">
        <v>39</v>
      </c>
      <c r="D442" s="1" t="s">
        <v>143</v>
      </c>
      <c r="E442">
        <v>8</v>
      </c>
      <c r="F442" s="2">
        <v>45333</v>
      </c>
      <c r="G442" s="1" t="str">
        <f>VLOOKUP(Summary_Laporan_Penjualan_20248[[#This Row],[ID_Pelanggan]], Data_Pelanggan[], 2, 0)</f>
        <v>Toko Elektronik Jaya</v>
      </c>
      <c r="H442" s="1" t="str">
        <f>VLOOKUP(Summary_Laporan_Penjualan_20248[[#This Row],[ID_Pelanggan]], Data_Pelanggan[], 4, 0)</f>
        <v>Semarang</v>
      </c>
      <c r="I442" s="1" t="str">
        <f>VLOOKUP(Summary_Laporan_Penjualan_20248[[#This Row],[ID_Produk]], Data_Produk[], 6, 0)</f>
        <v>Semarang</v>
      </c>
      <c r="J442" s="1">
        <f>VLOOKUP(Summary_Laporan_Penjualan_20248[[#This Row],[ID_Produk]], Data_Produk[], 7, 0)</f>
        <v>950000</v>
      </c>
      <c r="K442" s="1">
        <f>VLOOKUP(Summary_Laporan_Penjualan_20248[[#This Row],[ID_Produk]], Data_Produk[], 8, 0)</f>
        <v>1649000</v>
      </c>
    </row>
    <row r="443" spans="1:11" x14ac:dyDescent="0.35">
      <c r="A443" s="1" t="s">
        <v>962</v>
      </c>
      <c r="B443" s="1" t="s">
        <v>113</v>
      </c>
      <c r="C443" s="1" t="s">
        <v>39</v>
      </c>
      <c r="D443" s="1" t="s">
        <v>171</v>
      </c>
      <c r="E443">
        <v>15</v>
      </c>
      <c r="F443" s="2">
        <v>45351</v>
      </c>
      <c r="G443" s="1" t="str">
        <f>VLOOKUP(Summary_Laporan_Penjualan_20248[[#This Row],[ID_Pelanggan]], Data_Pelanggan[], 2, 0)</f>
        <v>Toko Elektronik Jaya</v>
      </c>
      <c r="H443" s="1" t="str">
        <f>VLOOKUP(Summary_Laporan_Penjualan_20248[[#This Row],[ID_Pelanggan]], Data_Pelanggan[], 4, 0)</f>
        <v>Semarang</v>
      </c>
      <c r="I443" s="1" t="str">
        <f>VLOOKUP(Summary_Laporan_Penjualan_20248[[#This Row],[ID_Produk]], Data_Produk[], 6, 0)</f>
        <v>Depok</v>
      </c>
      <c r="J443" s="1">
        <f>VLOOKUP(Summary_Laporan_Penjualan_20248[[#This Row],[ID_Produk]], Data_Produk[], 7, 0)</f>
        <v>4500000</v>
      </c>
      <c r="K443" s="1">
        <f>VLOOKUP(Summary_Laporan_Penjualan_20248[[#This Row],[ID_Produk]], Data_Produk[], 8, 0)</f>
        <v>5522000</v>
      </c>
    </row>
    <row r="444" spans="1:11" x14ac:dyDescent="0.35">
      <c r="A444" s="1" t="s">
        <v>964</v>
      </c>
      <c r="B444" s="1" t="s">
        <v>113</v>
      </c>
      <c r="C444" s="1" t="s">
        <v>21</v>
      </c>
      <c r="D444" s="1" t="s">
        <v>171</v>
      </c>
      <c r="E444">
        <v>15</v>
      </c>
      <c r="F444" s="2">
        <v>45384</v>
      </c>
      <c r="G444" s="1" t="str">
        <f>VLOOKUP(Summary_Laporan_Penjualan_20248[[#This Row],[ID_Pelanggan]], Data_Pelanggan[], 2, 0)</f>
        <v>Toko Komputer Sejahtera</v>
      </c>
      <c r="H444" s="1" t="str">
        <f>VLOOKUP(Summary_Laporan_Penjualan_20248[[#This Row],[ID_Pelanggan]], Data_Pelanggan[], 4, 0)</f>
        <v>Surabaya</v>
      </c>
      <c r="I444" s="1" t="str">
        <f>VLOOKUP(Summary_Laporan_Penjualan_20248[[#This Row],[ID_Produk]], Data_Produk[], 6, 0)</f>
        <v>Depok</v>
      </c>
      <c r="J444" s="1">
        <f>VLOOKUP(Summary_Laporan_Penjualan_20248[[#This Row],[ID_Produk]], Data_Produk[], 7, 0)</f>
        <v>4500000</v>
      </c>
      <c r="K444" s="1">
        <f>VLOOKUP(Summary_Laporan_Penjualan_20248[[#This Row],[ID_Produk]], Data_Produk[], 8, 0)</f>
        <v>5522000</v>
      </c>
    </row>
    <row r="445" spans="1:11" x14ac:dyDescent="0.35">
      <c r="A445" s="1" t="s">
        <v>966</v>
      </c>
      <c r="B445" s="1" t="s">
        <v>168</v>
      </c>
      <c r="C445" s="1" t="s">
        <v>78</v>
      </c>
      <c r="D445" s="1" t="s">
        <v>157</v>
      </c>
      <c r="E445">
        <v>10</v>
      </c>
      <c r="F445" s="2">
        <v>45512</v>
      </c>
      <c r="G445" s="1" t="str">
        <f>VLOOKUP(Summary_Laporan_Penjualan_20248[[#This Row],[ID_Pelanggan]], Data_Pelanggan[], 2, 0)</f>
        <v>CV Sinar Terang</v>
      </c>
      <c r="H445" s="1" t="str">
        <f>VLOOKUP(Summary_Laporan_Penjualan_20248[[#This Row],[ID_Pelanggan]], Data_Pelanggan[], 4, 0)</f>
        <v>Bandung</v>
      </c>
      <c r="I445" s="1" t="str">
        <f>VLOOKUP(Summary_Laporan_Penjualan_20248[[#This Row],[ID_Produk]], Data_Produk[], 6, 0)</f>
        <v>Semarang</v>
      </c>
      <c r="J445" s="1">
        <f>VLOOKUP(Summary_Laporan_Penjualan_20248[[#This Row],[ID_Produk]], Data_Produk[], 7, 0)</f>
        <v>500000</v>
      </c>
      <c r="K445" s="1">
        <f>VLOOKUP(Summary_Laporan_Penjualan_20248[[#This Row],[ID_Produk]], Data_Produk[], 8, 0)</f>
        <v>844000</v>
      </c>
    </row>
    <row r="446" spans="1:11" x14ac:dyDescent="0.35">
      <c r="A446" s="1" t="s">
        <v>968</v>
      </c>
      <c r="B446" s="1" t="s">
        <v>172</v>
      </c>
      <c r="C446" s="1" t="s">
        <v>29</v>
      </c>
      <c r="D446" s="1" t="s">
        <v>128</v>
      </c>
      <c r="E446">
        <v>12</v>
      </c>
      <c r="F446" s="2">
        <v>45370</v>
      </c>
      <c r="G446" s="1" t="str">
        <f>VLOOKUP(Summary_Laporan_Penjualan_20248[[#This Row],[ID_Pelanggan]], Data_Pelanggan[], 2, 0)</f>
        <v>UD Sentosa</v>
      </c>
      <c r="H446" s="1" t="str">
        <f>VLOOKUP(Summary_Laporan_Penjualan_20248[[#This Row],[ID_Pelanggan]], Data_Pelanggan[], 4, 0)</f>
        <v>Medan</v>
      </c>
      <c r="I446" s="1" t="str">
        <f>VLOOKUP(Summary_Laporan_Penjualan_20248[[#This Row],[ID_Produk]], Data_Produk[], 6, 0)</f>
        <v>Semarang</v>
      </c>
      <c r="J446" s="1">
        <f>VLOOKUP(Summary_Laporan_Penjualan_20248[[#This Row],[ID_Produk]], Data_Produk[], 7, 0)</f>
        <v>950000</v>
      </c>
      <c r="K446" s="1">
        <f>VLOOKUP(Summary_Laporan_Penjualan_20248[[#This Row],[ID_Produk]], Data_Produk[], 8, 0)</f>
        <v>1649000</v>
      </c>
    </row>
    <row r="447" spans="1:11" x14ac:dyDescent="0.35">
      <c r="A447" s="1" t="s">
        <v>970</v>
      </c>
      <c r="B447" s="1" t="s">
        <v>106</v>
      </c>
      <c r="C447" s="1" t="s">
        <v>69</v>
      </c>
      <c r="D447" s="1" t="s">
        <v>171</v>
      </c>
      <c r="E447">
        <v>6</v>
      </c>
      <c r="F447" s="2">
        <v>45446</v>
      </c>
      <c r="G447" s="1" t="str">
        <f>VLOOKUP(Summary_Laporan_Penjualan_20248[[#This Row],[ID_Pelanggan]], Data_Pelanggan[], 2, 0)</f>
        <v>PT Teknologi Prima</v>
      </c>
      <c r="H447" s="1" t="str">
        <f>VLOOKUP(Summary_Laporan_Penjualan_20248[[#This Row],[ID_Pelanggan]], Data_Pelanggan[], 4, 0)</f>
        <v>Jakarta</v>
      </c>
      <c r="I447" s="1" t="str">
        <f>VLOOKUP(Summary_Laporan_Penjualan_20248[[#This Row],[ID_Produk]], Data_Produk[], 6, 0)</f>
        <v>Depok</v>
      </c>
      <c r="J447" s="1">
        <f>VLOOKUP(Summary_Laporan_Penjualan_20248[[#This Row],[ID_Produk]], Data_Produk[], 7, 0)</f>
        <v>300000</v>
      </c>
      <c r="K447" s="1">
        <f>VLOOKUP(Summary_Laporan_Penjualan_20248[[#This Row],[ID_Produk]], Data_Produk[], 8, 0)</f>
        <v>355000</v>
      </c>
    </row>
    <row r="448" spans="1:11" x14ac:dyDescent="0.35">
      <c r="A448" s="1" t="s">
        <v>972</v>
      </c>
      <c r="B448" s="1" t="s">
        <v>106</v>
      </c>
      <c r="C448" s="1" t="s">
        <v>15</v>
      </c>
      <c r="D448" s="1" t="s">
        <v>157</v>
      </c>
      <c r="E448">
        <v>12</v>
      </c>
      <c r="F448" s="2">
        <v>45590</v>
      </c>
      <c r="G448" s="1" t="str">
        <f>VLOOKUP(Summary_Laporan_Penjualan_20248[[#This Row],[ID_Pelanggan]], Data_Pelanggan[], 2, 0)</f>
        <v>CV Berkah</v>
      </c>
      <c r="H448" s="1" t="str">
        <f>VLOOKUP(Summary_Laporan_Penjualan_20248[[#This Row],[ID_Pelanggan]], Data_Pelanggan[], 4, 0)</f>
        <v>Bandung</v>
      </c>
      <c r="I448" s="1" t="str">
        <f>VLOOKUP(Summary_Laporan_Penjualan_20248[[#This Row],[ID_Produk]], Data_Produk[], 6, 0)</f>
        <v>Depok</v>
      </c>
      <c r="J448" s="1">
        <f>VLOOKUP(Summary_Laporan_Penjualan_20248[[#This Row],[ID_Produk]], Data_Produk[], 7, 0)</f>
        <v>300000</v>
      </c>
      <c r="K448" s="1">
        <f>VLOOKUP(Summary_Laporan_Penjualan_20248[[#This Row],[ID_Produk]], Data_Produk[], 8, 0)</f>
        <v>355000</v>
      </c>
    </row>
    <row r="449" spans="1:11" x14ac:dyDescent="0.35">
      <c r="A449" s="1" t="s">
        <v>974</v>
      </c>
      <c r="B449" s="1" t="s">
        <v>248</v>
      </c>
      <c r="C449" s="1" t="s">
        <v>29</v>
      </c>
      <c r="D449" s="1" t="s">
        <v>171</v>
      </c>
      <c r="E449">
        <v>15</v>
      </c>
      <c r="F449" s="2">
        <v>45521</v>
      </c>
      <c r="G449" s="1" t="str">
        <f>VLOOKUP(Summary_Laporan_Penjualan_20248[[#This Row],[ID_Pelanggan]], Data_Pelanggan[], 2, 0)</f>
        <v>UD Sentosa</v>
      </c>
      <c r="H449" s="1" t="str">
        <f>VLOOKUP(Summary_Laporan_Penjualan_20248[[#This Row],[ID_Pelanggan]], Data_Pelanggan[], 4, 0)</f>
        <v>Medan</v>
      </c>
      <c r="I449" s="1" t="str">
        <f>VLOOKUP(Summary_Laporan_Penjualan_20248[[#This Row],[ID_Produk]], Data_Produk[], 6, 0)</f>
        <v>Semarang</v>
      </c>
      <c r="J449" s="1">
        <f>VLOOKUP(Summary_Laporan_Penjualan_20248[[#This Row],[ID_Produk]], Data_Produk[], 7, 0)</f>
        <v>250000</v>
      </c>
      <c r="K449" s="1">
        <f>VLOOKUP(Summary_Laporan_Penjualan_20248[[#This Row],[ID_Produk]], Data_Produk[], 8, 0)</f>
        <v>354000</v>
      </c>
    </row>
    <row r="450" spans="1:11" x14ac:dyDescent="0.35">
      <c r="A450" s="1" t="s">
        <v>976</v>
      </c>
      <c r="B450" s="1" t="s">
        <v>141</v>
      </c>
      <c r="C450" s="1" t="s">
        <v>51</v>
      </c>
      <c r="D450" s="1" t="s">
        <v>128</v>
      </c>
      <c r="E450">
        <v>5</v>
      </c>
      <c r="F450" s="2">
        <v>45619</v>
      </c>
      <c r="G450" s="1" t="str">
        <f>VLOOKUP(Summary_Laporan_Penjualan_20248[[#This Row],[ID_Pelanggan]], Data_Pelanggan[], 2, 0)</f>
        <v>Toko Musik Digital</v>
      </c>
      <c r="H450" s="1" t="str">
        <f>VLOOKUP(Summary_Laporan_Penjualan_20248[[#This Row],[ID_Pelanggan]], Data_Pelanggan[], 4, 0)</f>
        <v>Denpasar</v>
      </c>
      <c r="I450" s="1" t="str">
        <f>VLOOKUP(Summary_Laporan_Penjualan_20248[[#This Row],[ID_Produk]], Data_Produk[], 6, 0)</f>
        <v>Semarang</v>
      </c>
      <c r="J450" s="1">
        <f>VLOOKUP(Summary_Laporan_Penjualan_20248[[#This Row],[ID_Produk]], Data_Produk[], 7, 0)</f>
        <v>400000</v>
      </c>
      <c r="K450" s="1">
        <f>VLOOKUP(Summary_Laporan_Penjualan_20248[[#This Row],[ID_Produk]], Data_Produk[], 8, 0)</f>
        <v>623000</v>
      </c>
    </row>
    <row r="451" spans="1:11" x14ac:dyDescent="0.35">
      <c r="A451" s="1" t="s">
        <v>978</v>
      </c>
      <c r="B451" s="1" t="s">
        <v>133</v>
      </c>
      <c r="C451" s="1" t="s">
        <v>69</v>
      </c>
      <c r="D451" s="1" t="s">
        <v>171</v>
      </c>
      <c r="E451">
        <v>6</v>
      </c>
      <c r="F451" s="2">
        <v>45320</v>
      </c>
      <c r="G451" s="1" t="str">
        <f>VLOOKUP(Summary_Laporan_Penjualan_20248[[#This Row],[ID_Pelanggan]], Data_Pelanggan[], 2, 0)</f>
        <v>PT Teknologi Prima</v>
      </c>
      <c r="H451" s="1" t="str">
        <f>VLOOKUP(Summary_Laporan_Penjualan_20248[[#This Row],[ID_Pelanggan]], Data_Pelanggan[], 4, 0)</f>
        <v>Jakarta</v>
      </c>
      <c r="I451" s="1" t="str">
        <f>VLOOKUP(Summary_Laporan_Penjualan_20248[[#This Row],[ID_Produk]], Data_Produk[], 6, 0)</f>
        <v>Jakarta</v>
      </c>
      <c r="J451" s="1">
        <f>VLOOKUP(Summary_Laporan_Penjualan_20248[[#This Row],[ID_Produk]], Data_Produk[], 7, 0)</f>
        <v>2500000</v>
      </c>
      <c r="K451" s="1">
        <f>VLOOKUP(Summary_Laporan_Penjualan_20248[[#This Row],[ID_Produk]], Data_Produk[], 8, 0)</f>
        <v>3080000</v>
      </c>
    </row>
    <row r="452" spans="1:11" x14ac:dyDescent="0.35">
      <c r="A452" s="1" t="s">
        <v>979</v>
      </c>
      <c r="B452" s="1" t="s">
        <v>111</v>
      </c>
      <c r="C452" s="1" t="s">
        <v>21</v>
      </c>
      <c r="D452" s="1" t="s">
        <v>128</v>
      </c>
      <c r="E452">
        <v>15</v>
      </c>
      <c r="F452" s="2">
        <v>45349</v>
      </c>
      <c r="G452" s="1" t="str">
        <f>VLOOKUP(Summary_Laporan_Penjualan_20248[[#This Row],[ID_Pelanggan]], Data_Pelanggan[], 2, 0)</f>
        <v>Toko Komputer Sejahtera</v>
      </c>
      <c r="H452" s="1" t="str">
        <f>VLOOKUP(Summary_Laporan_Penjualan_20248[[#This Row],[ID_Pelanggan]], Data_Pelanggan[], 4, 0)</f>
        <v>Surabaya</v>
      </c>
      <c r="I452" s="1" t="str">
        <f>VLOOKUP(Summary_Laporan_Penjualan_20248[[#This Row],[ID_Produk]], Data_Produk[], 6, 0)</f>
        <v>Depok</v>
      </c>
      <c r="J452" s="1">
        <f>VLOOKUP(Summary_Laporan_Penjualan_20248[[#This Row],[ID_Produk]], Data_Produk[], 7, 0)</f>
        <v>18000000</v>
      </c>
      <c r="K452" s="1">
        <f>VLOOKUP(Summary_Laporan_Penjualan_20248[[#This Row],[ID_Produk]], Data_Produk[], 8, 0)</f>
        <v>27603000</v>
      </c>
    </row>
    <row r="453" spans="1:11" x14ac:dyDescent="0.35">
      <c r="A453" s="1" t="s">
        <v>981</v>
      </c>
      <c r="B453" s="1" t="s">
        <v>109</v>
      </c>
      <c r="C453" s="1" t="s">
        <v>69</v>
      </c>
      <c r="D453" s="1" t="s">
        <v>121</v>
      </c>
      <c r="E453">
        <v>12</v>
      </c>
      <c r="F453" s="2">
        <v>45371</v>
      </c>
      <c r="G453" s="1" t="str">
        <f>VLOOKUP(Summary_Laporan_Penjualan_20248[[#This Row],[ID_Pelanggan]], Data_Pelanggan[], 2, 0)</f>
        <v>PT Teknologi Prima</v>
      </c>
      <c r="H453" s="1" t="str">
        <f>VLOOKUP(Summary_Laporan_Penjualan_20248[[#This Row],[ID_Pelanggan]], Data_Pelanggan[], 4, 0)</f>
        <v>Jakarta</v>
      </c>
      <c r="I453" s="1" t="str">
        <f>VLOOKUP(Summary_Laporan_Penjualan_20248[[#This Row],[ID_Produk]], Data_Produk[], 6, 0)</f>
        <v>Semarang</v>
      </c>
      <c r="J453" s="1">
        <f>VLOOKUP(Summary_Laporan_Penjualan_20248[[#This Row],[ID_Produk]], Data_Produk[], 7, 0)</f>
        <v>2000000</v>
      </c>
      <c r="K453" s="1">
        <f>VLOOKUP(Summary_Laporan_Penjualan_20248[[#This Row],[ID_Produk]], Data_Produk[], 8, 0)</f>
        <v>3382000</v>
      </c>
    </row>
    <row r="454" spans="1:11" x14ac:dyDescent="0.35">
      <c r="A454" s="1" t="s">
        <v>983</v>
      </c>
      <c r="B454" s="1" t="s">
        <v>191</v>
      </c>
      <c r="C454" s="1" t="s">
        <v>73</v>
      </c>
      <c r="D454" s="1" t="s">
        <v>157</v>
      </c>
      <c r="E454">
        <v>4</v>
      </c>
      <c r="F454" s="2">
        <v>45544</v>
      </c>
      <c r="G454" s="1" t="str">
        <f>VLOOKUP(Summary_Laporan_Penjualan_20248[[#This Row],[ID_Pelanggan]], Data_Pelanggan[], 2, 0)</f>
        <v>Toko Gadget Center</v>
      </c>
      <c r="H454" s="1" t="str">
        <f>VLOOKUP(Summary_Laporan_Penjualan_20248[[#This Row],[ID_Pelanggan]], Data_Pelanggan[], 4, 0)</f>
        <v>Malang</v>
      </c>
      <c r="I454" s="1" t="str">
        <f>VLOOKUP(Summary_Laporan_Penjualan_20248[[#This Row],[ID_Produk]], Data_Produk[], 6, 0)</f>
        <v>Jakarta</v>
      </c>
      <c r="J454" s="1">
        <f>VLOOKUP(Summary_Laporan_Penjualan_20248[[#This Row],[ID_Produk]], Data_Produk[], 7, 0)</f>
        <v>12000000</v>
      </c>
      <c r="K454" s="1">
        <f>VLOOKUP(Summary_Laporan_Penjualan_20248[[#This Row],[ID_Produk]], Data_Produk[], 8, 0)</f>
        <v>13963000</v>
      </c>
    </row>
    <row r="455" spans="1:11" x14ac:dyDescent="0.35">
      <c r="A455" s="1" t="s">
        <v>985</v>
      </c>
      <c r="B455" s="1" t="s">
        <v>106</v>
      </c>
      <c r="C455" s="1" t="s">
        <v>39</v>
      </c>
      <c r="D455" s="1" t="s">
        <v>128</v>
      </c>
      <c r="E455">
        <v>9</v>
      </c>
      <c r="F455" s="2">
        <v>45460</v>
      </c>
      <c r="G455" s="1" t="str">
        <f>VLOOKUP(Summary_Laporan_Penjualan_20248[[#This Row],[ID_Pelanggan]], Data_Pelanggan[], 2, 0)</f>
        <v>Toko Elektronik Jaya</v>
      </c>
      <c r="H455" s="1" t="str">
        <f>VLOOKUP(Summary_Laporan_Penjualan_20248[[#This Row],[ID_Pelanggan]], Data_Pelanggan[], 4, 0)</f>
        <v>Semarang</v>
      </c>
      <c r="I455" s="1" t="str">
        <f>VLOOKUP(Summary_Laporan_Penjualan_20248[[#This Row],[ID_Produk]], Data_Produk[], 6, 0)</f>
        <v>Depok</v>
      </c>
      <c r="J455" s="1">
        <f>VLOOKUP(Summary_Laporan_Penjualan_20248[[#This Row],[ID_Produk]], Data_Produk[], 7, 0)</f>
        <v>300000</v>
      </c>
      <c r="K455" s="1">
        <f>VLOOKUP(Summary_Laporan_Penjualan_20248[[#This Row],[ID_Produk]], Data_Produk[], 8, 0)</f>
        <v>355000</v>
      </c>
    </row>
    <row r="456" spans="1:11" x14ac:dyDescent="0.35">
      <c r="A456" s="1" t="s">
        <v>987</v>
      </c>
      <c r="B456" s="1" t="s">
        <v>176</v>
      </c>
      <c r="C456" s="1" t="s">
        <v>69</v>
      </c>
      <c r="D456" s="1" t="s">
        <v>143</v>
      </c>
      <c r="E456">
        <v>10</v>
      </c>
      <c r="F456" s="2">
        <v>45361</v>
      </c>
      <c r="G456" s="1" t="str">
        <f>VLOOKUP(Summary_Laporan_Penjualan_20248[[#This Row],[ID_Pelanggan]], Data_Pelanggan[], 2, 0)</f>
        <v>PT Teknologi Prima</v>
      </c>
      <c r="H456" s="1" t="str">
        <f>VLOOKUP(Summary_Laporan_Penjualan_20248[[#This Row],[ID_Pelanggan]], Data_Pelanggan[], 4, 0)</f>
        <v>Jakarta</v>
      </c>
      <c r="I456" s="1" t="str">
        <f>VLOOKUP(Summary_Laporan_Penjualan_20248[[#This Row],[ID_Produk]], Data_Produk[], 6, 0)</f>
        <v>Depok</v>
      </c>
      <c r="J456" s="1">
        <f>VLOOKUP(Summary_Laporan_Penjualan_20248[[#This Row],[ID_Produk]], Data_Produk[], 7, 0)</f>
        <v>1500000</v>
      </c>
      <c r="K456" s="1">
        <f>VLOOKUP(Summary_Laporan_Penjualan_20248[[#This Row],[ID_Produk]], Data_Produk[], 8, 0)</f>
        <v>1772000</v>
      </c>
    </row>
    <row r="457" spans="1:11" x14ac:dyDescent="0.35">
      <c r="A457" s="1" t="s">
        <v>989</v>
      </c>
      <c r="B457" s="1" t="s">
        <v>172</v>
      </c>
      <c r="C457" s="1" t="s">
        <v>15</v>
      </c>
      <c r="D457" s="1" t="s">
        <v>124</v>
      </c>
      <c r="E457">
        <v>10</v>
      </c>
      <c r="F457" s="2">
        <v>45432</v>
      </c>
      <c r="G457" s="1" t="str">
        <f>VLOOKUP(Summary_Laporan_Penjualan_20248[[#This Row],[ID_Pelanggan]], Data_Pelanggan[], 2, 0)</f>
        <v>CV Berkah</v>
      </c>
      <c r="H457" s="1" t="str">
        <f>VLOOKUP(Summary_Laporan_Penjualan_20248[[#This Row],[ID_Pelanggan]], Data_Pelanggan[], 4, 0)</f>
        <v>Bandung</v>
      </c>
      <c r="I457" s="1" t="str">
        <f>VLOOKUP(Summary_Laporan_Penjualan_20248[[#This Row],[ID_Produk]], Data_Produk[], 6, 0)</f>
        <v>Semarang</v>
      </c>
      <c r="J457" s="1">
        <f>VLOOKUP(Summary_Laporan_Penjualan_20248[[#This Row],[ID_Produk]], Data_Produk[], 7, 0)</f>
        <v>950000</v>
      </c>
      <c r="K457" s="1">
        <f>VLOOKUP(Summary_Laporan_Penjualan_20248[[#This Row],[ID_Produk]], Data_Produk[], 8, 0)</f>
        <v>1649000</v>
      </c>
    </row>
    <row r="458" spans="1:11" x14ac:dyDescent="0.35">
      <c r="A458" s="1" t="s">
        <v>991</v>
      </c>
      <c r="B458" s="1" t="s">
        <v>116</v>
      </c>
      <c r="C458" s="1" t="s">
        <v>82</v>
      </c>
      <c r="D458" s="1" t="s">
        <v>171</v>
      </c>
      <c r="E458">
        <v>8</v>
      </c>
      <c r="F458" s="2">
        <v>45619</v>
      </c>
      <c r="G458" s="1" t="str">
        <f>VLOOKUP(Summary_Laporan_Penjualan_20248[[#This Row],[ID_Pelanggan]], Data_Pelanggan[], 2, 0)</f>
        <v>Toko Komputer Maju</v>
      </c>
      <c r="H458" s="1" t="str">
        <f>VLOOKUP(Summary_Laporan_Penjualan_20248[[#This Row],[ID_Pelanggan]], Data_Pelanggan[], 4, 0)</f>
        <v>Solo</v>
      </c>
      <c r="I458" s="1" t="str">
        <f>VLOOKUP(Summary_Laporan_Penjualan_20248[[#This Row],[ID_Produk]], Data_Produk[], 6, 0)</f>
        <v>Depok</v>
      </c>
      <c r="J458" s="1">
        <f>VLOOKUP(Summary_Laporan_Penjualan_20248[[#This Row],[ID_Produk]], Data_Produk[], 7, 0)</f>
        <v>5000000</v>
      </c>
      <c r="K458" s="1">
        <f>VLOOKUP(Summary_Laporan_Penjualan_20248[[#This Row],[ID_Produk]], Data_Produk[], 8, 0)</f>
        <v>7546000</v>
      </c>
    </row>
    <row r="459" spans="1:11" x14ac:dyDescent="0.35">
      <c r="A459" s="1" t="s">
        <v>993</v>
      </c>
      <c r="B459" s="1" t="s">
        <v>191</v>
      </c>
      <c r="C459" s="1" t="s">
        <v>45</v>
      </c>
      <c r="D459" s="1" t="s">
        <v>128</v>
      </c>
      <c r="E459">
        <v>2</v>
      </c>
      <c r="F459" s="2">
        <v>45370</v>
      </c>
      <c r="G459" s="1" t="str">
        <f>VLOOKUP(Summary_Laporan_Penjualan_20248[[#This Row],[ID_Pelanggan]], Data_Pelanggan[], 2, 0)</f>
        <v>CV Techno</v>
      </c>
      <c r="H459" s="1" t="str">
        <f>VLOOKUP(Summary_Laporan_Penjualan_20248[[#This Row],[ID_Pelanggan]], Data_Pelanggan[], 4, 0)</f>
        <v>Yogyakarta</v>
      </c>
      <c r="I459" s="1" t="str">
        <f>VLOOKUP(Summary_Laporan_Penjualan_20248[[#This Row],[ID_Produk]], Data_Produk[], 6, 0)</f>
        <v>Jakarta</v>
      </c>
      <c r="J459" s="1">
        <f>VLOOKUP(Summary_Laporan_Penjualan_20248[[#This Row],[ID_Produk]], Data_Produk[], 7, 0)</f>
        <v>12000000</v>
      </c>
      <c r="K459" s="1">
        <f>VLOOKUP(Summary_Laporan_Penjualan_20248[[#This Row],[ID_Produk]], Data_Produk[], 8, 0)</f>
        <v>13963000</v>
      </c>
    </row>
    <row r="460" spans="1:11" x14ac:dyDescent="0.35">
      <c r="A460" s="1" t="s">
        <v>995</v>
      </c>
      <c r="B460" s="1" t="s">
        <v>176</v>
      </c>
      <c r="C460" s="1" t="s">
        <v>82</v>
      </c>
      <c r="D460" s="1" t="s">
        <v>128</v>
      </c>
      <c r="E460">
        <v>6</v>
      </c>
      <c r="F460" s="2">
        <v>45399</v>
      </c>
      <c r="G460" s="1" t="str">
        <f>VLOOKUP(Summary_Laporan_Penjualan_20248[[#This Row],[ID_Pelanggan]], Data_Pelanggan[], 2, 0)</f>
        <v>Toko Komputer Maju</v>
      </c>
      <c r="H460" s="1" t="str">
        <f>VLOOKUP(Summary_Laporan_Penjualan_20248[[#This Row],[ID_Pelanggan]], Data_Pelanggan[], 4, 0)</f>
        <v>Solo</v>
      </c>
      <c r="I460" s="1" t="str">
        <f>VLOOKUP(Summary_Laporan_Penjualan_20248[[#This Row],[ID_Produk]], Data_Produk[], 6, 0)</f>
        <v>Depok</v>
      </c>
      <c r="J460" s="1">
        <f>VLOOKUP(Summary_Laporan_Penjualan_20248[[#This Row],[ID_Produk]], Data_Produk[], 7, 0)</f>
        <v>1500000</v>
      </c>
      <c r="K460" s="1">
        <f>VLOOKUP(Summary_Laporan_Penjualan_20248[[#This Row],[ID_Produk]], Data_Produk[], 8, 0)</f>
        <v>1772000</v>
      </c>
    </row>
    <row r="461" spans="1:11" x14ac:dyDescent="0.35">
      <c r="A461" s="1" t="s">
        <v>997</v>
      </c>
      <c r="B461" s="1" t="s">
        <v>133</v>
      </c>
      <c r="C461" s="1" t="s">
        <v>57</v>
      </c>
      <c r="D461" s="1" t="s">
        <v>124</v>
      </c>
      <c r="E461">
        <v>9</v>
      </c>
      <c r="F461" s="2">
        <v>45365</v>
      </c>
      <c r="G461" s="1" t="str">
        <f>VLOOKUP(Summary_Laporan_Penjualan_20248[[#This Row],[ID_Pelanggan]], Data_Pelanggan[], 2, 0)</f>
        <v>PT Karya Mandiri</v>
      </c>
      <c r="H461" s="1" t="str">
        <f>VLOOKUP(Summary_Laporan_Penjualan_20248[[#This Row],[ID_Pelanggan]], Data_Pelanggan[], 4, 0)</f>
        <v>Makassar</v>
      </c>
      <c r="I461" s="1" t="str">
        <f>VLOOKUP(Summary_Laporan_Penjualan_20248[[#This Row],[ID_Produk]], Data_Produk[], 6, 0)</f>
        <v>Jakarta</v>
      </c>
      <c r="J461" s="1">
        <f>VLOOKUP(Summary_Laporan_Penjualan_20248[[#This Row],[ID_Produk]], Data_Produk[], 7, 0)</f>
        <v>2500000</v>
      </c>
      <c r="K461" s="1">
        <f>VLOOKUP(Summary_Laporan_Penjualan_20248[[#This Row],[ID_Produk]], Data_Produk[], 8, 0)</f>
        <v>3080000</v>
      </c>
    </row>
    <row r="462" spans="1:11" x14ac:dyDescent="0.35">
      <c r="A462" s="1" t="s">
        <v>999</v>
      </c>
      <c r="B462" s="1" t="s">
        <v>168</v>
      </c>
      <c r="C462" s="1" t="s">
        <v>35</v>
      </c>
      <c r="D462" s="1" t="s">
        <v>124</v>
      </c>
      <c r="E462">
        <v>8</v>
      </c>
      <c r="F462" s="2">
        <v>45621</v>
      </c>
      <c r="G462" s="1" t="str">
        <f>VLOOKUP(Summary_Laporan_Penjualan_20248[[#This Row],[ID_Pelanggan]], Data_Pelanggan[], 2, 0)</f>
        <v>PT Digital Nusantara</v>
      </c>
      <c r="H462" s="1" t="str">
        <f>VLOOKUP(Summary_Laporan_Penjualan_20248[[#This Row],[ID_Pelanggan]], Data_Pelanggan[], 4, 0)</f>
        <v>Jakarta</v>
      </c>
      <c r="I462" s="1" t="str">
        <f>VLOOKUP(Summary_Laporan_Penjualan_20248[[#This Row],[ID_Produk]], Data_Produk[], 6, 0)</f>
        <v>Semarang</v>
      </c>
      <c r="J462" s="1">
        <f>VLOOKUP(Summary_Laporan_Penjualan_20248[[#This Row],[ID_Produk]], Data_Produk[], 7, 0)</f>
        <v>500000</v>
      </c>
      <c r="K462" s="1">
        <f>VLOOKUP(Summary_Laporan_Penjualan_20248[[#This Row],[ID_Produk]], Data_Produk[], 8, 0)</f>
        <v>844000</v>
      </c>
    </row>
    <row r="463" spans="1:11" x14ac:dyDescent="0.35">
      <c r="A463" s="1" t="s">
        <v>1001</v>
      </c>
      <c r="B463" s="1" t="s">
        <v>137</v>
      </c>
      <c r="C463" s="1" t="s">
        <v>63</v>
      </c>
      <c r="D463" s="1" t="s">
        <v>128</v>
      </c>
      <c r="E463">
        <v>14</v>
      </c>
      <c r="F463" s="2">
        <v>45325</v>
      </c>
      <c r="G463" s="1" t="str">
        <f>VLOOKUP(Summary_Laporan_Penjualan_20248[[#This Row],[ID_Pelanggan]], Data_Pelanggan[], 2, 0)</f>
        <v>UD Makmur</v>
      </c>
      <c r="H463" s="1" t="str">
        <f>VLOOKUP(Summary_Laporan_Penjualan_20248[[#This Row],[ID_Pelanggan]], Data_Pelanggan[], 4, 0)</f>
        <v>Palembang</v>
      </c>
      <c r="I463" s="1" t="str">
        <f>VLOOKUP(Summary_Laporan_Penjualan_20248[[#This Row],[ID_Produk]], Data_Produk[], 6, 0)</f>
        <v>Jakarta</v>
      </c>
      <c r="J463" s="1">
        <f>VLOOKUP(Summary_Laporan_Penjualan_20248[[#This Row],[ID_Produk]], Data_Produk[], 7, 0)</f>
        <v>2000000</v>
      </c>
      <c r="K463" s="1">
        <f>VLOOKUP(Summary_Laporan_Penjualan_20248[[#This Row],[ID_Produk]], Data_Produk[], 8, 0)</f>
        <v>2533000</v>
      </c>
    </row>
    <row r="464" spans="1:11" x14ac:dyDescent="0.35">
      <c r="A464" s="1" t="s">
        <v>1003</v>
      </c>
      <c r="B464" s="1" t="s">
        <v>149</v>
      </c>
      <c r="C464" s="1" t="s">
        <v>57</v>
      </c>
      <c r="D464" s="1" t="s">
        <v>157</v>
      </c>
      <c r="E464">
        <v>12</v>
      </c>
      <c r="F464" s="2">
        <v>45453</v>
      </c>
      <c r="G464" s="1" t="str">
        <f>VLOOKUP(Summary_Laporan_Penjualan_20248[[#This Row],[ID_Pelanggan]], Data_Pelanggan[], 2, 0)</f>
        <v>PT Karya Mandiri</v>
      </c>
      <c r="H464" s="1" t="str">
        <f>VLOOKUP(Summary_Laporan_Penjualan_20248[[#This Row],[ID_Pelanggan]], Data_Pelanggan[], 4, 0)</f>
        <v>Makassar</v>
      </c>
      <c r="I464" s="1" t="str">
        <f>VLOOKUP(Summary_Laporan_Penjualan_20248[[#This Row],[ID_Produk]], Data_Produk[], 6, 0)</f>
        <v>Semarang</v>
      </c>
      <c r="J464" s="1">
        <f>VLOOKUP(Summary_Laporan_Penjualan_20248[[#This Row],[ID_Produk]], Data_Produk[], 7, 0)</f>
        <v>100000</v>
      </c>
      <c r="K464" s="1">
        <f>VLOOKUP(Summary_Laporan_Penjualan_20248[[#This Row],[ID_Produk]], Data_Produk[], 8, 0)</f>
        <v>169000</v>
      </c>
    </row>
    <row r="465" spans="1:11" x14ac:dyDescent="0.35">
      <c r="A465" s="1" t="s">
        <v>1005</v>
      </c>
      <c r="B465" s="1" t="s">
        <v>191</v>
      </c>
      <c r="C465" s="1" t="s">
        <v>87</v>
      </c>
      <c r="D465" s="1" t="s">
        <v>143</v>
      </c>
      <c r="E465">
        <v>1</v>
      </c>
      <c r="F465" s="2">
        <v>45415</v>
      </c>
      <c r="G465" s="1" t="str">
        <f>VLOOKUP(Summary_Laporan_Penjualan_20248[[#This Row],[ID_Pelanggan]], Data_Pelanggan[], 2, 0)</f>
        <v>PT Indo Digital</v>
      </c>
      <c r="H465" s="1" t="str">
        <f>VLOOKUP(Summary_Laporan_Penjualan_20248[[#This Row],[ID_Pelanggan]], Data_Pelanggan[], 4, 0)</f>
        <v>Tangerang</v>
      </c>
      <c r="I465" s="1" t="str">
        <f>VLOOKUP(Summary_Laporan_Penjualan_20248[[#This Row],[ID_Produk]], Data_Produk[], 6, 0)</f>
        <v>Jakarta</v>
      </c>
      <c r="J465" s="1">
        <f>VLOOKUP(Summary_Laporan_Penjualan_20248[[#This Row],[ID_Produk]], Data_Produk[], 7, 0)</f>
        <v>12000000</v>
      </c>
      <c r="K465" s="1">
        <f>VLOOKUP(Summary_Laporan_Penjualan_20248[[#This Row],[ID_Produk]], Data_Produk[], 8, 0)</f>
        <v>13963000</v>
      </c>
    </row>
    <row r="466" spans="1:11" x14ac:dyDescent="0.35">
      <c r="A466" s="1" t="s">
        <v>1007</v>
      </c>
      <c r="B466" s="1" t="s">
        <v>111</v>
      </c>
      <c r="C466" s="1" t="s">
        <v>15</v>
      </c>
      <c r="D466" s="1" t="s">
        <v>157</v>
      </c>
      <c r="E466">
        <v>5</v>
      </c>
      <c r="F466" s="2">
        <v>45477</v>
      </c>
      <c r="G466" s="1" t="str">
        <f>VLOOKUP(Summary_Laporan_Penjualan_20248[[#This Row],[ID_Pelanggan]], Data_Pelanggan[], 2, 0)</f>
        <v>CV Berkah</v>
      </c>
      <c r="H466" s="1" t="str">
        <f>VLOOKUP(Summary_Laporan_Penjualan_20248[[#This Row],[ID_Pelanggan]], Data_Pelanggan[], 4, 0)</f>
        <v>Bandung</v>
      </c>
      <c r="I466" s="1" t="str">
        <f>VLOOKUP(Summary_Laporan_Penjualan_20248[[#This Row],[ID_Produk]], Data_Produk[], 6, 0)</f>
        <v>Depok</v>
      </c>
      <c r="J466" s="1">
        <f>VLOOKUP(Summary_Laporan_Penjualan_20248[[#This Row],[ID_Produk]], Data_Produk[], 7, 0)</f>
        <v>18000000</v>
      </c>
      <c r="K466" s="1">
        <f>VLOOKUP(Summary_Laporan_Penjualan_20248[[#This Row],[ID_Produk]], Data_Produk[], 8, 0)</f>
        <v>27603000</v>
      </c>
    </row>
    <row r="467" spans="1:11" x14ac:dyDescent="0.35">
      <c r="A467" s="1" t="s">
        <v>1009</v>
      </c>
      <c r="B467" s="1" t="s">
        <v>116</v>
      </c>
      <c r="C467" s="1" t="s">
        <v>82</v>
      </c>
      <c r="D467" s="1" t="s">
        <v>128</v>
      </c>
      <c r="E467">
        <v>13</v>
      </c>
      <c r="F467" s="2">
        <v>45581</v>
      </c>
      <c r="G467" s="1" t="str">
        <f>VLOOKUP(Summary_Laporan_Penjualan_20248[[#This Row],[ID_Pelanggan]], Data_Pelanggan[], 2, 0)</f>
        <v>Toko Komputer Maju</v>
      </c>
      <c r="H467" s="1" t="str">
        <f>VLOOKUP(Summary_Laporan_Penjualan_20248[[#This Row],[ID_Pelanggan]], Data_Pelanggan[], 4, 0)</f>
        <v>Solo</v>
      </c>
      <c r="I467" s="1" t="str">
        <f>VLOOKUP(Summary_Laporan_Penjualan_20248[[#This Row],[ID_Produk]], Data_Produk[], 6, 0)</f>
        <v>Depok</v>
      </c>
      <c r="J467" s="1">
        <f>VLOOKUP(Summary_Laporan_Penjualan_20248[[#This Row],[ID_Produk]], Data_Produk[], 7, 0)</f>
        <v>5000000</v>
      </c>
      <c r="K467" s="1">
        <f>VLOOKUP(Summary_Laporan_Penjualan_20248[[#This Row],[ID_Produk]], Data_Produk[], 8, 0)</f>
        <v>7546000</v>
      </c>
    </row>
    <row r="468" spans="1:11" x14ac:dyDescent="0.35">
      <c r="A468" s="1" t="s">
        <v>1011</v>
      </c>
      <c r="B468" s="1" t="s">
        <v>164</v>
      </c>
      <c r="C468" s="1" t="s">
        <v>15</v>
      </c>
      <c r="D468" s="1" t="s">
        <v>143</v>
      </c>
      <c r="E468">
        <v>5</v>
      </c>
      <c r="F468" s="2">
        <v>45486</v>
      </c>
      <c r="G468" s="1" t="str">
        <f>VLOOKUP(Summary_Laporan_Penjualan_20248[[#This Row],[ID_Pelanggan]], Data_Pelanggan[], 2, 0)</f>
        <v>CV Berkah</v>
      </c>
      <c r="H468" s="1" t="str">
        <f>VLOOKUP(Summary_Laporan_Penjualan_20248[[#This Row],[ID_Pelanggan]], Data_Pelanggan[], 4, 0)</f>
        <v>Bandung</v>
      </c>
      <c r="I468" s="1" t="str">
        <f>VLOOKUP(Summary_Laporan_Penjualan_20248[[#This Row],[ID_Produk]], Data_Produk[], 6, 0)</f>
        <v>Jakarta</v>
      </c>
      <c r="J468" s="1">
        <f>VLOOKUP(Summary_Laporan_Penjualan_20248[[#This Row],[ID_Produk]], Data_Produk[], 7, 0)</f>
        <v>750000</v>
      </c>
      <c r="K468" s="1">
        <f>VLOOKUP(Summary_Laporan_Penjualan_20248[[#This Row],[ID_Produk]], Data_Produk[], 8, 0)</f>
        <v>971000</v>
      </c>
    </row>
    <row r="469" spans="1:11" x14ac:dyDescent="0.35">
      <c r="A469" s="1" t="s">
        <v>1013</v>
      </c>
      <c r="B469" s="1" t="s">
        <v>172</v>
      </c>
      <c r="C469" s="1" t="s">
        <v>15</v>
      </c>
      <c r="D469" s="1" t="s">
        <v>157</v>
      </c>
      <c r="E469">
        <v>5</v>
      </c>
      <c r="F469" s="2">
        <v>45323</v>
      </c>
      <c r="G469" s="1" t="str">
        <f>VLOOKUP(Summary_Laporan_Penjualan_20248[[#This Row],[ID_Pelanggan]], Data_Pelanggan[], 2, 0)</f>
        <v>CV Berkah</v>
      </c>
      <c r="H469" s="1" t="str">
        <f>VLOOKUP(Summary_Laporan_Penjualan_20248[[#This Row],[ID_Pelanggan]], Data_Pelanggan[], 4, 0)</f>
        <v>Bandung</v>
      </c>
      <c r="I469" s="1" t="str">
        <f>VLOOKUP(Summary_Laporan_Penjualan_20248[[#This Row],[ID_Produk]], Data_Produk[], 6, 0)</f>
        <v>Semarang</v>
      </c>
      <c r="J469" s="1">
        <f>VLOOKUP(Summary_Laporan_Penjualan_20248[[#This Row],[ID_Produk]], Data_Produk[], 7, 0)</f>
        <v>950000</v>
      </c>
      <c r="K469" s="1">
        <f>VLOOKUP(Summary_Laporan_Penjualan_20248[[#This Row],[ID_Produk]], Data_Produk[], 8, 0)</f>
        <v>1649000</v>
      </c>
    </row>
    <row r="470" spans="1:11" x14ac:dyDescent="0.35">
      <c r="A470" s="1" t="s">
        <v>1014</v>
      </c>
      <c r="B470" s="1" t="s">
        <v>240</v>
      </c>
      <c r="C470" s="1" t="s">
        <v>73</v>
      </c>
      <c r="D470" s="1" t="s">
        <v>171</v>
      </c>
      <c r="E470">
        <v>1</v>
      </c>
      <c r="F470" s="2">
        <v>45439</v>
      </c>
      <c r="G470" s="1" t="str">
        <f>VLOOKUP(Summary_Laporan_Penjualan_20248[[#This Row],[ID_Pelanggan]], Data_Pelanggan[], 2, 0)</f>
        <v>Toko Gadget Center</v>
      </c>
      <c r="H470" s="1" t="str">
        <f>VLOOKUP(Summary_Laporan_Penjualan_20248[[#This Row],[ID_Pelanggan]], Data_Pelanggan[], 4, 0)</f>
        <v>Malang</v>
      </c>
      <c r="I470" s="1" t="str">
        <f>VLOOKUP(Summary_Laporan_Penjualan_20248[[#This Row],[ID_Produk]], Data_Produk[], 6, 0)</f>
        <v>Semarang</v>
      </c>
      <c r="J470" s="1">
        <f>VLOOKUP(Summary_Laporan_Penjualan_20248[[#This Row],[ID_Produk]], Data_Produk[], 7, 0)</f>
        <v>350000</v>
      </c>
      <c r="K470" s="1">
        <f>VLOOKUP(Summary_Laporan_Penjualan_20248[[#This Row],[ID_Produk]], Data_Produk[], 8, 0)</f>
        <v>626000</v>
      </c>
    </row>
    <row r="471" spans="1:11" x14ac:dyDescent="0.35">
      <c r="A471" s="1" t="s">
        <v>1016</v>
      </c>
      <c r="B471" s="1" t="s">
        <v>109</v>
      </c>
      <c r="C471" s="1" t="s">
        <v>8</v>
      </c>
      <c r="D471" s="1" t="s">
        <v>157</v>
      </c>
      <c r="E471">
        <v>7</v>
      </c>
      <c r="F471" s="2">
        <v>45615</v>
      </c>
      <c r="G471" s="1" t="str">
        <f>VLOOKUP(Summary_Laporan_Penjualan_20248[[#This Row],[ID_Pelanggan]], Data_Pelanggan[], 2, 0)</f>
        <v>PT Maju Jaya</v>
      </c>
      <c r="H471" s="1" t="str">
        <f>VLOOKUP(Summary_Laporan_Penjualan_20248[[#This Row],[ID_Pelanggan]], Data_Pelanggan[], 4, 0)</f>
        <v>Jakarta</v>
      </c>
      <c r="I471" s="1" t="str">
        <f>VLOOKUP(Summary_Laporan_Penjualan_20248[[#This Row],[ID_Produk]], Data_Produk[], 6, 0)</f>
        <v>Semarang</v>
      </c>
      <c r="J471" s="1">
        <f>VLOOKUP(Summary_Laporan_Penjualan_20248[[#This Row],[ID_Produk]], Data_Produk[], 7, 0)</f>
        <v>2000000</v>
      </c>
      <c r="K471" s="1">
        <f>VLOOKUP(Summary_Laporan_Penjualan_20248[[#This Row],[ID_Produk]], Data_Produk[], 8, 0)</f>
        <v>3382000</v>
      </c>
    </row>
    <row r="472" spans="1:11" x14ac:dyDescent="0.35">
      <c r="A472" s="1" t="s">
        <v>1018</v>
      </c>
      <c r="B472" s="1" t="s">
        <v>197</v>
      </c>
      <c r="C472" s="1" t="s">
        <v>63</v>
      </c>
      <c r="D472" s="1" t="s">
        <v>121</v>
      </c>
      <c r="E472">
        <v>15</v>
      </c>
      <c r="F472" s="2">
        <v>45303</v>
      </c>
      <c r="G472" s="1" t="str">
        <f>VLOOKUP(Summary_Laporan_Penjualan_20248[[#This Row],[ID_Pelanggan]], Data_Pelanggan[], 2, 0)</f>
        <v>UD Makmur</v>
      </c>
      <c r="H472" s="1" t="str">
        <f>VLOOKUP(Summary_Laporan_Penjualan_20248[[#This Row],[ID_Pelanggan]], Data_Pelanggan[], 4, 0)</f>
        <v>Palembang</v>
      </c>
      <c r="I472" s="1" t="str">
        <f>VLOOKUP(Summary_Laporan_Penjualan_20248[[#This Row],[ID_Produk]], Data_Produk[], 6, 0)</f>
        <v>Jakarta</v>
      </c>
      <c r="J472" s="1">
        <f>VLOOKUP(Summary_Laporan_Penjualan_20248[[#This Row],[ID_Produk]], Data_Produk[], 7, 0)</f>
        <v>1200000</v>
      </c>
      <c r="K472" s="1">
        <f>VLOOKUP(Summary_Laporan_Penjualan_20248[[#This Row],[ID_Produk]], Data_Produk[], 8, 0)</f>
        <v>1375000</v>
      </c>
    </row>
    <row r="473" spans="1:11" x14ac:dyDescent="0.35">
      <c r="A473" s="1" t="s">
        <v>1020</v>
      </c>
      <c r="B473" s="1" t="s">
        <v>111</v>
      </c>
      <c r="C473" s="1" t="s">
        <v>35</v>
      </c>
      <c r="D473" s="1" t="s">
        <v>124</v>
      </c>
      <c r="E473">
        <v>5</v>
      </c>
      <c r="F473" s="2">
        <v>45326</v>
      </c>
      <c r="G473" s="1" t="str">
        <f>VLOOKUP(Summary_Laporan_Penjualan_20248[[#This Row],[ID_Pelanggan]], Data_Pelanggan[], 2, 0)</f>
        <v>PT Digital Nusantara</v>
      </c>
      <c r="H473" s="1" t="str">
        <f>VLOOKUP(Summary_Laporan_Penjualan_20248[[#This Row],[ID_Pelanggan]], Data_Pelanggan[], 4, 0)</f>
        <v>Jakarta</v>
      </c>
      <c r="I473" s="1" t="str">
        <f>VLOOKUP(Summary_Laporan_Penjualan_20248[[#This Row],[ID_Produk]], Data_Produk[], 6, 0)</f>
        <v>Depok</v>
      </c>
      <c r="J473" s="1">
        <f>VLOOKUP(Summary_Laporan_Penjualan_20248[[#This Row],[ID_Produk]], Data_Produk[], 7, 0)</f>
        <v>18000000</v>
      </c>
      <c r="K473" s="1">
        <f>VLOOKUP(Summary_Laporan_Penjualan_20248[[#This Row],[ID_Produk]], Data_Produk[], 8, 0)</f>
        <v>27603000</v>
      </c>
    </row>
    <row r="474" spans="1:11" x14ac:dyDescent="0.35">
      <c r="A474" s="1" t="s">
        <v>1022</v>
      </c>
      <c r="B474" s="1" t="s">
        <v>109</v>
      </c>
      <c r="C474" s="1" t="s">
        <v>57</v>
      </c>
      <c r="D474" s="1" t="s">
        <v>124</v>
      </c>
      <c r="E474">
        <v>6</v>
      </c>
      <c r="F474" s="2">
        <v>45555</v>
      </c>
      <c r="G474" s="1" t="str">
        <f>VLOOKUP(Summary_Laporan_Penjualan_20248[[#This Row],[ID_Pelanggan]], Data_Pelanggan[], 2, 0)</f>
        <v>PT Karya Mandiri</v>
      </c>
      <c r="H474" s="1" t="str">
        <f>VLOOKUP(Summary_Laporan_Penjualan_20248[[#This Row],[ID_Pelanggan]], Data_Pelanggan[], 4, 0)</f>
        <v>Makassar</v>
      </c>
      <c r="I474" s="1" t="str">
        <f>VLOOKUP(Summary_Laporan_Penjualan_20248[[#This Row],[ID_Produk]], Data_Produk[], 6, 0)</f>
        <v>Semarang</v>
      </c>
      <c r="J474" s="1">
        <f>VLOOKUP(Summary_Laporan_Penjualan_20248[[#This Row],[ID_Produk]], Data_Produk[], 7, 0)</f>
        <v>2000000</v>
      </c>
      <c r="K474" s="1">
        <f>VLOOKUP(Summary_Laporan_Penjualan_20248[[#This Row],[ID_Produk]], Data_Produk[], 8, 0)</f>
        <v>3382000</v>
      </c>
    </row>
    <row r="475" spans="1:11" x14ac:dyDescent="0.35">
      <c r="A475" s="1" t="s">
        <v>1024</v>
      </c>
      <c r="B475" s="1" t="s">
        <v>149</v>
      </c>
      <c r="C475" s="1" t="s">
        <v>63</v>
      </c>
      <c r="D475" s="1" t="s">
        <v>157</v>
      </c>
      <c r="E475">
        <v>3</v>
      </c>
      <c r="F475" s="2">
        <v>45614</v>
      </c>
      <c r="G475" s="1" t="str">
        <f>VLOOKUP(Summary_Laporan_Penjualan_20248[[#This Row],[ID_Pelanggan]], Data_Pelanggan[], 2, 0)</f>
        <v>UD Makmur</v>
      </c>
      <c r="H475" s="1" t="str">
        <f>VLOOKUP(Summary_Laporan_Penjualan_20248[[#This Row],[ID_Pelanggan]], Data_Pelanggan[], 4, 0)</f>
        <v>Palembang</v>
      </c>
      <c r="I475" s="1" t="str">
        <f>VLOOKUP(Summary_Laporan_Penjualan_20248[[#This Row],[ID_Produk]], Data_Produk[], 6, 0)</f>
        <v>Semarang</v>
      </c>
      <c r="J475" s="1">
        <f>VLOOKUP(Summary_Laporan_Penjualan_20248[[#This Row],[ID_Produk]], Data_Produk[], 7, 0)</f>
        <v>100000</v>
      </c>
      <c r="K475" s="1">
        <f>VLOOKUP(Summary_Laporan_Penjualan_20248[[#This Row],[ID_Produk]], Data_Produk[], 8, 0)</f>
        <v>169000</v>
      </c>
    </row>
    <row r="476" spans="1:11" x14ac:dyDescent="0.35">
      <c r="A476" s="1" t="s">
        <v>1026</v>
      </c>
      <c r="B476" s="1" t="s">
        <v>168</v>
      </c>
      <c r="C476" s="1" t="s">
        <v>69</v>
      </c>
      <c r="D476" s="1" t="s">
        <v>124</v>
      </c>
      <c r="E476">
        <v>3</v>
      </c>
      <c r="F476" s="2">
        <v>45430</v>
      </c>
      <c r="G476" s="1" t="str">
        <f>VLOOKUP(Summary_Laporan_Penjualan_20248[[#This Row],[ID_Pelanggan]], Data_Pelanggan[], 2, 0)</f>
        <v>PT Teknologi Prima</v>
      </c>
      <c r="H476" s="1" t="str">
        <f>VLOOKUP(Summary_Laporan_Penjualan_20248[[#This Row],[ID_Pelanggan]], Data_Pelanggan[], 4, 0)</f>
        <v>Jakarta</v>
      </c>
      <c r="I476" s="1" t="str">
        <f>VLOOKUP(Summary_Laporan_Penjualan_20248[[#This Row],[ID_Produk]], Data_Produk[], 6, 0)</f>
        <v>Semarang</v>
      </c>
      <c r="J476" s="1">
        <f>VLOOKUP(Summary_Laporan_Penjualan_20248[[#This Row],[ID_Produk]], Data_Produk[], 7, 0)</f>
        <v>500000</v>
      </c>
      <c r="K476" s="1">
        <f>VLOOKUP(Summary_Laporan_Penjualan_20248[[#This Row],[ID_Produk]], Data_Produk[], 8, 0)</f>
        <v>844000</v>
      </c>
    </row>
    <row r="477" spans="1:11" x14ac:dyDescent="0.35">
      <c r="A477" s="1" t="s">
        <v>1028</v>
      </c>
      <c r="B477" s="1" t="s">
        <v>197</v>
      </c>
      <c r="C477" s="1" t="s">
        <v>21</v>
      </c>
      <c r="D477" s="1" t="s">
        <v>157</v>
      </c>
      <c r="E477">
        <v>1</v>
      </c>
      <c r="F477" s="2">
        <v>45439</v>
      </c>
      <c r="G477" s="1" t="str">
        <f>VLOOKUP(Summary_Laporan_Penjualan_20248[[#This Row],[ID_Pelanggan]], Data_Pelanggan[], 2, 0)</f>
        <v>Toko Komputer Sejahtera</v>
      </c>
      <c r="H477" s="1" t="str">
        <f>VLOOKUP(Summary_Laporan_Penjualan_20248[[#This Row],[ID_Pelanggan]], Data_Pelanggan[], 4, 0)</f>
        <v>Surabaya</v>
      </c>
      <c r="I477" s="1" t="str">
        <f>VLOOKUP(Summary_Laporan_Penjualan_20248[[#This Row],[ID_Produk]], Data_Produk[], 6, 0)</f>
        <v>Jakarta</v>
      </c>
      <c r="J477" s="1">
        <f>VLOOKUP(Summary_Laporan_Penjualan_20248[[#This Row],[ID_Produk]], Data_Produk[], 7, 0)</f>
        <v>1200000</v>
      </c>
      <c r="K477" s="1">
        <f>VLOOKUP(Summary_Laporan_Penjualan_20248[[#This Row],[ID_Produk]], Data_Produk[], 8, 0)</f>
        <v>1375000</v>
      </c>
    </row>
    <row r="478" spans="1:11" x14ac:dyDescent="0.35">
      <c r="A478" s="1" t="s">
        <v>1030</v>
      </c>
      <c r="B478" s="1" t="s">
        <v>137</v>
      </c>
      <c r="C478" s="1" t="s">
        <v>39</v>
      </c>
      <c r="D478" s="1" t="s">
        <v>128</v>
      </c>
      <c r="E478">
        <v>15</v>
      </c>
      <c r="F478" s="2">
        <v>45637</v>
      </c>
      <c r="G478" s="1" t="str">
        <f>VLOOKUP(Summary_Laporan_Penjualan_20248[[#This Row],[ID_Pelanggan]], Data_Pelanggan[], 2, 0)</f>
        <v>Toko Elektronik Jaya</v>
      </c>
      <c r="H478" s="1" t="str">
        <f>VLOOKUP(Summary_Laporan_Penjualan_20248[[#This Row],[ID_Pelanggan]], Data_Pelanggan[], 4, 0)</f>
        <v>Semarang</v>
      </c>
      <c r="I478" s="1" t="str">
        <f>VLOOKUP(Summary_Laporan_Penjualan_20248[[#This Row],[ID_Produk]], Data_Produk[], 6, 0)</f>
        <v>Jakarta</v>
      </c>
      <c r="J478" s="1">
        <f>VLOOKUP(Summary_Laporan_Penjualan_20248[[#This Row],[ID_Produk]], Data_Produk[], 7, 0)</f>
        <v>2000000</v>
      </c>
      <c r="K478" s="1">
        <f>VLOOKUP(Summary_Laporan_Penjualan_20248[[#This Row],[ID_Produk]], Data_Produk[], 8, 0)</f>
        <v>2533000</v>
      </c>
    </row>
    <row r="479" spans="1:11" x14ac:dyDescent="0.35">
      <c r="A479" s="1" t="s">
        <v>1032</v>
      </c>
      <c r="B479" s="1" t="s">
        <v>272</v>
      </c>
      <c r="C479" s="1" t="s">
        <v>15</v>
      </c>
      <c r="D479" s="1" t="s">
        <v>171</v>
      </c>
      <c r="E479">
        <v>5</v>
      </c>
      <c r="F479" s="2">
        <v>45644</v>
      </c>
      <c r="G479" s="1" t="str">
        <f>VLOOKUP(Summary_Laporan_Penjualan_20248[[#This Row],[ID_Pelanggan]], Data_Pelanggan[], 2, 0)</f>
        <v>CV Berkah</v>
      </c>
      <c r="H479" s="1" t="str">
        <f>VLOOKUP(Summary_Laporan_Penjualan_20248[[#This Row],[ID_Pelanggan]], Data_Pelanggan[], 4, 0)</f>
        <v>Bandung</v>
      </c>
      <c r="I479" s="1" t="str">
        <f>VLOOKUP(Summary_Laporan_Penjualan_20248[[#This Row],[ID_Produk]], Data_Produk[], 6, 0)</f>
        <v>Depok</v>
      </c>
      <c r="J479" s="1">
        <f>VLOOKUP(Summary_Laporan_Penjualan_20248[[#This Row],[ID_Produk]], Data_Produk[], 7, 0)</f>
        <v>650000</v>
      </c>
      <c r="K479" s="1">
        <f>VLOOKUP(Summary_Laporan_Penjualan_20248[[#This Row],[ID_Produk]], Data_Produk[], 8, 0)</f>
        <v>741000</v>
      </c>
    </row>
    <row r="480" spans="1:11" x14ac:dyDescent="0.35">
      <c r="A480" s="1" t="s">
        <v>1034</v>
      </c>
      <c r="B480" s="1" t="s">
        <v>137</v>
      </c>
      <c r="C480" s="1" t="s">
        <v>51</v>
      </c>
      <c r="D480" s="1" t="s">
        <v>171</v>
      </c>
      <c r="E480">
        <v>3</v>
      </c>
      <c r="F480" s="2">
        <v>45368</v>
      </c>
      <c r="G480" s="1" t="str">
        <f>VLOOKUP(Summary_Laporan_Penjualan_20248[[#This Row],[ID_Pelanggan]], Data_Pelanggan[], 2, 0)</f>
        <v>Toko Musik Digital</v>
      </c>
      <c r="H480" s="1" t="str">
        <f>VLOOKUP(Summary_Laporan_Penjualan_20248[[#This Row],[ID_Pelanggan]], Data_Pelanggan[], 4, 0)</f>
        <v>Denpasar</v>
      </c>
      <c r="I480" s="1" t="str">
        <f>VLOOKUP(Summary_Laporan_Penjualan_20248[[#This Row],[ID_Produk]], Data_Produk[], 6, 0)</f>
        <v>Jakarta</v>
      </c>
      <c r="J480" s="1">
        <f>VLOOKUP(Summary_Laporan_Penjualan_20248[[#This Row],[ID_Produk]], Data_Produk[], 7, 0)</f>
        <v>2000000</v>
      </c>
      <c r="K480" s="1">
        <f>VLOOKUP(Summary_Laporan_Penjualan_20248[[#This Row],[ID_Produk]], Data_Produk[], 8, 0)</f>
        <v>2533000</v>
      </c>
    </row>
    <row r="481" spans="1:11" x14ac:dyDescent="0.35">
      <c r="A481" s="1" t="s">
        <v>1036</v>
      </c>
      <c r="B481" s="1" t="s">
        <v>272</v>
      </c>
      <c r="C481" s="1" t="s">
        <v>8</v>
      </c>
      <c r="D481" s="1" t="s">
        <v>124</v>
      </c>
      <c r="E481">
        <v>15</v>
      </c>
      <c r="F481" s="2">
        <v>45329</v>
      </c>
      <c r="G481" s="1" t="str">
        <f>VLOOKUP(Summary_Laporan_Penjualan_20248[[#This Row],[ID_Pelanggan]], Data_Pelanggan[], 2, 0)</f>
        <v>PT Maju Jaya</v>
      </c>
      <c r="H481" s="1" t="str">
        <f>VLOOKUP(Summary_Laporan_Penjualan_20248[[#This Row],[ID_Pelanggan]], Data_Pelanggan[], 4, 0)</f>
        <v>Jakarta</v>
      </c>
      <c r="I481" s="1" t="str">
        <f>VLOOKUP(Summary_Laporan_Penjualan_20248[[#This Row],[ID_Produk]], Data_Produk[], 6, 0)</f>
        <v>Depok</v>
      </c>
      <c r="J481" s="1">
        <f>VLOOKUP(Summary_Laporan_Penjualan_20248[[#This Row],[ID_Produk]], Data_Produk[], 7, 0)</f>
        <v>650000</v>
      </c>
      <c r="K481" s="1">
        <f>VLOOKUP(Summary_Laporan_Penjualan_20248[[#This Row],[ID_Produk]], Data_Produk[], 8, 0)</f>
        <v>741000</v>
      </c>
    </row>
    <row r="482" spans="1:11" x14ac:dyDescent="0.35">
      <c r="A482" s="1" t="s">
        <v>1036</v>
      </c>
      <c r="B482" s="1" t="s">
        <v>137</v>
      </c>
      <c r="C482" s="1" t="s">
        <v>8</v>
      </c>
      <c r="D482" s="1" t="s">
        <v>124</v>
      </c>
      <c r="E482">
        <v>15</v>
      </c>
      <c r="F482" s="2">
        <v>45329</v>
      </c>
      <c r="G482" s="1" t="str">
        <f>VLOOKUP(Summary_Laporan_Penjualan_20248[[#This Row],[ID_Pelanggan]], Data_Pelanggan[], 2, 0)</f>
        <v>PT Maju Jaya</v>
      </c>
      <c r="H482" s="1" t="str">
        <f>VLOOKUP(Summary_Laporan_Penjualan_20248[[#This Row],[ID_Pelanggan]], Data_Pelanggan[], 4, 0)</f>
        <v>Jakarta</v>
      </c>
      <c r="I482" s="1" t="str">
        <f>VLOOKUP(Summary_Laporan_Penjualan_20248[[#This Row],[ID_Produk]], Data_Produk[], 6, 0)</f>
        <v>Jakarta</v>
      </c>
      <c r="J482" s="1">
        <f>VLOOKUP(Summary_Laporan_Penjualan_20248[[#This Row],[ID_Produk]], Data_Produk[], 7, 0)</f>
        <v>2000000</v>
      </c>
      <c r="K482" s="1">
        <f>VLOOKUP(Summary_Laporan_Penjualan_20248[[#This Row],[ID_Produk]], Data_Produk[], 8, 0)</f>
        <v>2533000</v>
      </c>
    </row>
    <row r="483" spans="1:11" x14ac:dyDescent="0.35">
      <c r="A483" s="1" t="s">
        <v>1036</v>
      </c>
      <c r="B483" s="1" t="s">
        <v>240</v>
      </c>
      <c r="C483" s="1" t="s">
        <v>8</v>
      </c>
      <c r="D483" s="1" t="s">
        <v>124</v>
      </c>
      <c r="E483">
        <v>15</v>
      </c>
      <c r="F483" s="2">
        <v>45329</v>
      </c>
      <c r="G483" s="1" t="str">
        <f>VLOOKUP(Summary_Laporan_Penjualan_20248[[#This Row],[ID_Pelanggan]], Data_Pelanggan[], 2, 0)</f>
        <v>PT Maju Jaya</v>
      </c>
      <c r="H483" s="1" t="str">
        <f>VLOOKUP(Summary_Laporan_Penjualan_20248[[#This Row],[ID_Pelanggan]], Data_Pelanggan[], 4, 0)</f>
        <v>Jakarta</v>
      </c>
      <c r="I483" s="1" t="str">
        <f>VLOOKUP(Summary_Laporan_Penjualan_20248[[#This Row],[ID_Produk]], Data_Produk[], 6, 0)</f>
        <v>Semarang</v>
      </c>
      <c r="J483" s="1">
        <f>VLOOKUP(Summary_Laporan_Penjualan_20248[[#This Row],[ID_Produk]], Data_Produk[], 7, 0)</f>
        <v>350000</v>
      </c>
      <c r="K483" s="1">
        <f>VLOOKUP(Summary_Laporan_Penjualan_20248[[#This Row],[ID_Produk]], Data_Produk[], 8, 0)</f>
        <v>626000</v>
      </c>
    </row>
    <row r="484" spans="1:11" x14ac:dyDescent="0.35">
      <c r="A484" s="1" t="s">
        <v>1038</v>
      </c>
      <c r="B484" s="1" t="s">
        <v>111</v>
      </c>
      <c r="C484" s="1" t="s">
        <v>45</v>
      </c>
      <c r="D484" s="1" t="s">
        <v>157</v>
      </c>
      <c r="E484">
        <v>8</v>
      </c>
      <c r="F484" s="2">
        <v>45295</v>
      </c>
      <c r="G484" s="1" t="str">
        <f>VLOOKUP(Summary_Laporan_Penjualan_20248[[#This Row],[ID_Pelanggan]], Data_Pelanggan[], 2, 0)</f>
        <v>CV Techno</v>
      </c>
      <c r="H484" s="1" t="str">
        <f>VLOOKUP(Summary_Laporan_Penjualan_20248[[#This Row],[ID_Pelanggan]], Data_Pelanggan[], 4, 0)</f>
        <v>Yogyakarta</v>
      </c>
      <c r="I484" s="1" t="str">
        <f>VLOOKUP(Summary_Laporan_Penjualan_20248[[#This Row],[ID_Produk]], Data_Produk[], 6, 0)</f>
        <v>Depok</v>
      </c>
      <c r="J484" s="1">
        <f>VLOOKUP(Summary_Laporan_Penjualan_20248[[#This Row],[ID_Produk]], Data_Produk[], 7, 0)</f>
        <v>18000000</v>
      </c>
      <c r="K484" s="1">
        <f>VLOOKUP(Summary_Laporan_Penjualan_20248[[#This Row],[ID_Produk]], Data_Produk[], 8, 0)</f>
        <v>27603000</v>
      </c>
    </row>
    <row r="485" spans="1:11" x14ac:dyDescent="0.35">
      <c r="A485" s="1" t="s">
        <v>1039</v>
      </c>
      <c r="B485" s="1" t="s">
        <v>111</v>
      </c>
      <c r="C485" s="1" t="s">
        <v>39</v>
      </c>
      <c r="D485" s="1" t="s">
        <v>157</v>
      </c>
      <c r="E485">
        <v>3</v>
      </c>
      <c r="F485" s="2">
        <v>45531</v>
      </c>
      <c r="G485" s="1" t="str">
        <f>VLOOKUP(Summary_Laporan_Penjualan_20248[[#This Row],[ID_Pelanggan]], Data_Pelanggan[], 2, 0)</f>
        <v>Toko Elektronik Jaya</v>
      </c>
      <c r="H485" s="1" t="str">
        <f>VLOOKUP(Summary_Laporan_Penjualan_20248[[#This Row],[ID_Pelanggan]], Data_Pelanggan[], 4, 0)</f>
        <v>Semarang</v>
      </c>
      <c r="I485" s="1" t="str">
        <f>VLOOKUP(Summary_Laporan_Penjualan_20248[[#This Row],[ID_Produk]], Data_Produk[], 6, 0)</f>
        <v>Depok</v>
      </c>
      <c r="J485" s="1">
        <f>VLOOKUP(Summary_Laporan_Penjualan_20248[[#This Row],[ID_Produk]], Data_Produk[], 7, 0)</f>
        <v>18000000</v>
      </c>
      <c r="K485" s="1">
        <f>VLOOKUP(Summary_Laporan_Penjualan_20248[[#This Row],[ID_Produk]], Data_Produk[], 8, 0)</f>
        <v>27603000</v>
      </c>
    </row>
    <row r="486" spans="1:11" x14ac:dyDescent="0.35">
      <c r="A486" s="1" t="s">
        <v>1041</v>
      </c>
      <c r="B486" s="1" t="s">
        <v>188</v>
      </c>
      <c r="C486" s="1" t="s">
        <v>87</v>
      </c>
      <c r="D486" s="1" t="s">
        <v>143</v>
      </c>
      <c r="E486">
        <v>3</v>
      </c>
      <c r="F486" s="2">
        <v>45525</v>
      </c>
      <c r="G486" s="1" t="str">
        <f>VLOOKUP(Summary_Laporan_Penjualan_20248[[#This Row],[ID_Pelanggan]], Data_Pelanggan[], 2, 0)</f>
        <v>PT Indo Digital</v>
      </c>
      <c r="H486" s="1" t="str">
        <f>VLOOKUP(Summary_Laporan_Penjualan_20248[[#This Row],[ID_Pelanggan]], Data_Pelanggan[], 4, 0)</f>
        <v>Tangerang</v>
      </c>
      <c r="I486" s="1" t="str">
        <f>VLOOKUP(Summary_Laporan_Penjualan_20248[[#This Row],[ID_Produk]], Data_Produk[], 6, 0)</f>
        <v>Semarang</v>
      </c>
      <c r="J486" s="1">
        <f>VLOOKUP(Summary_Laporan_Penjualan_20248[[#This Row],[ID_Produk]], Data_Produk[], 7, 0)</f>
        <v>2800000</v>
      </c>
      <c r="K486" s="1">
        <f>VLOOKUP(Summary_Laporan_Penjualan_20248[[#This Row],[ID_Produk]], Data_Produk[], 8, 0)</f>
        <v>4747000</v>
      </c>
    </row>
    <row r="487" spans="1:11" x14ac:dyDescent="0.35">
      <c r="A487" s="1" t="s">
        <v>1043</v>
      </c>
      <c r="B487" s="1" t="s">
        <v>173</v>
      </c>
      <c r="C487" s="1" t="s">
        <v>35</v>
      </c>
      <c r="D487" s="1" t="s">
        <v>124</v>
      </c>
      <c r="E487">
        <v>10</v>
      </c>
      <c r="F487" s="2">
        <v>45648</v>
      </c>
      <c r="G487" s="1" t="str">
        <f>VLOOKUP(Summary_Laporan_Penjualan_20248[[#This Row],[ID_Pelanggan]], Data_Pelanggan[], 2, 0)</f>
        <v>PT Digital Nusantara</v>
      </c>
      <c r="H487" s="1" t="str">
        <f>VLOOKUP(Summary_Laporan_Penjualan_20248[[#This Row],[ID_Pelanggan]], Data_Pelanggan[], 4, 0)</f>
        <v>Jakarta</v>
      </c>
      <c r="I487" s="1" t="str">
        <f>VLOOKUP(Summary_Laporan_Penjualan_20248[[#This Row],[ID_Produk]], Data_Produk[], 6, 0)</f>
        <v>Depok</v>
      </c>
      <c r="J487" s="1">
        <f>VLOOKUP(Summary_Laporan_Penjualan_20248[[#This Row],[ID_Produk]], Data_Produk[], 7, 0)</f>
        <v>80000</v>
      </c>
      <c r="K487" s="1">
        <f>VLOOKUP(Summary_Laporan_Penjualan_20248[[#This Row],[ID_Produk]], Data_Produk[], 8, 0)</f>
        <v>92000</v>
      </c>
    </row>
    <row r="488" spans="1:11" x14ac:dyDescent="0.35">
      <c r="A488" s="1" t="s">
        <v>1044</v>
      </c>
      <c r="B488" s="1" t="s">
        <v>240</v>
      </c>
      <c r="C488" s="1" t="s">
        <v>29</v>
      </c>
      <c r="D488" s="1" t="s">
        <v>171</v>
      </c>
      <c r="E488">
        <v>1</v>
      </c>
      <c r="F488" s="2">
        <v>45469</v>
      </c>
      <c r="G488" s="1" t="str">
        <f>VLOOKUP(Summary_Laporan_Penjualan_20248[[#This Row],[ID_Pelanggan]], Data_Pelanggan[], 2, 0)</f>
        <v>UD Sentosa</v>
      </c>
      <c r="H488" s="1" t="str">
        <f>VLOOKUP(Summary_Laporan_Penjualan_20248[[#This Row],[ID_Pelanggan]], Data_Pelanggan[], 4, 0)</f>
        <v>Medan</v>
      </c>
      <c r="I488" s="1" t="str">
        <f>VLOOKUP(Summary_Laporan_Penjualan_20248[[#This Row],[ID_Produk]], Data_Produk[], 6, 0)</f>
        <v>Semarang</v>
      </c>
      <c r="J488" s="1">
        <f>VLOOKUP(Summary_Laporan_Penjualan_20248[[#This Row],[ID_Produk]], Data_Produk[], 7, 0)</f>
        <v>350000</v>
      </c>
      <c r="K488" s="1">
        <f>VLOOKUP(Summary_Laporan_Penjualan_20248[[#This Row],[ID_Produk]], Data_Produk[], 8, 0)</f>
        <v>626000</v>
      </c>
    </row>
    <row r="489" spans="1:11" x14ac:dyDescent="0.35">
      <c r="A489" s="1" t="s">
        <v>1046</v>
      </c>
      <c r="B489" s="1" t="s">
        <v>149</v>
      </c>
      <c r="C489" s="1" t="s">
        <v>8</v>
      </c>
      <c r="D489" s="1" t="s">
        <v>121</v>
      </c>
      <c r="E489">
        <v>8</v>
      </c>
      <c r="F489" s="2">
        <v>45476</v>
      </c>
      <c r="G489" s="1" t="str">
        <f>VLOOKUP(Summary_Laporan_Penjualan_20248[[#This Row],[ID_Pelanggan]], Data_Pelanggan[], 2, 0)</f>
        <v>PT Maju Jaya</v>
      </c>
      <c r="H489" s="1" t="str">
        <f>VLOOKUP(Summary_Laporan_Penjualan_20248[[#This Row],[ID_Pelanggan]], Data_Pelanggan[], 4, 0)</f>
        <v>Jakarta</v>
      </c>
      <c r="I489" s="1" t="str">
        <f>VLOOKUP(Summary_Laporan_Penjualan_20248[[#This Row],[ID_Produk]], Data_Produk[], 6, 0)</f>
        <v>Semarang</v>
      </c>
      <c r="J489" s="1">
        <f>VLOOKUP(Summary_Laporan_Penjualan_20248[[#This Row],[ID_Produk]], Data_Produk[], 7, 0)</f>
        <v>100000</v>
      </c>
      <c r="K489" s="1">
        <f>VLOOKUP(Summary_Laporan_Penjualan_20248[[#This Row],[ID_Produk]], Data_Produk[], 8, 0)</f>
        <v>169000</v>
      </c>
    </row>
    <row r="490" spans="1:11" x14ac:dyDescent="0.35">
      <c r="A490" s="1" t="s">
        <v>1048</v>
      </c>
      <c r="B490" s="1" t="s">
        <v>240</v>
      </c>
      <c r="C490" s="1" t="s">
        <v>57</v>
      </c>
      <c r="D490" s="1" t="s">
        <v>157</v>
      </c>
      <c r="E490">
        <v>13</v>
      </c>
      <c r="F490" s="2">
        <v>45639</v>
      </c>
      <c r="G490" s="1" t="str">
        <f>VLOOKUP(Summary_Laporan_Penjualan_20248[[#This Row],[ID_Pelanggan]], Data_Pelanggan[], 2, 0)</f>
        <v>PT Karya Mandiri</v>
      </c>
      <c r="H490" s="1" t="str">
        <f>VLOOKUP(Summary_Laporan_Penjualan_20248[[#This Row],[ID_Pelanggan]], Data_Pelanggan[], 4, 0)</f>
        <v>Makassar</v>
      </c>
      <c r="I490" s="1" t="str">
        <f>VLOOKUP(Summary_Laporan_Penjualan_20248[[#This Row],[ID_Produk]], Data_Produk[], 6, 0)</f>
        <v>Semarang</v>
      </c>
      <c r="J490" s="1">
        <f>VLOOKUP(Summary_Laporan_Penjualan_20248[[#This Row],[ID_Produk]], Data_Produk[], 7, 0)</f>
        <v>350000</v>
      </c>
      <c r="K490" s="1">
        <f>VLOOKUP(Summary_Laporan_Penjualan_20248[[#This Row],[ID_Produk]], Data_Produk[], 8, 0)</f>
        <v>626000</v>
      </c>
    </row>
    <row r="491" spans="1:11" x14ac:dyDescent="0.35">
      <c r="A491" s="1" t="s">
        <v>1050</v>
      </c>
      <c r="B491" s="1" t="s">
        <v>116</v>
      </c>
      <c r="C491" s="1" t="s">
        <v>45</v>
      </c>
      <c r="D491" s="1" t="s">
        <v>157</v>
      </c>
      <c r="E491">
        <v>5</v>
      </c>
      <c r="F491" s="2">
        <v>45476</v>
      </c>
      <c r="G491" s="1" t="str">
        <f>VLOOKUP(Summary_Laporan_Penjualan_20248[[#This Row],[ID_Pelanggan]], Data_Pelanggan[], 2, 0)</f>
        <v>CV Techno</v>
      </c>
      <c r="H491" s="1" t="str">
        <f>VLOOKUP(Summary_Laporan_Penjualan_20248[[#This Row],[ID_Pelanggan]], Data_Pelanggan[], 4, 0)</f>
        <v>Yogyakarta</v>
      </c>
      <c r="I491" s="1" t="str">
        <f>VLOOKUP(Summary_Laporan_Penjualan_20248[[#This Row],[ID_Produk]], Data_Produk[], 6, 0)</f>
        <v>Depok</v>
      </c>
      <c r="J491" s="1">
        <f>VLOOKUP(Summary_Laporan_Penjualan_20248[[#This Row],[ID_Produk]], Data_Produk[], 7, 0)</f>
        <v>5000000</v>
      </c>
      <c r="K491" s="1">
        <f>VLOOKUP(Summary_Laporan_Penjualan_20248[[#This Row],[ID_Produk]], Data_Produk[], 8, 0)</f>
        <v>7546000</v>
      </c>
    </row>
    <row r="492" spans="1:11" x14ac:dyDescent="0.35">
      <c r="A492" s="1" t="s">
        <v>1052</v>
      </c>
      <c r="B492" s="1" t="s">
        <v>172</v>
      </c>
      <c r="C492" s="1" t="s">
        <v>73</v>
      </c>
      <c r="D492" s="1" t="s">
        <v>128</v>
      </c>
      <c r="E492">
        <v>3</v>
      </c>
      <c r="F492" s="2">
        <v>45298</v>
      </c>
      <c r="G492" s="1" t="str">
        <f>VLOOKUP(Summary_Laporan_Penjualan_20248[[#This Row],[ID_Pelanggan]], Data_Pelanggan[], 2, 0)</f>
        <v>Toko Gadget Center</v>
      </c>
      <c r="H492" s="1" t="str">
        <f>VLOOKUP(Summary_Laporan_Penjualan_20248[[#This Row],[ID_Pelanggan]], Data_Pelanggan[], 4, 0)</f>
        <v>Malang</v>
      </c>
      <c r="I492" s="1" t="str">
        <f>VLOOKUP(Summary_Laporan_Penjualan_20248[[#This Row],[ID_Produk]], Data_Produk[], 6, 0)</f>
        <v>Semarang</v>
      </c>
      <c r="J492" s="1">
        <f>VLOOKUP(Summary_Laporan_Penjualan_20248[[#This Row],[ID_Produk]], Data_Produk[], 7, 0)</f>
        <v>950000</v>
      </c>
      <c r="K492" s="1">
        <f>VLOOKUP(Summary_Laporan_Penjualan_20248[[#This Row],[ID_Produk]], Data_Produk[], 8, 0)</f>
        <v>1649000</v>
      </c>
    </row>
    <row r="493" spans="1:11" x14ac:dyDescent="0.35">
      <c r="A493" s="1" t="s">
        <v>1054</v>
      </c>
      <c r="B493" s="1" t="s">
        <v>164</v>
      </c>
      <c r="C493" s="1" t="s">
        <v>69</v>
      </c>
      <c r="D493" s="1" t="s">
        <v>124</v>
      </c>
      <c r="E493">
        <v>12</v>
      </c>
      <c r="F493" s="2">
        <v>45503</v>
      </c>
      <c r="G493" s="1" t="str">
        <f>VLOOKUP(Summary_Laporan_Penjualan_20248[[#This Row],[ID_Pelanggan]], Data_Pelanggan[], 2, 0)</f>
        <v>PT Teknologi Prima</v>
      </c>
      <c r="H493" s="1" t="str">
        <f>VLOOKUP(Summary_Laporan_Penjualan_20248[[#This Row],[ID_Pelanggan]], Data_Pelanggan[], 4, 0)</f>
        <v>Jakarta</v>
      </c>
      <c r="I493" s="1" t="str">
        <f>VLOOKUP(Summary_Laporan_Penjualan_20248[[#This Row],[ID_Produk]], Data_Produk[], 6, 0)</f>
        <v>Jakarta</v>
      </c>
      <c r="J493" s="1">
        <f>VLOOKUP(Summary_Laporan_Penjualan_20248[[#This Row],[ID_Produk]], Data_Produk[], 7, 0)</f>
        <v>750000</v>
      </c>
      <c r="K493" s="1">
        <f>VLOOKUP(Summary_Laporan_Penjualan_20248[[#This Row],[ID_Produk]], Data_Produk[], 8, 0)</f>
        <v>971000</v>
      </c>
    </row>
    <row r="494" spans="1:11" x14ac:dyDescent="0.35">
      <c r="A494" s="1" t="s">
        <v>1055</v>
      </c>
      <c r="B494" s="1" t="s">
        <v>133</v>
      </c>
      <c r="C494" s="1" t="s">
        <v>29</v>
      </c>
      <c r="D494" s="1" t="s">
        <v>128</v>
      </c>
      <c r="E494">
        <v>3</v>
      </c>
      <c r="F494" s="2">
        <v>45639</v>
      </c>
      <c r="G494" s="1" t="str">
        <f>VLOOKUP(Summary_Laporan_Penjualan_20248[[#This Row],[ID_Pelanggan]], Data_Pelanggan[], 2, 0)</f>
        <v>UD Sentosa</v>
      </c>
      <c r="H494" s="1" t="str">
        <f>VLOOKUP(Summary_Laporan_Penjualan_20248[[#This Row],[ID_Pelanggan]], Data_Pelanggan[], 4, 0)</f>
        <v>Medan</v>
      </c>
      <c r="I494" s="1" t="str">
        <f>VLOOKUP(Summary_Laporan_Penjualan_20248[[#This Row],[ID_Produk]], Data_Produk[], 6, 0)</f>
        <v>Jakarta</v>
      </c>
      <c r="J494" s="1">
        <f>VLOOKUP(Summary_Laporan_Penjualan_20248[[#This Row],[ID_Produk]], Data_Produk[], 7, 0)</f>
        <v>2500000</v>
      </c>
      <c r="K494" s="1">
        <f>VLOOKUP(Summary_Laporan_Penjualan_20248[[#This Row],[ID_Produk]], Data_Produk[], 8, 0)</f>
        <v>3080000</v>
      </c>
    </row>
    <row r="495" spans="1:11" x14ac:dyDescent="0.35">
      <c r="A495" s="1" t="s">
        <v>1057</v>
      </c>
      <c r="B495" s="1" t="s">
        <v>172</v>
      </c>
      <c r="C495" s="1" t="s">
        <v>8</v>
      </c>
      <c r="D495" s="1" t="s">
        <v>143</v>
      </c>
      <c r="E495">
        <v>7</v>
      </c>
      <c r="F495" s="2">
        <v>45651</v>
      </c>
      <c r="G495" s="1" t="str">
        <f>VLOOKUP(Summary_Laporan_Penjualan_20248[[#This Row],[ID_Pelanggan]], Data_Pelanggan[], 2, 0)</f>
        <v>PT Maju Jaya</v>
      </c>
      <c r="H495" s="1" t="str">
        <f>VLOOKUP(Summary_Laporan_Penjualan_20248[[#This Row],[ID_Pelanggan]], Data_Pelanggan[], 4, 0)</f>
        <v>Jakarta</v>
      </c>
      <c r="I495" s="1" t="str">
        <f>VLOOKUP(Summary_Laporan_Penjualan_20248[[#This Row],[ID_Produk]], Data_Produk[], 6, 0)</f>
        <v>Semarang</v>
      </c>
      <c r="J495" s="1">
        <f>VLOOKUP(Summary_Laporan_Penjualan_20248[[#This Row],[ID_Produk]], Data_Produk[], 7, 0)</f>
        <v>950000</v>
      </c>
      <c r="K495" s="1">
        <f>VLOOKUP(Summary_Laporan_Penjualan_20248[[#This Row],[ID_Produk]], Data_Produk[], 8, 0)</f>
        <v>1649000</v>
      </c>
    </row>
    <row r="496" spans="1:11" x14ac:dyDescent="0.35">
      <c r="A496" s="1" t="s">
        <v>1059</v>
      </c>
      <c r="B496" s="1" t="s">
        <v>141</v>
      </c>
      <c r="C496" s="1" t="s">
        <v>15</v>
      </c>
      <c r="D496" s="1" t="s">
        <v>157</v>
      </c>
      <c r="E496">
        <v>3</v>
      </c>
      <c r="F496" s="2">
        <v>45646</v>
      </c>
      <c r="G496" s="1" t="str">
        <f>VLOOKUP(Summary_Laporan_Penjualan_20248[[#This Row],[ID_Pelanggan]], Data_Pelanggan[], 2, 0)</f>
        <v>CV Berkah</v>
      </c>
      <c r="H496" s="1" t="str">
        <f>VLOOKUP(Summary_Laporan_Penjualan_20248[[#This Row],[ID_Pelanggan]], Data_Pelanggan[], 4, 0)</f>
        <v>Bandung</v>
      </c>
      <c r="I496" s="1" t="str">
        <f>VLOOKUP(Summary_Laporan_Penjualan_20248[[#This Row],[ID_Produk]], Data_Produk[], 6, 0)</f>
        <v>Semarang</v>
      </c>
      <c r="J496" s="1">
        <f>VLOOKUP(Summary_Laporan_Penjualan_20248[[#This Row],[ID_Produk]], Data_Produk[], 7, 0)</f>
        <v>400000</v>
      </c>
      <c r="K496" s="1">
        <f>VLOOKUP(Summary_Laporan_Penjualan_20248[[#This Row],[ID_Produk]], Data_Produk[], 8, 0)</f>
        <v>623000</v>
      </c>
    </row>
    <row r="497" spans="1:11" x14ac:dyDescent="0.35">
      <c r="A497" s="1" t="s">
        <v>1061</v>
      </c>
      <c r="B497" s="1" t="s">
        <v>106</v>
      </c>
      <c r="C497" s="1" t="s">
        <v>21</v>
      </c>
      <c r="D497" s="1" t="s">
        <v>143</v>
      </c>
      <c r="E497">
        <v>11</v>
      </c>
      <c r="F497" s="2">
        <v>45590</v>
      </c>
      <c r="G497" s="1" t="str">
        <f>VLOOKUP(Summary_Laporan_Penjualan_20248[[#This Row],[ID_Pelanggan]], Data_Pelanggan[], 2, 0)</f>
        <v>Toko Komputer Sejahtera</v>
      </c>
      <c r="H497" s="1" t="str">
        <f>VLOOKUP(Summary_Laporan_Penjualan_20248[[#This Row],[ID_Pelanggan]], Data_Pelanggan[], 4, 0)</f>
        <v>Surabaya</v>
      </c>
      <c r="I497" s="1" t="str">
        <f>VLOOKUP(Summary_Laporan_Penjualan_20248[[#This Row],[ID_Produk]], Data_Produk[], 6, 0)</f>
        <v>Depok</v>
      </c>
      <c r="J497" s="1">
        <f>VLOOKUP(Summary_Laporan_Penjualan_20248[[#This Row],[ID_Produk]], Data_Produk[], 7, 0)</f>
        <v>300000</v>
      </c>
      <c r="K497" s="1">
        <f>VLOOKUP(Summary_Laporan_Penjualan_20248[[#This Row],[ID_Produk]], Data_Produk[], 8, 0)</f>
        <v>355000</v>
      </c>
    </row>
    <row r="498" spans="1:11" x14ac:dyDescent="0.35">
      <c r="A498" s="1" t="s">
        <v>1063</v>
      </c>
      <c r="B498" s="1" t="s">
        <v>168</v>
      </c>
      <c r="C498" s="1" t="s">
        <v>69</v>
      </c>
      <c r="D498" s="1" t="s">
        <v>128</v>
      </c>
      <c r="E498">
        <v>7</v>
      </c>
      <c r="F498" s="2">
        <v>45617</v>
      </c>
      <c r="G498" s="1" t="str">
        <f>VLOOKUP(Summary_Laporan_Penjualan_20248[[#This Row],[ID_Pelanggan]], Data_Pelanggan[], 2, 0)</f>
        <v>PT Teknologi Prima</v>
      </c>
      <c r="H498" s="1" t="str">
        <f>VLOOKUP(Summary_Laporan_Penjualan_20248[[#This Row],[ID_Pelanggan]], Data_Pelanggan[], 4, 0)</f>
        <v>Jakarta</v>
      </c>
      <c r="I498" s="1" t="str">
        <f>VLOOKUP(Summary_Laporan_Penjualan_20248[[#This Row],[ID_Produk]], Data_Produk[], 6, 0)</f>
        <v>Semarang</v>
      </c>
      <c r="J498" s="1">
        <f>VLOOKUP(Summary_Laporan_Penjualan_20248[[#This Row],[ID_Produk]], Data_Produk[], 7, 0)</f>
        <v>500000</v>
      </c>
      <c r="K498" s="1">
        <f>VLOOKUP(Summary_Laporan_Penjualan_20248[[#This Row],[ID_Produk]], Data_Produk[], 8, 0)</f>
        <v>844000</v>
      </c>
    </row>
    <row r="499" spans="1:11" x14ac:dyDescent="0.35">
      <c r="A499" s="1" t="s">
        <v>1065</v>
      </c>
      <c r="B499" s="1" t="s">
        <v>137</v>
      </c>
      <c r="C499" s="1" t="s">
        <v>51</v>
      </c>
      <c r="D499" s="1" t="s">
        <v>157</v>
      </c>
      <c r="E499">
        <v>1</v>
      </c>
      <c r="F499" s="2">
        <v>45442</v>
      </c>
      <c r="G499" s="1" t="str">
        <f>VLOOKUP(Summary_Laporan_Penjualan_20248[[#This Row],[ID_Pelanggan]], Data_Pelanggan[], 2, 0)</f>
        <v>Toko Musik Digital</v>
      </c>
      <c r="H499" s="1" t="str">
        <f>VLOOKUP(Summary_Laporan_Penjualan_20248[[#This Row],[ID_Pelanggan]], Data_Pelanggan[], 4, 0)</f>
        <v>Denpasar</v>
      </c>
      <c r="I499" s="1" t="str">
        <f>VLOOKUP(Summary_Laporan_Penjualan_20248[[#This Row],[ID_Produk]], Data_Produk[], 6, 0)</f>
        <v>Jakarta</v>
      </c>
      <c r="J499" s="1">
        <f>VLOOKUP(Summary_Laporan_Penjualan_20248[[#This Row],[ID_Produk]], Data_Produk[], 7, 0)</f>
        <v>2000000</v>
      </c>
      <c r="K499" s="1">
        <f>VLOOKUP(Summary_Laporan_Penjualan_20248[[#This Row],[ID_Produk]], Data_Produk[], 8, 0)</f>
        <v>2533000</v>
      </c>
    </row>
    <row r="500" spans="1:11" x14ac:dyDescent="0.35">
      <c r="A500" s="1" t="s">
        <v>1067</v>
      </c>
      <c r="B500" s="1" t="s">
        <v>176</v>
      </c>
      <c r="C500" s="1" t="s">
        <v>69</v>
      </c>
      <c r="D500" s="1" t="s">
        <v>121</v>
      </c>
      <c r="E500">
        <v>4</v>
      </c>
      <c r="F500" s="2">
        <v>45318</v>
      </c>
      <c r="G500" s="1" t="str">
        <f>VLOOKUP(Summary_Laporan_Penjualan_20248[[#This Row],[ID_Pelanggan]], Data_Pelanggan[], 2, 0)</f>
        <v>PT Teknologi Prima</v>
      </c>
      <c r="H500" s="1" t="str">
        <f>VLOOKUP(Summary_Laporan_Penjualan_20248[[#This Row],[ID_Pelanggan]], Data_Pelanggan[], 4, 0)</f>
        <v>Jakarta</v>
      </c>
      <c r="I500" s="1" t="str">
        <f>VLOOKUP(Summary_Laporan_Penjualan_20248[[#This Row],[ID_Produk]], Data_Produk[], 6, 0)</f>
        <v>Depok</v>
      </c>
      <c r="J500" s="1">
        <f>VLOOKUP(Summary_Laporan_Penjualan_20248[[#This Row],[ID_Produk]], Data_Produk[], 7, 0)</f>
        <v>1500000</v>
      </c>
      <c r="K500" s="1">
        <f>VLOOKUP(Summary_Laporan_Penjualan_20248[[#This Row],[ID_Produk]], Data_Produk[], 8, 0)</f>
        <v>1772000</v>
      </c>
    </row>
    <row r="501" spans="1:11" x14ac:dyDescent="0.35">
      <c r="A501" s="1" t="s">
        <v>1069</v>
      </c>
      <c r="B501" s="1" t="s">
        <v>188</v>
      </c>
      <c r="C501" s="1" t="s">
        <v>15</v>
      </c>
      <c r="D501" s="1" t="s">
        <v>121</v>
      </c>
      <c r="E501">
        <v>11</v>
      </c>
      <c r="F501" s="2">
        <v>45637</v>
      </c>
      <c r="G501" s="1" t="str">
        <f>VLOOKUP(Summary_Laporan_Penjualan_20248[[#This Row],[ID_Pelanggan]], Data_Pelanggan[], 2, 0)</f>
        <v>CV Berkah</v>
      </c>
      <c r="H501" s="1" t="str">
        <f>VLOOKUP(Summary_Laporan_Penjualan_20248[[#This Row],[ID_Pelanggan]], Data_Pelanggan[], 4, 0)</f>
        <v>Bandung</v>
      </c>
      <c r="I501" s="1" t="str">
        <f>VLOOKUP(Summary_Laporan_Penjualan_20248[[#This Row],[ID_Produk]], Data_Produk[], 6, 0)</f>
        <v>Semarang</v>
      </c>
      <c r="J501" s="1">
        <f>VLOOKUP(Summary_Laporan_Penjualan_20248[[#This Row],[ID_Produk]], Data_Produk[], 7, 0)</f>
        <v>2800000</v>
      </c>
      <c r="K501" s="1">
        <f>VLOOKUP(Summary_Laporan_Penjualan_20248[[#This Row],[ID_Produk]], Data_Produk[], 8, 0)</f>
        <v>4747000</v>
      </c>
    </row>
    <row r="502" spans="1:11" x14ac:dyDescent="0.35">
      <c r="A502" s="1" t="s">
        <v>1070</v>
      </c>
      <c r="B502" s="1" t="s">
        <v>172</v>
      </c>
      <c r="C502" s="1" t="s">
        <v>69</v>
      </c>
      <c r="D502" s="1" t="s">
        <v>171</v>
      </c>
      <c r="E502">
        <v>11</v>
      </c>
      <c r="F502" s="2">
        <v>45403</v>
      </c>
      <c r="G502" s="1" t="str">
        <f>VLOOKUP(Summary_Laporan_Penjualan_20248[[#This Row],[ID_Pelanggan]], Data_Pelanggan[], 2, 0)</f>
        <v>PT Teknologi Prima</v>
      </c>
      <c r="H502" s="1" t="str">
        <f>VLOOKUP(Summary_Laporan_Penjualan_20248[[#This Row],[ID_Pelanggan]], Data_Pelanggan[], 4, 0)</f>
        <v>Jakarta</v>
      </c>
      <c r="I502" s="1" t="str">
        <f>VLOOKUP(Summary_Laporan_Penjualan_20248[[#This Row],[ID_Produk]], Data_Produk[], 6, 0)</f>
        <v>Semarang</v>
      </c>
      <c r="J502" s="1">
        <f>VLOOKUP(Summary_Laporan_Penjualan_20248[[#This Row],[ID_Produk]], Data_Produk[], 7, 0)</f>
        <v>950000</v>
      </c>
      <c r="K502" s="1">
        <f>VLOOKUP(Summary_Laporan_Penjualan_20248[[#This Row],[ID_Produk]], Data_Produk[], 8, 0)</f>
        <v>1649000</v>
      </c>
    </row>
    <row r="503" spans="1:11" x14ac:dyDescent="0.35">
      <c r="A503" s="1" t="s">
        <v>1072</v>
      </c>
      <c r="B503" s="1" t="s">
        <v>272</v>
      </c>
      <c r="C503" s="1" t="s">
        <v>8</v>
      </c>
      <c r="D503" s="1" t="s">
        <v>124</v>
      </c>
      <c r="E503">
        <v>2</v>
      </c>
      <c r="F503" s="2">
        <v>45434</v>
      </c>
      <c r="G503" s="1" t="str">
        <f>VLOOKUP(Summary_Laporan_Penjualan_20248[[#This Row],[ID_Pelanggan]], Data_Pelanggan[], 2, 0)</f>
        <v>PT Maju Jaya</v>
      </c>
      <c r="H503" s="1" t="str">
        <f>VLOOKUP(Summary_Laporan_Penjualan_20248[[#This Row],[ID_Pelanggan]], Data_Pelanggan[], 4, 0)</f>
        <v>Jakarta</v>
      </c>
      <c r="I503" s="1" t="str">
        <f>VLOOKUP(Summary_Laporan_Penjualan_20248[[#This Row],[ID_Produk]], Data_Produk[], 6, 0)</f>
        <v>Depok</v>
      </c>
      <c r="J503" s="1">
        <f>VLOOKUP(Summary_Laporan_Penjualan_20248[[#This Row],[ID_Produk]], Data_Produk[], 7, 0)</f>
        <v>650000</v>
      </c>
      <c r="K503" s="1">
        <f>VLOOKUP(Summary_Laporan_Penjualan_20248[[#This Row],[ID_Produk]], Data_Produk[], 8, 0)</f>
        <v>741000</v>
      </c>
    </row>
    <row r="504" spans="1:11" x14ac:dyDescent="0.35">
      <c r="A504" s="1" t="s">
        <v>1073</v>
      </c>
      <c r="B504" s="1" t="s">
        <v>133</v>
      </c>
      <c r="C504" s="1" t="s">
        <v>15</v>
      </c>
      <c r="D504" s="1" t="s">
        <v>143</v>
      </c>
      <c r="E504">
        <v>11</v>
      </c>
      <c r="F504" s="2">
        <v>45557</v>
      </c>
      <c r="G504" s="1" t="str">
        <f>VLOOKUP(Summary_Laporan_Penjualan_20248[[#This Row],[ID_Pelanggan]], Data_Pelanggan[], 2, 0)</f>
        <v>CV Berkah</v>
      </c>
      <c r="H504" s="1" t="str">
        <f>VLOOKUP(Summary_Laporan_Penjualan_20248[[#This Row],[ID_Pelanggan]], Data_Pelanggan[], 4, 0)</f>
        <v>Bandung</v>
      </c>
      <c r="I504" s="1" t="str">
        <f>VLOOKUP(Summary_Laporan_Penjualan_20248[[#This Row],[ID_Produk]], Data_Produk[], 6, 0)</f>
        <v>Jakarta</v>
      </c>
      <c r="J504" s="1">
        <f>VLOOKUP(Summary_Laporan_Penjualan_20248[[#This Row],[ID_Produk]], Data_Produk[], 7, 0)</f>
        <v>2500000</v>
      </c>
      <c r="K504" s="1">
        <f>VLOOKUP(Summary_Laporan_Penjualan_20248[[#This Row],[ID_Produk]], Data_Produk[], 8, 0)</f>
        <v>3080000</v>
      </c>
    </row>
    <row r="505" spans="1:11" x14ac:dyDescent="0.35">
      <c r="A505" s="1" t="s">
        <v>1075</v>
      </c>
      <c r="B505" s="1" t="s">
        <v>141</v>
      </c>
      <c r="C505" s="1" t="s">
        <v>51</v>
      </c>
      <c r="D505" s="1" t="s">
        <v>157</v>
      </c>
      <c r="E505">
        <v>3</v>
      </c>
      <c r="F505" s="2">
        <v>45586</v>
      </c>
      <c r="G505" s="1" t="str">
        <f>VLOOKUP(Summary_Laporan_Penjualan_20248[[#This Row],[ID_Pelanggan]], Data_Pelanggan[], 2, 0)</f>
        <v>Toko Musik Digital</v>
      </c>
      <c r="H505" s="1" t="str">
        <f>VLOOKUP(Summary_Laporan_Penjualan_20248[[#This Row],[ID_Pelanggan]], Data_Pelanggan[], 4, 0)</f>
        <v>Denpasar</v>
      </c>
      <c r="I505" s="1" t="str">
        <f>VLOOKUP(Summary_Laporan_Penjualan_20248[[#This Row],[ID_Produk]], Data_Produk[], 6, 0)</f>
        <v>Semarang</v>
      </c>
      <c r="J505" s="1">
        <f>VLOOKUP(Summary_Laporan_Penjualan_20248[[#This Row],[ID_Produk]], Data_Produk[], 7, 0)</f>
        <v>400000</v>
      </c>
      <c r="K505" s="1">
        <f>VLOOKUP(Summary_Laporan_Penjualan_20248[[#This Row],[ID_Produk]], Data_Produk[], 8, 0)</f>
        <v>623000</v>
      </c>
    </row>
    <row r="506" spans="1:11" x14ac:dyDescent="0.35">
      <c r="A506" s="1" t="s">
        <v>1077</v>
      </c>
      <c r="B506" s="1" t="s">
        <v>109</v>
      </c>
      <c r="C506" s="1" t="s">
        <v>29</v>
      </c>
      <c r="D506" s="1" t="s">
        <v>143</v>
      </c>
      <c r="E506">
        <v>9</v>
      </c>
      <c r="F506" s="2">
        <v>45580</v>
      </c>
      <c r="G506" s="1" t="str">
        <f>VLOOKUP(Summary_Laporan_Penjualan_20248[[#This Row],[ID_Pelanggan]], Data_Pelanggan[], 2, 0)</f>
        <v>UD Sentosa</v>
      </c>
      <c r="H506" s="1" t="str">
        <f>VLOOKUP(Summary_Laporan_Penjualan_20248[[#This Row],[ID_Pelanggan]], Data_Pelanggan[], 4, 0)</f>
        <v>Medan</v>
      </c>
      <c r="I506" s="1" t="str">
        <f>VLOOKUP(Summary_Laporan_Penjualan_20248[[#This Row],[ID_Produk]], Data_Produk[], 6, 0)</f>
        <v>Semarang</v>
      </c>
      <c r="J506" s="1">
        <f>VLOOKUP(Summary_Laporan_Penjualan_20248[[#This Row],[ID_Produk]], Data_Produk[], 7, 0)</f>
        <v>2000000</v>
      </c>
      <c r="K506" s="1">
        <f>VLOOKUP(Summary_Laporan_Penjualan_20248[[#This Row],[ID_Produk]], Data_Produk[], 8, 0)</f>
        <v>3382000</v>
      </c>
    </row>
    <row r="507" spans="1:11" x14ac:dyDescent="0.35">
      <c r="A507" s="1" t="s">
        <v>1079</v>
      </c>
      <c r="B507" s="1" t="s">
        <v>240</v>
      </c>
      <c r="C507" s="1" t="s">
        <v>63</v>
      </c>
      <c r="D507" s="1" t="s">
        <v>124</v>
      </c>
      <c r="E507">
        <v>9</v>
      </c>
      <c r="F507" s="2">
        <v>45643</v>
      </c>
      <c r="G507" s="1" t="str">
        <f>VLOOKUP(Summary_Laporan_Penjualan_20248[[#This Row],[ID_Pelanggan]], Data_Pelanggan[], 2, 0)</f>
        <v>UD Makmur</v>
      </c>
      <c r="H507" s="1" t="str">
        <f>VLOOKUP(Summary_Laporan_Penjualan_20248[[#This Row],[ID_Pelanggan]], Data_Pelanggan[], 4, 0)</f>
        <v>Palembang</v>
      </c>
      <c r="I507" s="1" t="str">
        <f>VLOOKUP(Summary_Laporan_Penjualan_20248[[#This Row],[ID_Produk]], Data_Produk[], 6, 0)</f>
        <v>Semarang</v>
      </c>
      <c r="J507" s="1">
        <f>VLOOKUP(Summary_Laporan_Penjualan_20248[[#This Row],[ID_Produk]], Data_Produk[], 7, 0)</f>
        <v>350000</v>
      </c>
      <c r="K507" s="1">
        <f>VLOOKUP(Summary_Laporan_Penjualan_20248[[#This Row],[ID_Produk]], Data_Produk[], 8, 0)</f>
        <v>626000</v>
      </c>
    </row>
    <row r="508" spans="1:11" x14ac:dyDescent="0.35">
      <c r="A508" s="1" t="s">
        <v>1081</v>
      </c>
      <c r="B508" s="1" t="s">
        <v>137</v>
      </c>
      <c r="C508" s="1" t="s">
        <v>15</v>
      </c>
      <c r="D508" s="1" t="s">
        <v>171</v>
      </c>
      <c r="E508">
        <v>7</v>
      </c>
      <c r="F508" s="2">
        <v>45590</v>
      </c>
      <c r="G508" s="1" t="str">
        <f>VLOOKUP(Summary_Laporan_Penjualan_20248[[#This Row],[ID_Pelanggan]], Data_Pelanggan[], 2, 0)</f>
        <v>CV Berkah</v>
      </c>
      <c r="H508" s="1" t="str">
        <f>VLOOKUP(Summary_Laporan_Penjualan_20248[[#This Row],[ID_Pelanggan]], Data_Pelanggan[], 4, 0)</f>
        <v>Bandung</v>
      </c>
      <c r="I508" s="1" t="str">
        <f>VLOOKUP(Summary_Laporan_Penjualan_20248[[#This Row],[ID_Produk]], Data_Produk[], 6, 0)</f>
        <v>Jakarta</v>
      </c>
      <c r="J508" s="1">
        <f>VLOOKUP(Summary_Laporan_Penjualan_20248[[#This Row],[ID_Produk]], Data_Produk[], 7, 0)</f>
        <v>2000000</v>
      </c>
      <c r="K508" s="1">
        <f>VLOOKUP(Summary_Laporan_Penjualan_20248[[#This Row],[ID_Produk]], Data_Produk[], 8, 0)</f>
        <v>2533000</v>
      </c>
    </row>
    <row r="509" spans="1:11" x14ac:dyDescent="0.35">
      <c r="A509" s="1" t="s">
        <v>1083</v>
      </c>
      <c r="B509" s="1" t="s">
        <v>240</v>
      </c>
      <c r="C509" s="1" t="s">
        <v>21</v>
      </c>
      <c r="D509" s="1" t="s">
        <v>121</v>
      </c>
      <c r="E509">
        <v>1</v>
      </c>
      <c r="F509" s="2">
        <v>45348</v>
      </c>
      <c r="G509" s="1" t="str">
        <f>VLOOKUP(Summary_Laporan_Penjualan_20248[[#This Row],[ID_Pelanggan]], Data_Pelanggan[], 2, 0)</f>
        <v>Toko Komputer Sejahtera</v>
      </c>
      <c r="H509" s="1" t="str">
        <f>VLOOKUP(Summary_Laporan_Penjualan_20248[[#This Row],[ID_Pelanggan]], Data_Pelanggan[], 4, 0)</f>
        <v>Surabaya</v>
      </c>
      <c r="I509" s="1" t="str">
        <f>VLOOKUP(Summary_Laporan_Penjualan_20248[[#This Row],[ID_Produk]], Data_Produk[], 6, 0)</f>
        <v>Semarang</v>
      </c>
      <c r="J509" s="1">
        <f>VLOOKUP(Summary_Laporan_Penjualan_20248[[#This Row],[ID_Produk]], Data_Produk[], 7, 0)</f>
        <v>350000</v>
      </c>
      <c r="K509" s="1">
        <f>VLOOKUP(Summary_Laporan_Penjualan_20248[[#This Row],[ID_Produk]], Data_Produk[], 8, 0)</f>
        <v>626000</v>
      </c>
    </row>
    <row r="510" spans="1:11" x14ac:dyDescent="0.35">
      <c r="A510" s="1" t="s">
        <v>1084</v>
      </c>
      <c r="B510" s="1" t="s">
        <v>106</v>
      </c>
      <c r="C510" s="1" t="s">
        <v>21</v>
      </c>
      <c r="D510" s="1" t="s">
        <v>121</v>
      </c>
      <c r="E510">
        <v>14</v>
      </c>
      <c r="F510" s="2">
        <v>45534</v>
      </c>
      <c r="G510" s="1" t="str">
        <f>VLOOKUP(Summary_Laporan_Penjualan_20248[[#This Row],[ID_Pelanggan]], Data_Pelanggan[], 2, 0)</f>
        <v>Toko Komputer Sejahtera</v>
      </c>
      <c r="H510" s="1" t="str">
        <f>VLOOKUP(Summary_Laporan_Penjualan_20248[[#This Row],[ID_Pelanggan]], Data_Pelanggan[], 4, 0)</f>
        <v>Surabaya</v>
      </c>
      <c r="I510" s="1" t="str">
        <f>VLOOKUP(Summary_Laporan_Penjualan_20248[[#This Row],[ID_Produk]], Data_Produk[], 6, 0)</f>
        <v>Depok</v>
      </c>
      <c r="J510" s="1">
        <f>VLOOKUP(Summary_Laporan_Penjualan_20248[[#This Row],[ID_Produk]], Data_Produk[], 7, 0)</f>
        <v>300000</v>
      </c>
      <c r="K510" s="1">
        <f>VLOOKUP(Summary_Laporan_Penjualan_20248[[#This Row],[ID_Produk]], Data_Produk[], 8, 0)</f>
        <v>355000</v>
      </c>
    </row>
    <row r="511" spans="1:11" x14ac:dyDescent="0.35">
      <c r="A511" s="1" t="s">
        <v>1086</v>
      </c>
      <c r="B511" s="1" t="s">
        <v>141</v>
      </c>
      <c r="C511" s="1" t="s">
        <v>51</v>
      </c>
      <c r="D511" s="1" t="s">
        <v>143</v>
      </c>
      <c r="E511">
        <v>15</v>
      </c>
      <c r="F511" s="2">
        <v>45538</v>
      </c>
      <c r="G511" s="1" t="str">
        <f>VLOOKUP(Summary_Laporan_Penjualan_20248[[#This Row],[ID_Pelanggan]], Data_Pelanggan[], 2, 0)</f>
        <v>Toko Musik Digital</v>
      </c>
      <c r="H511" s="1" t="str">
        <f>VLOOKUP(Summary_Laporan_Penjualan_20248[[#This Row],[ID_Pelanggan]], Data_Pelanggan[], 4, 0)</f>
        <v>Denpasar</v>
      </c>
      <c r="I511" s="1" t="str">
        <f>VLOOKUP(Summary_Laporan_Penjualan_20248[[#This Row],[ID_Produk]], Data_Produk[], 6, 0)</f>
        <v>Semarang</v>
      </c>
      <c r="J511" s="1">
        <f>VLOOKUP(Summary_Laporan_Penjualan_20248[[#This Row],[ID_Produk]], Data_Produk[], 7, 0)</f>
        <v>400000</v>
      </c>
      <c r="K511" s="1">
        <f>VLOOKUP(Summary_Laporan_Penjualan_20248[[#This Row],[ID_Produk]], Data_Produk[], 8, 0)</f>
        <v>623000</v>
      </c>
    </row>
    <row r="512" spans="1:11" x14ac:dyDescent="0.35">
      <c r="A512" s="1" t="s">
        <v>1088</v>
      </c>
      <c r="B512" s="1" t="s">
        <v>116</v>
      </c>
      <c r="C512" s="1" t="s">
        <v>73</v>
      </c>
      <c r="D512" s="1" t="s">
        <v>143</v>
      </c>
      <c r="E512">
        <v>2</v>
      </c>
      <c r="F512" s="2">
        <v>45360</v>
      </c>
      <c r="G512" s="1" t="str">
        <f>VLOOKUP(Summary_Laporan_Penjualan_20248[[#This Row],[ID_Pelanggan]], Data_Pelanggan[], 2, 0)</f>
        <v>Toko Gadget Center</v>
      </c>
      <c r="H512" s="1" t="str">
        <f>VLOOKUP(Summary_Laporan_Penjualan_20248[[#This Row],[ID_Pelanggan]], Data_Pelanggan[], 4, 0)</f>
        <v>Malang</v>
      </c>
      <c r="I512" s="1" t="str">
        <f>VLOOKUP(Summary_Laporan_Penjualan_20248[[#This Row],[ID_Produk]], Data_Produk[], 6, 0)</f>
        <v>Depok</v>
      </c>
      <c r="J512" s="1">
        <f>VLOOKUP(Summary_Laporan_Penjualan_20248[[#This Row],[ID_Produk]], Data_Produk[], 7, 0)</f>
        <v>5000000</v>
      </c>
      <c r="K512" s="1">
        <f>VLOOKUP(Summary_Laporan_Penjualan_20248[[#This Row],[ID_Produk]], Data_Produk[], 8, 0)</f>
        <v>7546000</v>
      </c>
    </row>
    <row r="513" spans="1:11" x14ac:dyDescent="0.35">
      <c r="A513" s="1" t="s">
        <v>1090</v>
      </c>
      <c r="B513" s="1" t="s">
        <v>109</v>
      </c>
      <c r="C513" s="1" t="s">
        <v>15</v>
      </c>
      <c r="D513" s="1" t="s">
        <v>128</v>
      </c>
      <c r="E513">
        <v>3</v>
      </c>
      <c r="F513" s="2">
        <v>45572</v>
      </c>
      <c r="G513" s="1" t="str">
        <f>VLOOKUP(Summary_Laporan_Penjualan_20248[[#This Row],[ID_Pelanggan]], Data_Pelanggan[], 2, 0)</f>
        <v>CV Berkah</v>
      </c>
      <c r="H513" s="1" t="str">
        <f>VLOOKUP(Summary_Laporan_Penjualan_20248[[#This Row],[ID_Pelanggan]], Data_Pelanggan[], 4, 0)</f>
        <v>Bandung</v>
      </c>
      <c r="I513" s="1" t="str">
        <f>VLOOKUP(Summary_Laporan_Penjualan_20248[[#This Row],[ID_Produk]], Data_Produk[], 6, 0)</f>
        <v>Semarang</v>
      </c>
      <c r="J513" s="1">
        <f>VLOOKUP(Summary_Laporan_Penjualan_20248[[#This Row],[ID_Produk]], Data_Produk[], 7, 0)</f>
        <v>2000000</v>
      </c>
      <c r="K513" s="1">
        <f>VLOOKUP(Summary_Laporan_Penjualan_20248[[#This Row],[ID_Produk]], Data_Produk[], 8, 0)</f>
        <v>3382000</v>
      </c>
    </row>
    <row r="514" spans="1:11" x14ac:dyDescent="0.35">
      <c r="A514" s="1" t="s">
        <v>1092</v>
      </c>
      <c r="B514" s="1" t="s">
        <v>172</v>
      </c>
      <c r="C514" s="1" t="s">
        <v>35</v>
      </c>
      <c r="D514" s="1" t="s">
        <v>121</v>
      </c>
      <c r="E514">
        <v>11</v>
      </c>
      <c r="F514" s="2">
        <v>45627</v>
      </c>
      <c r="G514" s="1" t="str">
        <f>VLOOKUP(Summary_Laporan_Penjualan_20248[[#This Row],[ID_Pelanggan]], Data_Pelanggan[], 2, 0)</f>
        <v>PT Digital Nusantara</v>
      </c>
      <c r="H514" s="1" t="str">
        <f>VLOOKUP(Summary_Laporan_Penjualan_20248[[#This Row],[ID_Pelanggan]], Data_Pelanggan[], 4, 0)</f>
        <v>Jakarta</v>
      </c>
      <c r="I514" s="1" t="str">
        <f>VLOOKUP(Summary_Laporan_Penjualan_20248[[#This Row],[ID_Produk]], Data_Produk[], 6, 0)</f>
        <v>Semarang</v>
      </c>
      <c r="J514" s="1">
        <f>VLOOKUP(Summary_Laporan_Penjualan_20248[[#This Row],[ID_Produk]], Data_Produk[], 7, 0)</f>
        <v>950000</v>
      </c>
      <c r="K514" s="1">
        <f>VLOOKUP(Summary_Laporan_Penjualan_20248[[#This Row],[ID_Produk]], Data_Produk[], 8, 0)</f>
        <v>1649000</v>
      </c>
    </row>
    <row r="515" spans="1:11" x14ac:dyDescent="0.35">
      <c r="A515" s="1" t="s">
        <v>1093</v>
      </c>
      <c r="B515" s="1" t="s">
        <v>173</v>
      </c>
      <c r="C515" s="1" t="s">
        <v>45</v>
      </c>
      <c r="D515" s="1" t="s">
        <v>124</v>
      </c>
      <c r="E515">
        <v>8</v>
      </c>
      <c r="F515" s="2">
        <v>45504</v>
      </c>
      <c r="G515" s="1" t="str">
        <f>VLOOKUP(Summary_Laporan_Penjualan_20248[[#This Row],[ID_Pelanggan]], Data_Pelanggan[], 2, 0)</f>
        <v>CV Techno</v>
      </c>
      <c r="H515" s="1" t="str">
        <f>VLOOKUP(Summary_Laporan_Penjualan_20248[[#This Row],[ID_Pelanggan]], Data_Pelanggan[], 4, 0)</f>
        <v>Yogyakarta</v>
      </c>
      <c r="I515" s="1" t="str">
        <f>VLOOKUP(Summary_Laporan_Penjualan_20248[[#This Row],[ID_Produk]], Data_Produk[], 6, 0)</f>
        <v>Depok</v>
      </c>
      <c r="J515" s="1">
        <f>VLOOKUP(Summary_Laporan_Penjualan_20248[[#This Row],[ID_Produk]], Data_Produk[], 7, 0)</f>
        <v>80000</v>
      </c>
      <c r="K515" s="1">
        <f>VLOOKUP(Summary_Laporan_Penjualan_20248[[#This Row],[ID_Produk]], Data_Produk[], 8, 0)</f>
        <v>92000</v>
      </c>
    </row>
    <row r="516" spans="1:11" x14ac:dyDescent="0.35">
      <c r="A516" s="1" t="s">
        <v>1094</v>
      </c>
      <c r="B516" s="1" t="s">
        <v>248</v>
      </c>
      <c r="C516" s="1" t="s">
        <v>82</v>
      </c>
      <c r="D516" s="1" t="s">
        <v>171</v>
      </c>
      <c r="E516">
        <v>7</v>
      </c>
      <c r="F516" s="2">
        <v>45385</v>
      </c>
      <c r="G516" s="1" t="str">
        <f>VLOOKUP(Summary_Laporan_Penjualan_20248[[#This Row],[ID_Pelanggan]], Data_Pelanggan[], 2, 0)</f>
        <v>Toko Komputer Maju</v>
      </c>
      <c r="H516" s="1" t="str">
        <f>VLOOKUP(Summary_Laporan_Penjualan_20248[[#This Row],[ID_Pelanggan]], Data_Pelanggan[], 4, 0)</f>
        <v>Solo</v>
      </c>
      <c r="I516" s="1" t="str">
        <f>VLOOKUP(Summary_Laporan_Penjualan_20248[[#This Row],[ID_Produk]], Data_Produk[], 6, 0)</f>
        <v>Semarang</v>
      </c>
      <c r="J516" s="1">
        <f>VLOOKUP(Summary_Laporan_Penjualan_20248[[#This Row],[ID_Produk]], Data_Produk[], 7, 0)</f>
        <v>250000</v>
      </c>
      <c r="K516" s="1">
        <f>VLOOKUP(Summary_Laporan_Penjualan_20248[[#This Row],[ID_Produk]], Data_Produk[], 8, 0)</f>
        <v>354000</v>
      </c>
    </row>
    <row r="517" spans="1:11" x14ac:dyDescent="0.35">
      <c r="A517" s="1" t="s">
        <v>1096</v>
      </c>
      <c r="B517" s="1" t="s">
        <v>191</v>
      </c>
      <c r="C517" s="1" t="s">
        <v>63</v>
      </c>
      <c r="D517" s="1" t="s">
        <v>171</v>
      </c>
      <c r="E517">
        <v>5</v>
      </c>
      <c r="F517" s="2">
        <v>45570</v>
      </c>
      <c r="G517" s="1" t="str">
        <f>VLOOKUP(Summary_Laporan_Penjualan_20248[[#This Row],[ID_Pelanggan]], Data_Pelanggan[], 2, 0)</f>
        <v>UD Makmur</v>
      </c>
      <c r="H517" s="1" t="str">
        <f>VLOOKUP(Summary_Laporan_Penjualan_20248[[#This Row],[ID_Pelanggan]], Data_Pelanggan[], 4, 0)</f>
        <v>Palembang</v>
      </c>
      <c r="I517" s="1" t="str">
        <f>VLOOKUP(Summary_Laporan_Penjualan_20248[[#This Row],[ID_Produk]], Data_Produk[], 6, 0)</f>
        <v>Jakarta</v>
      </c>
      <c r="J517" s="1">
        <f>VLOOKUP(Summary_Laporan_Penjualan_20248[[#This Row],[ID_Produk]], Data_Produk[], 7, 0)</f>
        <v>12000000</v>
      </c>
      <c r="K517" s="1">
        <f>VLOOKUP(Summary_Laporan_Penjualan_20248[[#This Row],[ID_Produk]], Data_Produk[], 8, 0)</f>
        <v>13963000</v>
      </c>
    </row>
    <row r="518" spans="1:11" x14ac:dyDescent="0.35">
      <c r="A518" s="1" t="s">
        <v>1098</v>
      </c>
      <c r="B518" s="1" t="s">
        <v>141</v>
      </c>
      <c r="C518" s="1" t="s">
        <v>39</v>
      </c>
      <c r="D518" s="1" t="s">
        <v>171</v>
      </c>
      <c r="E518">
        <v>15</v>
      </c>
      <c r="F518" s="2">
        <v>45509</v>
      </c>
      <c r="G518" s="1" t="str">
        <f>VLOOKUP(Summary_Laporan_Penjualan_20248[[#This Row],[ID_Pelanggan]], Data_Pelanggan[], 2, 0)</f>
        <v>Toko Elektronik Jaya</v>
      </c>
      <c r="H518" s="1" t="str">
        <f>VLOOKUP(Summary_Laporan_Penjualan_20248[[#This Row],[ID_Pelanggan]], Data_Pelanggan[], 4, 0)</f>
        <v>Semarang</v>
      </c>
      <c r="I518" s="1" t="str">
        <f>VLOOKUP(Summary_Laporan_Penjualan_20248[[#This Row],[ID_Produk]], Data_Produk[], 6, 0)</f>
        <v>Semarang</v>
      </c>
      <c r="J518" s="1">
        <f>VLOOKUP(Summary_Laporan_Penjualan_20248[[#This Row],[ID_Produk]], Data_Produk[], 7, 0)</f>
        <v>400000</v>
      </c>
      <c r="K518" s="1">
        <f>VLOOKUP(Summary_Laporan_Penjualan_20248[[#This Row],[ID_Produk]], Data_Produk[], 8, 0)</f>
        <v>623000</v>
      </c>
    </row>
    <row r="519" spans="1:11" x14ac:dyDescent="0.35">
      <c r="A519" s="1" t="s">
        <v>1100</v>
      </c>
      <c r="B519" s="1" t="s">
        <v>133</v>
      </c>
      <c r="C519" s="1" t="s">
        <v>51</v>
      </c>
      <c r="D519" s="1" t="s">
        <v>124</v>
      </c>
      <c r="E519">
        <v>4</v>
      </c>
      <c r="F519" s="2">
        <v>45312</v>
      </c>
      <c r="G519" s="1" t="str">
        <f>VLOOKUP(Summary_Laporan_Penjualan_20248[[#This Row],[ID_Pelanggan]], Data_Pelanggan[], 2, 0)</f>
        <v>Toko Musik Digital</v>
      </c>
      <c r="H519" s="1" t="str">
        <f>VLOOKUP(Summary_Laporan_Penjualan_20248[[#This Row],[ID_Pelanggan]], Data_Pelanggan[], 4, 0)</f>
        <v>Denpasar</v>
      </c>
      <c r="I519" s="1" t="str">
        <f>VLOOKUP(Summary_Laporan_Penjualan_20248[[#This Row],[ID_Produk]], Data_Produk[], 6, 0)</f>
        <v>Jakarta</v>
      </c>
      <c r="J519" s="1">
        <f>VLOOKUP(Summary_Laporan_Penjualan_20248[[#This Row],[ID_Produk]], Data_Produk[], 7, 0)</f>
        <v>2500000</v>
      </c>
      <c r="K519" s="1">
        <f>VLOOKUP(Summary_Laporan_Penjualan_20248[[#This Row],[ID_Produk]], Data_Produk[], 8, 0)</f>
        <v>3080000</v>
      </c>
    </row>
    <row r="520" spans="1:11" x14ac:dyDescent="0.35">
      <c r="A520" s="1" t="s">
        <v>1102</v>
      </c>
      <c r="B520" s="1" t="s">
        <v>173</v>
      </c>
      <c r="C520" s="1" t="s">
        <v>82</v>
      </c>
      <c r="D520" s="1" t="s">
        <v>121</v>
      </c>
      <c r="E520">
        <v>15</v>
      </c>
      <c r="F520" s="2">
        <v>45385</v>
      </c>
      <c r="G520" s="1" t="str">
        <f>VLOOKUP(Summary_Laporan_Penjualan_20248[[#This Row],[ID_Pelanggan]], Data_Pelanggan[], 2, 0)</f>
        <v>Toko Komputer Maju</v>
      </c>
      <c r="H520" s="1" t="str">
        <f>VLOOKUP(Summary_Laporan_Penjualan_20248[[#This Row],[ID_Pelanggan]], Data_Pelanggan[], 4, 0)</f>
        <v>Solo</v>
      </c>
      <c r="I520" s="1" t="str">
        <f>VLOOKUP(Summary_Laporan_Penjualan_20248[[#This Row],[ID_Produk]], Data_Produk[], 6, 0)</f>
        <v>Depok</v>
      </c>
      <c r="J520" s="1">
        <f>VLOOKUP(Summary_Laporan_Penjualan_20248[[#This Row],[ID_Produk]], Data_Produk[], 7, 0)</f>
        <v>80000</v>
      </c>
      <c r="K520" s="1">
        <f>VLOOKUP(Summary_Laporan_Penjualan_20248[[#This Row],[ID_Produk]], Data_Produk[], 8, 0)</f>
        <v>92000</v>
      </c>
    </row>
    <row r="521" spans="1:11" x14ac:dyDescent="0.35">
      <c r="A521" s="1" t="s">
        <v>1104</v>
      </c>
      <c r="B521" s="1" t="s">
        <v>164</v>
      </c>
      <c r="C521" s="1" t="s">
        <v>21</v>
      </c>
      <c r="D521" s="1" t="s">
        <v>171</v>
      </c>
      <c r="E521">
        <v>6</v>
      </c>
      <c r="F521" s="2">
        <v>45517</v>
      </c>
      <c r="G521" s="1" t="str">
        <f>VLOOKUP(Summary_Laporan_Penjualan_20248[[#This Row],[ID_Pelanggan]], Data_Pelanggan[], 2, 0)</f>
        <v>Toko Komputer Sejahtera</v>
      </c>
      <c r="H521" s="1" t="str">
        <f>VLOOKUP(Summary_Laporan_Penjualan_20248[[#This Row],[ID_Pelanggan]], Data_Pelanggan[], 4, 0)</f>
        <v>Surabaya</v>
      </c>
      <c r="I521" s="1" t="str">
        <f>VLOOKUP(Summary_Laporan_Penjualan_20248[[#This Row],[ID_Produk]], Data_Produk[], 6, 0)</f>
        <v>Jakarta</v>
      </c>
      <c r="J521" s="1">
        <f>VLOOKUP(Summary_Laporan_Penjualan_20248[[#This Row],[ID_Produk]], Data_Produk[], 7, 0)</f>
        <v>750000</v>
      </c>
      <c r="K521" s="1">
        <f>VLOOKUP(Summary_Laporan_Penjualan_20248[[#This Row],[ID_Produk]], Data_Produk[], 8, 0)</f>
        <v>971000</v>
      </c>
    </row>
    <row r="522" spans="1:11" x14ac:dyDescent="0.35">
      <c r="A522" s="1" t="s">
        <v>1106</v>
      </c>
      <c r="B522" s="1" t="s">
        <v>106</v>
      </c>
      <c r="C522" s="1" t="s">
        <v>21</v>
      </c>
      <c r="D522" s="1" t="s">
        <v>171</v>
      </c>
      <c r="E522">
        <v>2</v>
      </c>
      <c r="F522" s="2">
        <v>45503</v>
      </c>
      <c r="G522" s="1" t="str">
        <f>VLOOKUP(Summary_Laporan_Penjualan_20248[[#This Row],[ID_Pelanggan]], Data_Pelanggan[], 2, 0)</f>
        <v>Toko Komputer Sejahtera</v>
      </c>
      <c r="H522" s="1" t="str">
        <f>VLOOKUP(Summary_Laporan_Penjualan_20248[[#This Row],[ID_Pelanggan]], Data_Pelanggan[], 4, 0)</f>
        <v>Surabaya</v>
      </c>
      <c r="I522" s="1" t="str">
        <f>VLOOKUP(Summary_Laporan_Penjualan_20248[[#This Row],[ID_Produk]], Data_Produk[], 6, 0)</f>
        <v>Depok</v>
      </c>
      <c r="J522" s="1">
        <f>VLOOKUP(Summary_Laporan_Penjualan_20248[[#This Row],[ID_Produk]], Data_Produk[], 7, 0)</f>
        <v>300000</v>
      </c>
      <c r="K522" s="1">
        <f>VLOOKUP(Summary_Laporan_Penjualan_20248[[#This Row],[ID_Produk]], Data_Produk[], 8, 0)</f>
        <v>355000</v>
      </c>
    </row>
    <row r="523" spans="1:11" x14ac:dyDescent="0.35">
      <c r="A523" s="1" t="s">
        <v>1108</v>
      </c>
      <c r="B523" s="1" t="s">
        <v>197</v>
      </c>
      <c r="C523" s="1" t="s">
        <v>82</v>
      </c>
      <c r="D523" s="1" t="s">
        <v>157</v>
      </c>
      <c r="E523">
        <v>1</v>
      </c>
      <c r="F523" s="2">
        <v>45413</v>
      </c>
      <c r="G523" s="1" t="str">
        <f>VLOOKUP(Summary_Laporan_Penjualan_20248[[#This Row],[ID_Pelanggan]], Data_Pelanggan[], 2, 0)</f>
        <v>Toko Komputer Maju</v>
      </c>
      <c r="H523" s="1" t="str">
        <f>VLOOKUP(Summary_Laporan_Penjualan_20248[[#This Row],[ID_Pelanggan]], Data_Pelanggan[], 4, 0)</f>
        <v>Solo</v>
      </c>
      <c r="I523" s="1" t="str">
        <f>VLOOKUP(Summary_Laporan_Penjualan_20248[[#This Row],[ID_Produk]], Data_Produk[], 6, 0)</f>
        <v>Jakarta</v>
      </c>
      <c r="J523" s="1">
        <f>VLOOKUP(Summary_Laporan_Penjualan_20248[[#This Row],[ID_Produk]], Data_Produk[], 7, 0)</f>
        <v>1200000</v>
      </c>
      <c r="K523" s="1">
        <f>VLOOKUP(Summary_Laporan_Penjualan_20248[[#This Row],[ID_Produk]], Data_Produk[], 8, 0)</f>
        <v>1375000</v>
      </c>
    </row>
    <row r="524" spans="1:11" x14ac:dyDescent="0.35">
      <c r="A524" s="1" t="s">
        <v>1110</v>
      </c>
      <c r="B524" s="1" t="s">
        <v>248</v>
      </c>
      <c r="C524" s="1" t="s">
        <v>87</v>
      </c>
      <c r="D524" s="1" t="s">
        <v>157</v>
      </c>
      <c r="E524">
        <v>14</v>
      </c>
      <c r="F524" s="2">
        <v>45313</v>
      </c>
      <c r="G524" s="1" t="str">
        <f>VLOOKUP(Summary_Laporan_Penjualan_20248[[#This Row],[ID_Pelanggan]], Data_Pelanggan[], 2, 0)</f>
        <v>PT Indo Digital</v>
      </c>
      <c r="H524" s="1" t="str">
        <f>VLOOKUP(Summary_Laporan_Penjualan_20248[[#This Row],[ID_Pelanggan]], Data_Pelanggan[], 4, 0)</f>
        <v>Tangerang</v>
      </c>
      <c r="I524" s="1" t="str">
        <f>VLOOKUP(Summary_Laporan_Penjualan_20248[[#This Row],[ID_Produk]], Data_Produk[], 6, 0)</f>
        <v>Semarang</v>
      </c>
      <c r="J524" s="1">
        <f>VLOOKUP(Summary_Laporan_Penjualan_20248[[#This Row],[ID_Produk]], Data_Produk[], 7, 0)</f>
        <v>250000</v>
      </c>
      <c r="K524" s="1">
        <f>VLOOKUP(Summary_Laporan_Penjualan_20248[[#This Row],[ID_Produk]], Data_Produk[], 8, 0)</f>
        <v>354000</v>
      </c>
    </row>
    <row r="525" spans="1:11" x14ac:dyDescent="0.35">
      <c r="A525" s="1" t="s">
        <v>1112</v>
      </c>
      <c r="B525" s="1" t="s">
        <v>173</v>
      </c>
      <c r="C525" s="1" t="s">
        <v>63</v>
      </c>
      <c r="D525" s="1" t="s">
        <v>121</v>
      </c>
      <c r="E525">
        <v>4</v>
      </c>
      <c r="F525" s="2">
        <v>45642</v>
      </c>
      <c r="G525" s="1" t="str">
        <f>VLOOKUP(Summary_Laporan_Penjualan_20248[[#This Row],[ID_Pelanggan]], Data_Pelanggan[], 2, 0)</f>
        <v>UD Makmur</v>
      </c>
      <c r="H525" s="1" t="str">
        <f>VLOOKUP(Summary_Laporan_Penjualan_20248[[#This Row],[ID_Pelanggan]], Data_Pelanggan[], 4, 0)</f>
        <v>Palembang</v>
      </c>
      <c r="I525" s="1" t="str">
        <f>VLOOKUP(Summary_Laporan_Penjualan_20248[[#This Row],[ID_Produk]], Data_Produk[], 6, 0)</f>
        <v>Depok</v>
      </c>
      <c r="J525" s="1">
        <f>VLOOKUP(Summary_Laporan_Penjualan_20248[[#This Row],[ID_Produk]], Data_Produk[], 7, 0)</f>
        <v>80000</v>
      </c>
      <c r="K525" s="1">
        <f>VLOOKUP(Summary_Laporan_Penjualan_20248[[#This Row],[ID_Produk]], Data_Produk[], 8, 0)</f>
        <v>92000</v>
      </c>
    </row>
    <row r="526" spans="1:11" x14ac:dyDescent="0.35">
      <c r="A526" s="1" t="s">
        <v>1114</v>
      </c>
      <c r="B526" s="1" t="s">
        <v>111</v>
      </c>
      <c r="C526" s="1" t="s">
        <v>45</v>
      </c>
      <c r="D526" s="1" t="s">
        <v>157</v>
      </c>
      <c r="E526">
        <v>15</v>
      </c>
      <c r="F526" s="2">
        <v>45575</v>
      </c>
      <c r="G526" s="1" t="str">
        <f>VLOOKUP(Summary_Laporan_Penjualan_20248[[#This Row],[ID_Pelanggan]], Data_Pelanggan[], 2, 0)</f>
        <v>CV Techno</v>
      </c>
      <c r="H526" s="1" t="str">
        <f>VLOOKUP(Summary_Laporan_Penjualan_20248[[#This Row],[ID_Pelanggan]], Data_Pelanggan[], 4, 0)</f>
        <v>Yogyakarta</v>
      </c>
      <c r="I526" s="1" t="str">
        <f>VLOOKUP(Summary_Laporan_Penjualan_20248[[#This Row],[ID_Produk]], Data_Produk[], 6, 0)</f>
        <v>Depok</v>
      </c>
      <c r="J526" s="1">
        <f>VLOOKUP(Summary_Laporan_Penjualan_20248[[#This Row],[ID_Produk]], Data_Produk[], 7, 0)</f>
        <v>18000000</v>
      </c>
      <c r="K526" s="1">
        <f>VLOOKUP(Summary_Laporan_Penjualan_20248[[#This Row],[ID_Produk]], Data_Produk[], 8, 0)</f>
        <v>27603000</v>
      </c>
    </row>
    <row r="527" spans="1:11" x14ac:dyDescent="0.35">
      <c r="A527" s="1" t="s">
        <v>1116</v>
      </c>
      <c r="B527" s="1" t="s">
        <v>176</v>
      </c>
      <c r="C527" s="1" t="s">
        <v>63</v>
      </c>
      <c r="D527" s="1" t="s">
        <v>143</v>
      </c>
      <c r="E527">
        <v>9</v>
      </c>
      <c r="F527" s="2">
        <v>45515</v>
      </c>
      <c r="G527" s="1" t="str">
        <f>VLOOKUP(Summary_Laporan_Penjualan_20248[[#This Row],[ID_Pelanggan]], Data_Pelanggan[], 2, 0)</f>
        <v>UD Makmur</v>
      </c>
      <c r="H527" s="1" t="str">
        <f>VLOOKUP(Summary_Laporan_Penjualan_20248[[#This Row],[ID_Pelanggan]], Data_Pelanggan[], 4, 0)</f>
        <v>Palembang</v>
      </c>
      <c r="I527" s="1" t="str">
        <f>VLOOKUP(Summary_Laporan_Penjualan_20248[[#This Row],[ID_Produk]], Data_Produk[], 6, 0)</f>
        <v>Depok</v>
      </c>
      <c r="J527" s="1">
        <f>VLOOKUP(Summary_Laporan_Penjualan_20248[[#This Row],[ID_Produk]], Data_Produk[], 7, 0)</f>
        <v>1500000</v>
      </c>
      <c r="K527" s="1">
        <f>VLOOKUP(Summary_Laporan_Penjualan_20248[[#This Row],[ID_Produk]], Data_Produk[], 8, 0)</f>
        <v>1772000</v>
      </c>
    </row>
    <row r="528" spans="1:11" x14ac:dyDescent="0.35">
      <c r="A528" s="1" t="s">
        <v>1118</v>
      </c>
      <c r="B528" s="1" t="s">
        <v>106</v>
      </c>
      <c r="C528" s="1" t="s">
        <v>15</v>
      </c>
      <c r="D528" s="1" t="s">
        <v>171</v>
      </c>
      <c r="E528">
        <v>12</v>
      </c>
      <c r="F528" s="2">
        <v>45616</v>
      </c>
      <c r="G528" s="1" t="str">
        <f>VLOOKUP(Summary_Laporan_Penjualan_20248[[#This Row],[ID_Pelanggan]], Data_Pelanggan[], 2, 0)</f>
        <v>CV Berkah</v>
      </c>
      <c r="H528" s="1" t="str">
        <f>VLOOKUP(Summary_Laporan_Penjualan_20248[[#This Row],[ID_Pelanggan]], Data_Pelanggan[], 4, 0)</f>
        <v>Bandung</v>
      </c>
      <c r="I528" s="1" t="str">
        <f>VLOOKUP(Summary_Laporan_Penjualan_20248[[#This Row],[ID_Produk]], Data_Produk[], 6, 0)</f>
        <v>Depok</v>
      </c>
      <c r="J528" s="1">
        <f>VLOOKUP(Summary_Laporan_Penjualan_20248[[#This Row],[ID_Produk]], Data_Produk[], 7, 0)</f>
        <v>300000</v>
      </c>
      <c r="K528" s="1">
        <f>VLOOKUP(Summary_Laporan_Penjualan_20248[[#This Row],[ID_Produk]], Data_Produk[], 8, 0)</f>
        <v>355000</v>
      </c>
    </row>
    <row r="529" spans="1:11" x14ac:dyDescent="0.35">
      <c r="A529" s="1" t="s">
        <v>1120</v>
      </c>
      <c r="B529" s="1" t="s">
        <v>168</v>
      </c>
      <c r="C529" s="1" t="s">
        <v>39</v>
      </c>
      <c r="D529" s="1" t="s">
        <v>171</v>
      </c>
      <c r="E529">
        <v>8</v>
      </c>
      <c r="F529" s="2">
        <v>45396</v>
      </c>
      <c r="G529" s="1" t="str">
        <f>VLOOKUP(Summary_Laporan_Penjualan_20248[[#This Row],[ID_Pelanggan]], Data_Pelanggan[], 2, 0)</f>
        <v>Toko Elektronik Jaya</v>
      </c>
      <c r="H529" s="1" t="str">
        <f>VLOOKUP(Summary_Laporan_Penjualan_20248[[#This Row],[ID_Pelanggan]], Data_Pelanggan[], 4, 0)</f>
        <v>Semarang</v>
      </c>
      <c r="I529" s="1" t="str">
        <f>VLOOKUP(Summary_Laporan_Penjualan_20248[[#This Row],[ID_Produk]], Data_Produk[], 6, 0)</f>
        <v>Semarang</v>
      </c>
      <c r="J529" s="1">
        <f>VLOOKUP(Summary_Laporan_Penjualan_20248[[#This Row],[ID_Produk]], Data_Produk[], 7, 0)</f>
        <v>500000</v>
      </c>
      <c r="K529" s="1">
        <f>VLOOKUP(Summary_Laporan_Penjualan_20248[[#This Row],[ID_Produk]], Data_Produk[], 8, 0)</f>
        <v>844000</v>
      </c>
    </row>
    <row r="530" spans="1:11" x14ac:dyDescent="0.35">
      <c r="A530" s="1" t="s">
        <v>1122</v>
      </c>
      <c r="B530" s="1" t="s">
        <v>106</v>
      </c>
      <c r="C530" s="1" t="s">
        <v>82</v>
      </c>
      <c r="D530" s="1" t="s">
        <v>124</v>
      </c>
      <c r="E530">
        <v>15</v>
      </c>
      <c r="F530" s="2">
        <v>45383</v>
      </c>
      <c r="G530" s="1" t="str">
        <f>VLOOKUP(Summary_Laporan_Penjualan_20248[[#This Row],[ID_Pelanggan]], Data_Pelanggan[], 2, 0)</f>
        <v>Toko Komputer Maju</v>
      </c>
      <c r="H530" s="1" t="str">
        <f>VLOOKUP(Summary_Laporan_Penjualan_20248[[#This Row],[ID_Pelanggan]], Data_Pelanggan[], 4, 0)</f>
        <v>Solo</v>
      </c>
      <c r="I530" s="1" t="str">
        <f>VLOOKUP(Summary_Laporan_Penjualan_20248[[#This Row],[ID_Produk]], Data_Produk[], 6, 0)</f>
        <v>Depok</v>
      </c>
      <c r="J530" s="1">
        <f>VLOOKUP(Summary_Laporan_Penjualan_20248[[#This Row],[ID_Produk]], Data_Produk[], 7, 0)</f>
        <v>300000</v>
      </c>
      <c r="K530" s="1">
        <f>VLOOKUP(Summary_Laporan_Penjualan_20248[[#This Row],[ID_Produk]], Data_Produk[], 8, 0)</f>
        <v>355000</v>
      </c>
    </row>
    <row r="531" spans="1:11" x14ac:dyDescent="0.35">
      <c r="A531" s="1" t="s">
        <v>1124</v>
      </c>
      <c r="B531" s="1" t="s">
        <v>109</v>
      </c>
      <c r="C531" s="1" t="s">
        <v>69</v>
      </c>
      <c r="D531" s="1" t="s">
        <v>121</v>
      </c>
      <c r="E531">
        <v>1</v>
      </c>
      <c r="F531" s="2">
        <v>45636</v>
      </c>
      <c r="G531" s="1" t="str">
        <f>VLOOKUP(Summary_Laporan_Penjualan_20248[[#This Row],[ID_Pelanggan]], Data_Pelanggan[], 2, 0)</f>
        <v>PT Teknologi Prima</v>
      </c>
      <c r="H531" s="1" t="str">
        <f>VLOOKUP(Summary_Laporan_Penjualan_20248[[#This Row],[ID_Pelanggan]], Data_Pelanggan[], 4, 0)</f>
        <v>Jakarta</v>
      </c>
      <c r="I531" s="1" t="str">
        <f>VLOOKUP(Summary_Laporan_Penjualan_20248[[#This Row],[ID_Produk]], Data_Produk[], 6, 0)</f>
        <v>Semarang</v>
      </c>
      <c r="J531" s="1">
        <f>VLOOKUP(Summary_Laporan_Penjualan_20248[[#This Row],[ID_Produk]], Data_Produk[], 7, 0)</f>
        <v>2000000</v>
      </c>
      <c r="K531" s="1">
        <f>VLOOKUP(Summary_Laporan_Penjualan_20248[[#This Row],[ID_Produk]], Data_Produk[], 8, 0)</f>
        <v>3382000</v>
      </c>
    </row>
    <row r="532" spans="1:11" x14ac:dyDescent="0.35">
      <c r="A532" s="1" t="s">
        <v>1126</v>
      </c>
      <c r="B532" s="1" t="s">
        <v>191</v>
      </c>
      <c r="C532" s="1" t="s">
        <v>78</v>
      </c>
      <c r="D532" s="1" t="s">
        <v>128</v>
      </c>
      <c r="E532">
        <v>15</v>
      </c>
      <c r="F532" s="2">
        <v>45327</v>
      </c>
      <c r="G532" s="1" t="str">
        <f>VLOOKUP(Summary_Laporan_Penjualan_20248[[#This Row],[ID_Pelanggan]], Data_Pelanggan[], 2, 0)</f>
        <v>CV Sinar Terang</v>
      </c>
      <c r="H532" s="1" t="str">
        <f>VLOOKUP(Summary_Laporan_Penjualan_20248[[#This Row],[ID_Pelanggan]], Data_Pelanggan[], 4, 0)</f>
        <v>Bandung</v>
      </c>
      <c r="I532" s="1" t="str">
        <f>VLOOKUP(Summary_Laporan_Penjualan_20248[[#This Row],[ID_Produk]], Data_Produk[], 6, 0)</f>
        <v>Jakarta</v>
      </c>
      <c r="J532" s="1">
        <f>VLOOKUP(Summary_Laporan_Penjualan_20248[[#This Row],[ID_Produk]], Data_Produk[], 7, 0)</f>
        <v>12000000</v>
      </c>
      <c r="K532" s="1">
        <f>VLOOKUP(Summary_Laporan_Penjualan_20248[[#This Row],[ID_Produk]], Data_Produk[], 8, 0)</f>
        <v>13963000</v>
      </c>
    </row>
    <row r="533" spans="1:11" x14ac:dyDescent="0.35">
      <c r="A533" s="1" t="s">
        <v>1128</v>
      </c>
      <c r="B533" s="1" t="s">
        <v>141</v>
      </c>
      <c r="C533" s="1" t="s">
        <v>45</v>
      </c>
      <c r="D533" s="1" t="s">
        <v>157</v>
      </c>
      <c r="E533">
        <v>4</v>
      </c>
      <c r="F533" s="2">
        <v>45648</v>
      </c>
      <c r="G533" s="1" t="str">
        <f>VLOOKUP(Summary_Laporan_Penjualan_20248[[#This Row],[ID_Pelanggan]], Data_Pelanggan[], 2, 0)</f>
        <v>CV Techno</v>
      </c>
      <c r="H533" s="1" t="str">
        <f>VLOOKUP(Summary_Laporan_Penjualan_20248[[#This Row],[ID_Pelanggan]], Data_Pelanggan[], 4, 0)</f>
        <v>Yogyakarta</v>
      </c>
      <c r="I533" s="1" t="str">
        <f>VLOOKUP(Summary_Laporan_Penjualan_20248[[#This Row],[ID_Produk]], Data_Produk[], 6, 0)</f>
        <v>Semarang</v>
      </c>
      <c r="J533" s="1">
        <f>VLOOKUP(Summary_Laporan_Penjualan_20248[[#This Row],[ID_Produk]], Data_Produk[], 7, 0)</f>
        <v>400000</v>
      </c>
      <c r="K533" s="1">
        <f>VLOOKUP(Summary_Laporan_Penjualan_20248[[#This Row],[ID_Produk]], Data_Produk[], 8, 0)</f>
        <v>623000</v>
      </c>
    </row>
    <row r="534" spans="1:11" x14ac:dyDescent="0.35">
      <c r="A534" s="1" t="s">
        <v>1130</v>
      </c>
      <c r="B534" s="1" t="s">
        <v>176</v>
      </c>
      <c r="C534" s="1" t="s">
        <v>21</v>
      </c>
      <c r="D534" s="1" t="s">
        <v>121</v>
      </c>
      <c r="E534">
        <v>14</v>
      </c>
      <c r="F534" s="2">
        <v>45530</v>
      </c>
      <c r="G534" s="1" t="str">
        <f>VLOOKUP(Summary_Laporan_Penjualan_20248[[#This Row],[ID_Pelanggan]], Data_Pelanggan[], 2, 0)</f>
        <v>Toko Komputer Sejahtera</v>
      </c>
      <c r="H534" s="1" t="str">
        <f>VLOOKUP(Summary_Laporan_Penjualan_20248[[#This Row],[ID_Pelanggan]], Data_Pelanggan[], 4, 0)</f>
        <v>Surabaya</v>
      </c>
      <c r="I534" s="1" t="str">
        <f>VLOOKUP(Summary_Laporan_Penjualan_20248[[#This Row],[ID_Produk]], Data_Produk[], 6, 0)</f>
        <v>Depok</v>
      </c>
      <c r="J534" s="1">
        <f>VLOOKUP(Summary_Laporan_Penjualan_20248[[#This Row],[ID_Produk]], Data_Produk[], 7, 0)</f>
        <v>1500000</v>
      </c>
      <c r="K534" s="1">
        <f>VLOOKUP(Summary_Laporan_Penjualan_20248[[#This Row],[ID_Produk]], Data_Produk[], 8, 0)</f>
        <v>1772000</v>
      </c>
    </row>
    <row r="535" spans="1:11" x14ac:dyDescent="0.35">
      <c r="A535" s="1" t="s">
        <v>1132</v>
      </c>
      <c r="B535" s="1" t="s">
        <v>109</v>
      </c>
      <c r="C535" s="1" t="s">
        <v>21</v>
      </c>
      <c r="D535" s="1" t="s">
        <v>128</v>
      </c>
      <c r="E535">
        <v>15</v>
      </c>
      <c r="F535" s="2">
        <v>45331</v>
      </c>
      <c r="G535" s="1" t="str">
        <f>VLOOKUP(Summary_Laporan_Penjualan_20248[[#This Row],[ID_Pelanggan]], Data_Pelanggan[], 2, 0)</f>
        <v>Toko Komputer Sejahtera</v>
      </c>
      <c r="H535" s="1" t="str">
        <f>VLOOKUP(Summary_Laporan_Penjualan_20248[[#This Row],[ID_Pelanggan]], Data_Pelanggan[], 4, 0)</f>
        <v>Surabaya</v>
      </c>
      <c r="I535" s="1" t="str">
        <f>VLOOKUP(Summary_Laporan_Penjualan_20248[[#This Row],[ID_Produk]], Data_Produk[], 6, 0)</f>
        <v>Semarang</v>
      </c>
      <c r="J535" s="1">
        <f>VLOOKUP(Summary_Laporan_Penjualan_20248[[#This Row],[ID_Produk]], Data_Produk[], 7, 0)</f>
        <v>2000000</v>
      </c>
      <c r="K535" s="1">
        <f>VLOOKUP(Summary_Laporan_Penjualan_20248[[#This Row],[ID_Produk]], Data_Produk[], 8, 0)</f>
        <v>3382000</v>
      </c>
    </row>
    <row r="536" spans="1:11" x14ac:dyDescent="0.35">
      <c r="A536" s="1" t="s">
        <v>1134</v>
      </c>
      <c r="B536" s="1" t="s">
        <v>197</v>
      </c>
      <c r="C536" s="1" t="s">
        <v>45</v>
      </c>
      <c r="D536" s="1" t="s">
        <v>121</v>
      </c>
      <c r="E536">
        <v>11</v>
      </c>
      <c r="F536" s="2">
        <v>45394</v>
      </c>
      <c r="G536" s="1" t="str">
        <f>VLOOKUP(Summary_Laporan_Penjualan_20248[[#This Row],[ID_Pelanggan]], Data_Pelanggan[], 2, 0)</f>
        <v>CV Techno</v>
      </c>
      <c r="H536" s="1" t="str">
        <f>VLOOKUP(Summary_Laporan_Penjualan_20248[[#This Row],[ID_Pelanggan]], Data_Pelanggan[], 4, 0)</f>
        <v>Yogyakarta</v>
      </c>
      <c r="I536" s="1" t="str">
        <f>VLOOKUP(Summary_Laporan_Penjualan_20248[[#This Row],[ID_Produk]], Data_Produk[], 6, 0)</f>
        <v>Jakarta</v>
      </c>
      <c r="J536" s="1">
        <f>VLOOKUP(Summary_Laporan_Penjualan_20248[[#This Row],[ID_Produk]], Data_Produk[], 7, 0)</f>
        <v>1200000</v>
      </c>
      <c r="K536" s="1">
        <f>VLOOKUP(Summary_Laporan_Penjualan_20248[[#This Row],[ID_Produk]], Data_Produk[], 8, 0)</f>
        <v>1375000</v>
      </c>
    </row>
    <row r="537" spans="1:11" x14ac:dyDescent="0.35">
      <c r="A537" s="1" t="s">
        <v>1135</v>
      </c>
      <c r="B537" s="1" t="s">
        <v>272</v>
      </c>
      <c r="C537" s="1" t="s">
        <v>45</v>
      </c>
      <c r="D537" s="1" t="s">
        <v>143</v>
      </c>
      <c r="E537">
        <v>5</v>
      </c>
      <c r="F537" s="2">
        <v>45434</v>
      </c>
      <c r="G537" s="1" t="str">
        <f>VLOOKUP(Summary_Laporan_Penjualan_20248[[#This Row],[ID_Pelanggan]], Data_Pelanggan[], 2, 0)</f>
        <v>CV Techno</v>
      </c>
      <c r="H537" s="1" t="str">
        <f>VLOOKUP(Summary_Laporan_Penjualan_20248[[#This Row],[ID_Pelanggan]], Data_Pelanggan[], 4, 0)</f>
        <v>Yogyakarta</v>
      </c>
      <c r="I537" s="1" t="str">
        <f>VLOOKUP(Summary_Laporan_Penjualan_20248[[#This Row],[ID_Produk]], Data_Produk[], 6, 0)</f>
        <v>Depok</v>
      </c>
      <c r="J537" s="1">
        <f>VLOOKUP(Summary_Laporan_Penjualan_20248[[#This Row],[ID_Produk]], Data_Produk[], 7, 0)</f>
        <v>650000</v>
      </c>
      <c r="K537" s="1">
        <f>VLOOKUP(Summary_Laporan_Penjualan_20248[[#This Row],[ID_Produk]], Data_Produk[], 8, 0)</f>
        <v>741000</v>
      </c>
    </row>
    <row r="538" spans="1:11" x14ac:dyDescent="0.35">
      <c r="A538" s="1" t="s">
        <v>1137</v>
      </c>
      <c r="B538" s="1" t="s">
        <v>272</v>
      </c>
      <c r="C538" s="1" t="s">
        <v>78</v>
      </c>
      <c r="D538" s="1" t="s">
        <v>157</v>
      </c>
      <c r="E538">
        <v>9</v>
      </c>
      <c r="F538" s="2">
        <v>45557</v>
      </c>
      <c r="G538" s="1" t="str">
        <f>VLOOKUP(Summary_Laporan_Penjualan_20248[[#This Row],[ID_Pelanggan]], Data_Pelanggan[], 2, 0)</f>
        <v>CV Sinar Terang</v>
      </c>
      <c r="H538" s="1" t="str">
        <f>VLOOKUP(Summary_Laporan_Penjualan_20248[[#This Row],[ID_Pelanggan]], Data_Pelanggan[], 4, 0)</f>
        <v>Bandung</v>
      </c>
      <c r="I538" s="1" t="str">
        <f>VLOOKUP(Summary_Laporan_Penjualan_20248[[#This Row],[ID_Produk]], Data_Produk[], 6, 0)</f>
        <v>Depok</v>
      </c>
      <c r="J538" s="1">
        <f>VLOOKUP(Summary_Laporan_Penjualan_20248[[#This Row],[ID_Produk]], Data_Produk[], 7, 0)</f>
        <v>650000</v>
      </c>
      <c r="K538" s="1">
        <f>VLOOKUP(Summary_Laporan_Penjualan_20248[[#This Row],[ID_Produk]], Data_Produk[], 8, 0)</f>
        <v>741000</v>
      </c>
    </row>
    <row r="539" spans="1:11" x14ac:dyDescent="0.35">
      <c r="A539" s="1" t="s">
        <v>1138</v>
      </c>
      <c r="B539" s="1" t="s">
        <v>248</v>
      </c>
      <c r="C539" s="1" t="s">
        <v>82</v>
      </c>
      <c r="D539" s="1" t="s">
        <v>143</v>
      </c>
      <c r="E539">
        <v>2</v>
      </c>
      <c r="F539" s="2">
        <v>45581</v>
      </c>
      <c r="G539" s="1" t="str">
        <f>VLOOKUP(Summary_Laporan_Penjualan_20248[[#This Row],[ID_Pelanggan]], Data_Pelanggan[], 2, 0)</f>
        <v>Toko Komputer Maju</v>
      </c>
      <c r="H539" s="1" t="str">
        <f>VLOOKUP(Summary_Laporan_Penjualan_20248[[#This Row],[ID_Pelanggan]], Data_Pelanggan[], 4, 0)</f>
        <v>Solo</v>
      </c>
      <c r="I539" s="1" t="str">
        <f>VLOOKUP(Summary_Laporan_Penjualan_20248[[#This Row],[ID_Produk]], Data_Produk[], 6, 0)</f>
        <v>Semarang</v>
      </c>
      <c r="J539" s="1">
        <f>VLOOKUP(Summary_Laporan_Penjualan_20248[[#This Row],[ID_Produk]], Data_Produk[], 7, 0)</f>
        <v>250000</v>
      </c>
      <c r="K539" s="1">
        <f>VLOOKUP(Summary_Laporan_Penjualan_20248[[#This Row],[ID_Produk]], Data_Produk[], 8, 0)</f>
        <v>354000</v>
      </c>
    </row>
    <row r="540" spans="1:11" x14ac:dyDescent="0.35">
      <c r="A540" s="1" t="s">
        <v>1140</v>
      </c>
      <c r="B540" s="1" t="s">
        <v>172</v>
      </c>
      <c r="C540" s="1" t="s">
        <v>39</v>
      </c>
      <c r="D540" s="1" t="s">
        <v>128</v>
      </c>
      <c r="E540">
        <v>1</v>
      </c>
      <c r="F540" s="2">
        <v>45352</v>
      </c>
      <c r="G540" s="1" t="str">
        <f>VLOOKUP(Summary_Laporan_Penjualan_20248[[#This Row],[ID_Pelanggan]], Data_Pelanggan[], 2, 0)</f>
        <v>Toko Elektronik Jaya</v>
      </c>
      <c r="H540" s="1" t="str">
        <f>VLOOKUP(Summary_Laporan_Penjualan_20248[[#This Row],[ID_Pelanggan]], Data_Pelanggan[], 4, 0)</f>
        <v>Semarang</v>
      </c>
      <c r="I540" s="1" t="str">
        <f>VLOOKUP(Summary_Laporan_Penjualan_20248[[#This Row],[ID_Produk]], Data_Produk[], 6, 0)</f>
        <v>Semarang</v>
      </c>
      <c r="J540" s="1">
        <f>VLOOKUP(Summary_Laporan_Penjualan_20248[[#This Row],[ID_Produk]], Data_Produk[], 7, 0)</f>
        <v>950000</v>
      </c>
      <c r="K540" s="1">
        <f>VLOOKUP(Summary_Laporan_Penjualan_20248[[#This Row],[ID_Produk]], Data_Produk[], 8, 0)</f>
        <v>1649000</v>
      </c>
    </row>
    <row r="541" spans="1:11" x14ac:dyDescent="0.35">
      <c r="A541" s="1" t="s">
        <v>1142</v>
      </c>
      <c r="B541" s="1" t="s">
        <v>133</v>
      </c>
      <c r="C541" s="1" t="s">
        <v>82</v>
      </c>
      <c r="D541" s="1" t="s">
        <v>128</v>
      </c>
      <c r="E541">
        <v>11</v>
      </c>
      <c r="F541" s="2">
        <v>45456</v>
      </c>
      <c r="G541" s="1" t="str">
        <f>VLOOKUP(Summary_Laporan_Penjualan_20248[[#This Row],[ID_Pelanggan]], Data_Pelanggan[], 2, 0)</f>
        <v>Toko Komputer Maju</v>
      </c>
      <c r="H541" s="1" t="str">
        <f>VLOOKUP(Summary_Laporan_Penjualan_20248[[#This Row],[ID_Pelanggan]], Data_Pelanggan[], 4, 0)</f>
        <v>Solo</v>
      </c>
      <c r="I541" s="1" t="str">
        <f>VLOOKUP(Summary_Laporan_Penjualan_20248[[#This Row],[ID_Produk]], Data_Produk[], 6, 0)</f>
        <v>Jakarta</v>
      </c>
      <c r="J541" s="1">
        <f>VLOOKUP(Summary_Laporan_Penjualan_20248[[#This Row],[ID_Produk]], Data_Produk[], 7, 0)</f>
        <v>2500000</v>
      </c>
      <c r="K541" s="1">
        <f>VLOOKUP(Summary_Laporan_Penjualan_20248[[#This Row],[ID_Produk]], Data_Produk[], 8, 0)</f>
        <v>3080000</v>
      </c>
    </row>
    <row r="542" spans="1:11" x14ac:dyDescent="0.35">
      <c r="A542" s="1" t="s">
        <v>1144</v>
      </c>
      <c r="B542" s="1" t="s">
        <v>272</v>
      </c>
      <c r="C542" s="1" t="s">
        <v>39</v>
      </c>
      <c r="D542" s="1" t="s">
        <v>157</v>
      </c>
      <c r="E542">
        <v>2</v>
      </c>
      <c r="F542" s="2">
        <v>45419</v>
      </c>
      <c r="G542" s="1" t="str">
        <f>VLOOKUP(Summary_Laporan_Penjualan_20248[[#This Row],[ID_Pelanggan]], Data_Pelanggan[], 2, 0)</f>
        <v>Toko Elektronik Jaya</v>
      </c>
      <c r="H542" s="1" t="str">
        <f>VLOOKUP(Summary_Laporan_Penjualan_20248[[#This Row],[ID_Pelanggan]], Data_Pelanggan[], 4, 0)</f>
        <v>Semarang</v>
      </c>
      <c r="I542" s="1" t="str">
        <f>VLOOKUP(Summary_Laporan_Penjualan_20248[[#This Row],[ID_Produk]], Data_Produk[], 6, 0)</f>
        <v>Depok</v>
      </c>
      <c r="J542" s="1">
        <f>VLOOKUP(Summary_Laporan_Penjualan_20248[[#This Row],[ID_Produk]], Data_Produk[], 7, 0)</f>
        <v>650000</v>
      </c>
      <c r="K542" s="1">
        <f>VLOOKUP(Summary_Laporan_Penjualan_20248[[#This Row],[ID_Produk]], Data_Produk[], 8, 0)</f>
        <v>741000</v>
      </c>
    </row>
    <row r="543" spans="1:11" x14ac:dyDescent="0.35">
      <c r="A543" s="1" t="s">
        <v>1146</v>
      </c>
      <c r="B543" s="1" t="s">
        <v>197</v>
      </c>
      <c r="C543" s="1" t="s">
        <v>69</v>
      </c>
      <c r="D543" s="1" t="s">
        <v>157</v>
      </c>
      <c r="E543">
        <v>4</v>
      </c>
      <c r="F543" s="2">
        <v>45494</v>
      </c>
      <c r="G543" s="1" t="str">
        <f>VLOOKUP(Summary_Laporan_Penjualan_20248[[#This Row],[ID_Pelanggan]], Data_Pelanggan[], 2, 0)</f>
        <v>PT Teknologi Prima</v>
      </c>
      <c r="H543" s="1" t="str">
        <f>VLOOKUP(Summary_Laporan_Penjualan_20248[[#This Row],[ID_Pelanggan]], Data_Pelanggan[], 4, 0)</f>
        <v>Jakarta</v>
      </c>
      <c r="I543" s="1" t="str">
        <f>VLOOKUP(Summary_Laporan_Penjualan_20248[[#This Row],[ID_Produk]], Data_Produk[], 6, 0)</f>
        <v>Jakarta</v>
      </c>
      <c r="J543" s="1">
        <f>VLOOKUP(Summary_Laporan_Penjualan_20248[[#This Row],[ID_Produk]], Data_Produk[], 7, 0)</f>
        <v>1200000</v>
      </c>
      <c r="K543" s="1">
        <f>VLOOKUP(Summary_Laporan_Penjualan_20248[[#This Row],[ID_Produk]], Data_Produk[], 8, 0)</f>
        <v>1375000</v>
      </c>
    </row>
    <row r="544" spans="1:11" x14ac:dyDescent="0.35">
      <c r="A544" s="1" t="s">
        <v>1148</v>
      </c>
      <c r="B544" s="1" t="s">
        <v>106</v>
      </c>
      <c r="C544" s="1" t="s">
        <v>69</v>
      </c>
      <c r="D544" s="1" t="s">
        <v>171</v>
      </c>
      <c r="E544">
        <v>3</v>
      </c>
      <c r="F544" s="2">
        <v>45505</v>
      </c>
      <c r="G544" s="1" t="str">
        <f>VLOOKUP(Summary_Laporan_Penjualan_20248[[#This Row],[ID_Pelanggan]], Data_Pelanggan[], 2, 0)</f>
        <v>PT Teknologi Prima</v>
      </c>
      <c r="H544" s="1" t="str">
        <f>VLOOKUP(Summary_Laporan_Penjualan_20248[[#This Row],[ID_Pelanggan]], Data_Pelanggan[], 4, 0)</f>
        <v>Jakarta</v>
      </c>
      <c r="I544" s="1" t="str">
        <f>VLOOKUP(Summary_Laporan_Penjualan_20248[[#This Row],[ID_Produk]], Data_Produk[], 6, 0)</f>
        <v>Depok</v>
      </c>
      <c r="J544" s="1">
        <f>VLOOKUP(Summary_Laporan_Penjualan_20248[[#This Row],[ID_Produk]], Data_Produk[], 7, 0)</f>
        <v>300000</v>
      </c>
      <c r="K544" s="1">
        <f>VLOOKUP(Summary_Laporan_Penjualan_20248[[#This Row],[ID_Produk]], Data_Produk[], 8, 0)</f>
        <v>355000</v>
      </c>
    </row>
    <row r="545" spans="1:11" x14ac:dyDescent="0.35">
      <c r="A545" s="1" t="s">
        <v>1149</v>
      </c>
      <c r="B545" s="1" t="s">
        <v>149</v>
      </c>
      <c r="C545" s="1" t="s">
        <v>39</v>
      </c>
      <c r="D545" s="1" t="s">
        <v>157</v>
      </c>
      <c r="E545">
        <v>14</v>
      </c>
      <c r="F545" s="2">
        <v>45611</v>
      </c>
      <c r="G545" s="1" t="str">
        <f>VLOOKUP(Summary_Laporan_Penjualan_20248[[#This Row],[ID_Pelanggan]], Data_Pelanggan[], 2, 0)</f>
        <v>Toko Elektronik Jaya</v>
      </c>
      <c r="H545" s="1" t="str">
        <f>VLOOKUP(Summary_Laporan_Penjualan_20248[[#This Row],[ID_Pelanggan]], Data_Pelanggan[], 4, 0)</f>
        <v>Semarang</v>
      </c>
      <c r="I545" s="1" t="str">
        <f>VLOOKUP(Summary_Laporan_Penjualan_20248[[#This Row],[ID_Produk]], Data_Produk[], 6, 0)</f>
        <v>Semarang</v>
      </c>
      <c r="J545" s="1">
        <f>VLOOKUP(Summary_Laporan_Penjualan_20248[[#This Row],[ID_Produk]], Data_Produk[], 7, 0)</f>
        <v>100000</v>
      </c>
      <c r="K545" s="1">
        <f>VLOOKUP(Summary_Laporan_Penjualan_20248[[#This Row],[ID_Produk]], Data_Produk[], 8, 0)</f>
        <v>169000</v>
      </c>
    </row>
    <row r="546" spans="1:11" x14ac:dyDescent="0.35">
      <c r="A546" s="1" t="s">
        <v>1151</v>
      </c>
      <c r="B546" s="1" t="s">
        <v>188</v>
      </c>
      <c r="C546" s="1" t="s">
        <v>35</v>
      </c>
      <c r="D546" s="1" t="s">
        <v>128</v>
      </c>
      <c r="E546">
        <v>10</v>
      </c>
      <c r="F546" s="2">
        <v>45566</v>
      </c>
      <c r="G546" s="1" t="str">
        <f>VLOOKUP(Summary_Laporan_Penjualan_20248[[#This Row],[ID_Pelanggan]], Data_Pelanggan[], 2, 0)</f>
        <v>PT Digital Nusantara</v>
      </c>
      <c r="H546" s="1" t="str">
        <f>VLOOKUP(Summary_Laporan_Penjualan_20248[[#This Row],[ID_Pelanggan]], Data_Pelanggan[], 4, 0)</f>
        <v>Jakarta</v>
      </c>
      <c r="I546" s="1" t="str">
        <f>VLOOKUP(Summary_Laporan_Penjualan_20248[[#This Row],[ID_Produk]], Data_Produk[], 6, 0)</f>
        <v>Semarang</v>
      </c>
      <c r="J546" s="1">
        <f>VLOOKUP(Summary_Laporan_Penjualan_20248[[#This Row],[ID_Produk]], Data_Produk[], 7, 0)</f>
        <v>2800000</v>
      </c>
      <c r="K546" s="1">
        <f>VLOOKUP(Summary_Laporan_Penjualan_20248[[#This Row],[ID_Produk]], Data_Produk[], 8, 0)</f>
        <v>4747000</v>
      </c>
    </row>
    <row r="547" spans="1:11" x14ac:dyDescent="0.35">
      <c r="A547" s="1" t="s">
        <v>1153</v>
      </c>
      <c r="B547" s="1" t="s">
        <v>173</v>
      </c>
      <c r="C547" s="1" t="s">
        <v>45</v>
      </c>
      <c r="D547" s="1" t="s">
        <v>157</v>
      </c>
      <c r="E547">
        <v>13</v>
      </c>
      <c r="F547" s="2">
        <v>45570</v>
      </c>
      <c r="G547" s="1" t="str">
        <f>VLOOKUP(Summary_Laporan_Penjualan_20248[[#This Row],[ID_Pelanggan]], Data_Pelanggan[], 2, 0)</f>
        <v>CV Techno</v>
      </c>
      <c r="H547" s="1" t="str">
        <f>VLOOKUP(Summary_Laporan_Penjualan_20248[[#This Row],[ID_Pelanggan]], Data_Pelanggan[], 4, 0)</f>
        <v>Yogyakarta</v>
      </c>
      <c r="I547" s="1" t="str">
        <f>VLOOKUP(Summary_Laporan_Penjualan_20248[[#This Row],[ID_Produk]], Data_Produk[], 6, 0)</f>
        <v>Depok</v>
      </c>
      <c r="J547" s="1">
        <f>VLOOKUP(Summary_Laporan_Penjualan_20248[[#This Row],[ID_Produk]], Data_Produk[], 7, 0)</f>
        <v>80000</v>
      </c>
      <c r="K547" s="1">
        <f>VLOOKUP(Summary_Laporan_Penjualan_20248[[#This Row],[ID_Produk]], Data_Produk[], 8, 0)</f>
        <v>92000</v>
      </c>
    </row>
    <row r="548" spans="1:11" x14ac:dyDescent="0.35">
      <c r="A548" s="1" t="s">
        <v>1155</v>
      </c>
      <c r="B548" s="1" t="s">
        <v>176</v>
      </c>
      <c r="C548" s="1" t="s">
        <v>45</v>
      </c>
      <c r="D548" s="1" t="s">
        <v>171</v>
      </c>
      <c r="E548">
        <v>10</v>
      </c>
      <c r="F548" s="2">
        <v>45582</v>
      </c>
      <c r="G548" s="1" t="str">
        <f>VLOOKUP(Summary_Laporan_Penjualan_20248[[#This Row],[ID_Pelanggan]], Data_Pelanggan[], 2, 0)</f>
        <v>CV Techno</v>
      </c>
      <c r="H548" s="1" t="str">
        <f>VLOOKUP(Summary_Laporan_Penjualan_20248[[#This Row],[ID_Pelanggan]], Data_Pelanggan[], 4, 0)</f>
        <v>Yogyakarta</v>
      </c>
      <c r="I548" s="1" t="str">
        <f>VLOOKUP(Summary_Laporan_Penjualan_20248[[#This Row],[ID_Produk]], Data_Produk[], 6, 0)</f>
        <v>Depok</v>
      </c>
      <c r="J548" s="1">
        <f>VLOOKUP(Summary_Laporan_Penjualan_20248[[#This Row],[ID_Produk]], Data_Produk[], 7, 0)</f>
        <v>1500000</v>
      </c>
      <c r="K548" s="1">
        <f>VLOOKUP(Summary_Laporan_Penjualan_20248[[#This Row],[ID_Produk]], Data_Produk[], 8, 0)</f>
        <v>1772000</v>
      </c>
    </row>
    <row r="549" spans="1:11" x14ac:dyDescent="0.35">
      <c r="A549" s="1" t="s">
        <v>1157</v>
      </c>
      <c r="B549" s="1" t="s">
        <v>188</v>
      </c>
      <c r="C549" s="1" t="s">
        <v>57</v>
      </c>
      <c r="D549" s="1" t="s">
        <v>157</v>
      </c>
      <c r="E549">
        <v>1</v>
      </c>
      <c r="F549" s="2">
        <v>45611</v>
      </c>
      <c r="G549" s="1" t="str">
        <f>VLOOKUP(Summary_Laporan_Penjualan_20248[[#This Row],[ID_Pelanggan]], Data_Pelanggan[], 2, 0)</f>
        <v>PT Karya Mandiri</v>
      </c>
      <c r="H549" s="1" t="str">
        <f>VLOOKUP(Summary_Laporan_Penjualan_20248[[#This Row],[ID_Pelanggan]], Data_Pelanggan[], 4, 0)</f>
        <v>Makassar</v>
      </c>
      <c r="I549" s="1" t="str">
        <f>VLOOKUP(Summary_Laporan_Penjualan_20248[[#This Row],[ID_Produk]], Data_Produk[], 6, 0)</f>
        <v>Semarang</v>
      </c>
      <c r="J549" s="1">
        <f>VLOOKUP(Summary_Laporan_Penjualan_20248[[#This Row],[ID_Produk]], Data_Produk[], 7, 0)</f>
        <v>2800000</v>
      </c>
      <c r="K549" s="1">
        <f>VLOOKUP(Summary_Laporan_Penjualan_20248[[#This Row],[ID_Produk]], Data_Produk[], 8, 0)</f>
        <v>4747000</v>
      </c>
    </row>
    <row r="550" spans="1:11" x14ac:dyDescent="0.35">
      <c r="A550" s="1" t="s">
        <v>1159</v>
      </c>
      <c r="B550" s="1" t="s">
        <v>116</v>
      </c>
      <c r="C550" s="1" t="s">
        <v>73</v>
      </c>
      <c r="D550" s="1" t="s">
        <v>121</v>
      </c>
      <c r="E550">
        <v>9</v>
      </c>
      <c r="F550" s="2">
        <v>45496</v>
      </c>
      <c r="G550" s="1" t="str">
        <f>VLOOKUP(Summary_Laporan_Penjualan_20248[[#This Row],[ID_Pelanggan]], Data_Pelanggan[], 2, 0)</f>
        <v>Toko Gadget Center</v>
      </c>
      <c r="H550" s="1" t="str">
        <f>VLOOKUP(Summary_Laporan_Penjualan_20248[[#This Row],[ID_Pelanggan]], Data_Pelanggan[], 4, 0)</f>
        <v>Malang</v>
      </c>
      <c r="I550" s="1" t="str">
        <f>VLOOKUP(Summary_Laporan_Penjualan_20248[[#This Row],[ID_Produk]], Data_Produk[], 6, 0)</f>
        <v>Depok</v>
      </c>
      <c r="J550" s="1">
        <f>VLOOKUP(Summary_Laporan_Penjualan_20248[[#This Row],[ID_Produk]], Data_Produk[], 7, 0)</f>
        <v>5000000</v>
      </c>
      <c r="K550" s="1">
        <f>VLOOKUP(Summary_Laporan_Penjualan_20248[[#This Row],[ID_Produk]], Data_Produk[], 8, 0)</f>
        <v>7546000</v>
      </c>
    </row>
    <row r="551" spans="1:11" x14ac:dyDescent="0.35">
      <c r="A551" s="1" t="s">
        <v>1161</v>
      </c>
      <c r="B551" s="1" t="s">
        <v>141</v>
      </c>
      <c r="C551" s="1" t="s">
        <v>39</v>
      </c>
      <c r="D551" s="1" t="s">
        <v>124</v>
      </c>
      <c r="E551">
        <v>5</v>
      </c>
      <c r="F551" s="2">
        <v>45532</v>
      </c>
      <c r="G551" s="1" t="str">
        <f>VLOOKUP(Summary_Laporan_Penjualan_20248[[#This Row],[ID_Pelanggan]], Data_Pelanggan[], 2, 0)</f>
        <v>Toko Elektronik Jaya</v>
      </c>
      <c r="H551" s="1" t="str">
        <f>VLOOKUP(Summary_Laporan_Penjualan_20248[[#This Row],[ID_Pelanggan]], Data_Pelanggan[], 4, 0)</f>
        <v>Semarang</v>
      </c>
      <c r="I551" s="1" t="str">
        <f>VLOOKUP(Summary_Laporan_Penjualan_20248[[#This Row],[ID_Produk]], Data_Produk[], 6, 0)</f>
        <v>Semarang</v>
      </c>
      <c r="J551" s="1">
        <f>VLOOKUP(Summary_Laporan_Penjualan_20248[[#This Row],[ID_Produk]], Data_Produk[], 7, 0)</f>
        <v>400000</v>
      </c>
      <c r="K551" s="1">
        <f>VLOOKUP(Summary_Laporan_Penjualan_20248[[#This Row],[ID_Produk]], Data_Produk[], 8, 0)</f>
        <v>623000</v>
      </c>
    </row>
    <row r="552" spans="1:11" x14ac:dyDescent="0.35">
      <c r="A552" s="1" t="s">
        <v>1163</v>
      </c>
      <c r="B552" s="1" t="s">
        <v>176</v>
      </c>
      <c r="C552" s="1" t="s">
        <v>82</v>
      </c>
      <c r="D552" s="1" t="s">
        <v>143</v>
      </c>
      <c r="E552">
        <v>8</v>
      </c>
      <c r="F552" s="2">
        <v>45475</v>
      </c>
      <c r="G552" s="1" t="str">
        <f>VLOOKUP(Summary_Laporan_Penjualan_20248[[#This Row],[ID_Pelanggan]], Data_Pelanggan[], 2, 0)</f>
        <v>Toko Komputer Maju</v>
      </c>
      <c r="H552" s="1" t="str">
        <f>VLOOKUP(Summary_Laporan_Penjualan_20248[[#This Row],[ID_Pelanggan]], Data_Pelanggan[], 4, 0)</f>
        <v>Solo</v>
      </c>
      <c r="I552" s="1" t="str">
        <f>VLOOKUP(Summary_Laporan_Penjualan_20248[[#This Row],[ID_Produk]], Data_Produk[], 6, 0)</f>
        <v>Depok</v>
      </c>
      <c r="J552" s="1">
        <f>VLOOKUP(Summary_Laporan_Penjualan_20248[[#This Row],[ID_Produk]], Data_Produk[], 7, 0)</f>
        <v>1500000</v>
      </c>
      <c r="K552" s="1">
        <f>VLOOKUP(Summary_Laporan_Penjualan_20248[[#This Row],[ID_Produk]], Data_Produk[], 8, 0)</f>
        <v>1772000</v>
      </c>
    </row>
    <row r="553" spans="1:11" x14ac:dyDescent="0.35">
      <c r="A553" s="1" t="s">
        <v>1163</v>
      </c>
      <c r="B553" s="1" t="s">
        <v>164</v>
      </c>
      <c r="C553" s="1" t="s">
        <v>82</v>
      </c>
      <c r="D553" s="1" t="s">
        <v>143</v>
      </c>
      <c r="E553">
        <v>8</v>
      </c>
      <c r="F553" s="2">
        <v>45475</v>
      </c>
      <c r="G553" s="1" t="str">
        <f>VLOOKUP(Summary_Laporan_Penjualan_20248[[#This Row],[ID_Pelanggan]], Data_Pelanggan[], 2, 0)</f>
        <v>Toko Komputer Maju</v>
      </c>
      <c r="H553" s="1" t="str">
        <f>VLOOKUP(Summary_Laporan_Penjualan_20248[[#This Row],[ID_Pelanggan]], Data_Pelanggan[], 4, 0)</f>
        <v>Solo</v>
      </c>
      <c r="I553" s="1" t="str">
        <f>VLOOKUP(Summary_Laporan_Penjualan_20248[[#This Row],[ID_Produk]], Data_Produk[], 6, 0)</f>
        <v>Jakarta</v>
      </c>
      <c r="J553" s="1">
        <f>VLOOKUP(Summary_Laporan_Penjualan_20248[[#This Row],[ID_Produk]], Data_Produk[], 7, 0)</f>
        <v>750000</v>
      </c>
      <c r="K553" s="1">
        <f>VLOOKUP(Summary_Laporan_Penjualan_20248[[#This Row],[ID_Produk]], Data_Produk[], 8, 0)</f>
        <v>971000</v>
      </c>
    </row>
    <row r="554" spans="1:11" x14ac:dyDescent="0.35">
      <c r="A554" s="1" t="s">
        <v>1163</v>
      </c>
      <c r="B554" s="1" t="s">
        <v>113</v>
      </c>
      <c r="C554" s="1" t="s">
        <v>82</v>
      </c>
      <c r="D554" s="1" t="s">
        <v>143</v>
      </c>
      <c r="E554">
        <v>16</v>
      </c>
      <c r="F554" s="2">
        <v>45475</v>
      </c>
      <c r="G554" s="1" t="str">
        <f>VLOOKUP(Summary_Laporan_Penjualan_20248[[#This Row],[ID_Pelanggan]], Data_Pelanggan[], 2, 0)</f>
        <v>Toko Komputer Maju</v>
      </c>
      <c r="H554" s="1" t="str">
        <f>VLOOKUP(Summary_Laporan_Penjualan_20248[[#This Row],[ID_Pelanggan]], Data_Pelanggan[], 4, 0)</f>
        <v>Solo</v>
      </c>
      <c r="I554" s="1" t="str">
        <f>VLOOKUP(Summary_Laporan_Penjualan_20248[[#This Row],[ID_Produk]], Data_Produk[], 6, 0)</f>
        <v>Depok</v>
      </c>
      <c r="J554" s="1">
        <f>VLOOKUP(Summary_Laporan_Penjualan_20248[[#This Row],[ID_Produk]], Data_Produk[], 7, 0)</f>
        <v>4500000</v>
      </c>
      <c r="K554" s="1">
        <f>VLOOKUP(Summary_Laporan_Penjualan_20248[[#This Row],[ID_Produk]], Data_Produk[], 8, 0)</f>
        <v>5522000</v>
      </c>
    </row>
    <row r="555" spans="1:11" x14ac:dyDescent="0.35">
      <c r="A555" s="1" t="s">
        <v>1163</v>
      </c>
      <c r="B555" s="1" t="s">
        <v>106</v>
      </c>
      <c r="C555" s="1" t="s">
        <v>82</v>
      </c>
      <c r="D555" s="1" t="s">
        <v>143</v>
      </c>
      <c r="E555">
        <v>8</v>
      </c>
      <c r="F555" s="2">
        <v>45475</v>
      </c>
      <c r="G555" s="1" t="str">
        <f>VLOOKUP(Summary_Laporan_Penjualan_20248[[#This Row],[ID_Pelanggan]], Data_Pelanggan[], 2, 0)</f>
        <v>Toko Komputer Maju</v>
      </c>
      <c r="H555" s="1" t="str">
        <f>VLOOKUP(Summary_Laporan_Penjualan_20248[[#This Row],[ID_Pelanggan]], Data_Pelanggan[], 4, 0)</f>
        <v>Solo</v>
      </c>
      <c r="I555" s="1" t="str">
        <f>VLOOKUP(Summary_Laporan_Penjualan_20248[[#This Row],[ID_Produk]], Data_Produk[], 6, 0)</f>
        <v>Depok</v>
      </c>
      <c r="J555" s="1">
        <f>VLOOKUP(Summary_Laporan_Penjualan_20248[[#This Row],[ID_Produk]], Data_Produk[], 7, 0)</f>
        <v>300000</v>
      </c>
      <c r="K555" s="1">
        <f>VLOOKUP(Summary_Laporan_Penjualan_20248[[#This Row],[ID_Produk]], Data_Produk[], 8, 0)</f>
        <v>355000</v>
      </c>
    </row>
    <row r="556" spans="1:11" x14ac:dyDescent="0.35">
      <c r="A556" s="1" t="s">
        <v>1165</v>
      </c>
      <c r="B556" s="1" t="s">
        <v>141</v>
      </c>
      <c r="C556" s="1" t="s">
        <v>87</v>
      </c>
      <c r="D556" s="1" t="s">
        <v>124</v>
      </c>
      <c r="E556">
        <v>11</v>
      </c>
      <c r="F556" s="2">
        <v>45640</v>
      </c>
      <c r="G556" s="1" t="str">
        <f>VLOOKUP(Summary_Laporan_Penjualan_20248[[#This Row],[ID_Pelanggan]], Data_Pelanggan[], 2, 0)</f>
        <v>PT Indo Digital</v>
      </c>
      <c r="H556" s="1" t="str">
        <f>VLOOKUP(Summary_Laporan_Penjualan_20248[[#This Row],[ID_Pelanggan]], Data_Pelanggan[], 4, 0)</f>
        <v>Tangerang</v>
      </c>
      <c r="I556" s="1" t="str">
        <f>VLOOKUP(Summary_Laporan_Penjualan_20248[[#This Row],[ID_Produk]], Data_Produk[], 6, 0)</f>
        <v>Semarang</v>
      </c>
      <c r="J556" s="1">
        <f>VLOOKUP(Summary_Laporan_Penjualan_20248[[#This Row],[ID_Produk]], Data_Produk[], 7, 0)</f>
        <v>400000</v>
      </c>
      <c r="K556" s="1">
        <f>VLOOKUP(Summary_Laporan_Penjualan_20248[[#This Row],[ID_Produk]], Data_Produk[], 8, 0)</f>
        <v>623000</v>
      </c>
    </row>
    <row r="557" spans="1:11" x14ac:dyDescent="0.35">
      <c r="A557" s="1" t="s">
        <v>1167</v>
      </c>
      <c r="B557" s="1" t="s">
        <v>109</v>
      </c>
      <c r="C557" s="1" t="s">
        <v>63</v>
      </c>
      <c r="D557" s="1" t="s">
        <v>121</v>
      </c>
      <c r="E557">
        <v>15</v>
      </c>
      <c r="F557" s="2">
        <v>45517</v>
      </c>
      <c r="G557" s="1" t="str">
        <f>VLOOKUP(Summary_Laporan_Penjualan_20248[[#This Row],[ID_Pelanggan]], Data_Pelanggan[], 2, 0)</f>
        <v>UD Makmur</v>
      </c>
      <c r="H557" s="1" t="str">
        <f>VLOOKUP(Summary_Laporan_Penjualan_20248[[#This Row],[ID_Pelanggan]], Data_Pelanggan[], 4, 0)</f>
        <v>Palembang</v>
      </c>
      <c r="I557" s="1" t="str">
        <f>VLOOKUP(Summary_Laporan_Penjualan_20248[[#This Row],[ID_Produk]], Data_Produk[], 6, 0)</f>
        <v>Semarang</v>
      </c>
      <c r="J557" s="1">
        <f>VLOOKUP(Summary_Laporan_Penjualan_20248[[#This Row],[ID_Produk]], Data_Produk[], 7, 0)</f>
        <v>2000000</v>
      </c>
      <c r="K557" s="1">
        <f>VLOOKUP(Summary_Laporan_Penjualan_20248[[#This Row],[ID_Produk]], Data_Produk[], 8, 0)</f>
        <v>3382000</v>
      </c>
    </row>
    <row r="558" spans="1:11" x14ac:dyDescent="0.35">
      <c r="A558" s="1" t="s">
        <v>1169</v>
      </c>
      <c r="B558" s="1" t="s">
        <v>248</v>
      </c>
      <c r="C558" s="1" t="s">
        <v>21</v>
      </c>
      <c r="D558" s="1" t="s">
        <v>124</v>
      </c>
      <c r="E558">
        <v>14</v>
      </c>
      <c r="F558" s="2">
        <v>45373</v>
      </c>
      <c r="G558" s="1" t="str">
        <f>VLOOKUP(Summary_Laporan_Penjualan_20248[[#This Row],[ID_Pelanggan]], Data_Pelanggan[], 2, 0)</f>
        <v>Toko Komputer Sejahtera</v>
      </c>
      <c r="H558" s="1" t="str">
        <f>VLOOKUP(Summary_Laporan_Penjualan_20248[[#This Row],[ID_Pelanggan]], Data_Pelanggan[], 4, 0)</f>
        <v>Surabaya</v>
      </c>
      <c r="I558" s="1" t="str">
        <f>VLOOKUP(Summary_Laporan_Penjualan_20248[[#This Row],[ID_Produk]], Data_Produk[], 6, 0)</f>
        <v>Semarang</v>
      </c>
      <c r="J558" s="1">
        <f>VLOOKUP(Summary_Laporan_Penjualan_20248[[#This Row],[ID_Produk]], Data_Produk[], 7, 0)</f>
        <v>250000</v>
      </c>
      <c r="K558" s="1">
        <f>VLOOKUP(Summary_Laporan_Penjualan_20248[[#This Row],[ID_Produk]], Data_Produk[], 8, 0)</f>
        <v>354000</v>
      </c>
    </row>
    <row r="559" spans="1:11" x14ac:dyDescent="0.35">
      <c r="A559" s="1" t="s">
        <v>1171</v>
      </c>
      <c r="B559" s="1" t="s">
        <v>141</v>
      </c>
      <c r="C559" s="1" t="s">
        <v>15</v>
      </c>
      <c r="D559" s="1" t="s">
        <v>157</v>
      </c>
      <c r="E559">
        <v>6</v>
      </c>
      <c r="F559" s="2">
        <v>45642</v>
      </c>
      <c r="G559" s="1" t="str">
        <f>VLOOKUP(Summary_Laporan_Penjualan_20248[[#This Row],[ID_Pelanggan]], Data_Pelanggan[], 2, 0)</f>
        <v>CV Berkah</v>
      </c>
      <c r="H559" s="1" t="str">
        <f>VLOOKUP(Summary_Laporan_Penjualan_20248[[#This Row],[ID_Pelanggan]], Data_Pelanggan[], 4, 0)</f>
        <v>Bandung</v>
      </c>
      <c r="I559" s="1" t="str">
        <f>VLOOKUP(Summary_Laporan_Penjualan_20248[[#This Row],[ID_Produk]], Data_Produk[], 6, 0)</f>
        <v>Semarang</v>
      </c>
      <c r="J559" s="1">
        <f>VLOOKUP(Summary_Laporan_Penjualan_20248[[#This Row],[ID_Produk]], Data_Produk[], 7, 0)</f>
        <v>400000</v>
      </c>
      <c r="K559" s="1">
        <f>VLOOKUP(Summary_Laporan_Penjualan_20248[[#This Row],[ID_Produk]], Data_Produk[], 8, 0)</f>
        <v>623000</v>
      </c>
    </row>
    <row r="560" spans="1:11" x14ac:dyDescent="0.35">
      <c r="A560" s="1" t="s">
        <v>1173</v>
      </c>
      <c r="B560" s="1" t="s">
        <v>188</v>
      </c>
      <c r="C560" s="1" t="s">
        <v>8</v>
      </c>
      <c r="D560" s="1" t="s">
        <v>157</v>
      </c>
      <c r="E560">
        <v>1</v>
      </c>
      <c r="F560" s="2">
        <v>45444</v>
      </c>
      <c r="G560" s="1" t="str">
        <f>VLOOKUP(Summary_Laporan_Penjualan_20248[[#This Row],[ID_Pelanggan]], Data_Pelanggan[], 2, 0)</f>
        <v>PT Maju Jaya</v>
      </c>
      <c r="H560" s="1" t="str">
        <f>VLOOKUP(Summary_Laporan_Penjualan_20248[[#This Row],[ID_Pelanggan]], Data_Pelanggan[], 4, 0)</f>
        <v>Jakarta</v>
      </c>
      <c r="I560" s="1" t="str">
        <f>VLOOKUP(Summary_Laporan_Penjualan_20248[[#This Row],[ID_Produk]], Data_Produk[], 6, 0)</f>
        <v>Semarang</v>
      </c>
      <c r="J560" s="1">
        <f>VLOOKUP(Summary_Laporan_Penjualan_20248[[#This Row],[ID_Produk]], Data_Produk[], 7, 0)</f>
        <v>2800000</v>
      </c>
      <c r="K560" s="1">
        <f>VLOOKUP(Summary_Laporan_Penjualan_20248[[#This Row],[ID_Produk]], Data_Produk[], 8, 0)</f>
        <v>4747000</v>
      </c>
    </row>
    <row r="561" spans="1:11" x14ac:dyDescent="0.35">
      <c r="A561" s="1" t="s">
        <v>1175</v>
      </c>
      <c r="B561" s="1" t="s">
        <v>197</v>
      </c>
      <c r="C561" s="1" t="s">
        <v>87</v>
      </c>
      <c r="D561" s="1" t="s">
        <v>171</v>
      </c>
      <c r="E561">
        <v>12</v>
      </c>
      <c r="F561" s="2">
        <v>45631</v>
      </c>
      <c r="G561" s="1" t="str">
        <f>VLOOKUP(Summary_Laporan_Penjualan_20248[[#This Row],[ID_Pelanggan]], Data_Pelanggan[], 2, 0)</f>
        <v>PT Indo Digital</v>
      </c>
      <c r="H561" s="1" t="str">
        <f>VLOOKUP(Summary_Laporan_Penjualan_20248[[#This Row],[ID_Pelanggan]], Data_Pelanggan[], 4, 0)</f>
        <v>Tangerang</v>
      </c>
      <c r="I561" s="1" t="str">
        <f>VLOOKUP(Summary_Laporan_Penjualan_20248[[#This Row],[ID_Produk]], Data_Produk[], 6, 0)</f>
        <v>Jakarta</v>
      </c>
      <c r="J561" s="1">
        <f>VLOOKUP(Summary_Laporan_Penjualan_20248[[#This Row],[ID_Produk]], Data_Produk[], 7, 0)</f>
        <v>1200000</v>
      </c>
      <c r="K561" s="1">
        <f>VLOOKUP(Summary_Laporan_Penjualan_20248[[#This Row],[ID_Produk]], Data_Produk[], 8, 0)</f>
        <v>1375000</v>
      </c>
    </row>
    <row r="562" spans="1:11" x14ac:dyDescent="0.35">
      <c r="A562" s="1" t="s">
        <v>1177</v>
      </c>
      <c r="B562" s="1" t="s">
        <v>116</v>
      </c>
      <c r="C562" s="1" t="s">
        <v>8</v>
      </c>
      <c r="D562" s="1" t="s">
        <v>143</v>
      </c>
      <c r="E562">
        <v>8</v>
      </c>
      <c r="F562" s="2">
        <v>45482</v>
      </c>
      <c r="G562" s="1" t="str">
        <f>VLOOKUP(Summary_Laporan_Penjualan_20248[[#This Row],[ID_Pelanggan]], Data_Pelanggan[], 2, 0)</f>
        <v>PT Maju Jaya</v>
      </c>
      <c r="H562" s="1" t="str">
        <f>VLOOKUP(Summary_Laporan_Penjualan_20248[[#This Row],[ID_Pelanggan]], Data_Pelanggan[], 4, 0)</f>
        <v>Jakarta</v>
      </c>
      <c r="I562" s="1" t="str">
        <f>VLOOKUP(Summary_Laporan_Penjualan_20248[[#This Row],[ID_Produk]], Data_Produk[], 6, 0)</f>
        <v>Depok</v>
      </c>
      <c r="J562" s="1">
        <f>VLOOKUP(Summary_Laporan_Penjualan_20248[[#This Row],[ID_Produk]], Data_Produk[], 7, 0)</f>
        <v>5000000</v>
      </c>
      <c r="K562" s="1">
        <f>VLOOKUP(Summary_Laporan_Penjualan_20248[[#This Row],[ID_Produk]], Data_Produk[], 8, 0)</f>
        <v>7546000</v>
      </c>
    </row>
    <row r="563" spans="1:11" x14ac:dyDescent="0.35">
      <c r="A563" s="1" t="s">
        <v>1179</v>
      </c>
      <c r="B563" s="1" t="s">
        <v>172</v>
      </c>
      <c r="C563" s="1" t="s">
        <v>45</v>
      </c>
      <c r="D563" s="1" t="s">
        <v>128</v>
      </c>
      <c r="E563">
        <v>15</v>
      </c>
      <c r="F563" s="2">
        <v>45605</v>
      </c>
      <c r="G563" s="1" t="str">
        <f>VLOOKUP(Summary_Laporan_Penjualan_20248[[#This Row],[ID_Pelanggan]], Data_Pelanggan[], 2, 0)</f>
        <v>CV Techno</v>
      </c>
      <c r="H563" s="1" t="str">
        <f>VLOOKUP(Summary_Laporan_Penjualan_20248[[#This Row],[ID_Pelanggan]], Data_Pelanggan[], 4, 0)</f>
        <v>Yogyakarta</v>
      </c>
      <c r="I563" s="1" t="str">
        <f>VLOOKUP(Summary_Laporan_Penjualan_20248[[#This Row],[ID_Produk]], Data_Produk[], 6, 0)</f>
        <v>Semarang</v>
      </c>
      <c r="J563" s="1">
        <f>VLOOKUP(Summary_Laporan_Penjualan_20248[[#This Row],[ID_Produk]], Data_Produk[], 7, 0)</f>
        <v>950000</v>
      </c>
      <c r="K563" s="1">
        <f>VLOOKUP(Summary_Laporan_Penjualan_20248[[#This Row],[ID_Produk]], Data_Produk[], 8, 0)</f>
        <v>1649000</v>
      </c>
    </row>
    <row r="564" spans="1:11" x14ac:dyDescent="0.35">
      <c r="A564" s="1" t="s">
        <v>1181</v>
      </c>
      <c r="B564" s="1" t="s">
        <v>133</v>
      </c>
      <c r="C564" s="1" t="s">
        <v>63</v>
      </c>
      <c r="D564" s="1" t="s">
        <v>157</v>
      </c>
      <c r="E564">
        <v>11</v>
      </c>
      <c r="F564" s="2">
        <v>45293</v>
      </c>
      <c r="G564" s="1" t="str">
        <f>VLOOKUP(Summary_Laporan_Penjualan_20248[[#This Row],[ID_Pelanggan]], Data_Pelanggan[], 2, 0)</f>
        <v>UD Makmur</v>
      </c>
      <c r="H564" s="1" t="str">
        <f>VLOOKUP(Summary_Laporan_Penjualan_20248[[#This Row],[ID_Pelanggan]], Data_Pelanggan[], 4, 0)</f>
        <v>Palembang</v>
      </c>
      <c r="I564" s="1" t="str">
        <f>VLOOKUP(Summary_Laporan_Penjualan_20248[[#This Row],[ID_Produk]], Data_Produk[], 6, 0)</f>
        <v>Jakarta</v>
      </c>
      <c r="J564" s="1">
        <f>VLOOKUP(Summary_Laporan_Penjualan_20248[[#This Row],[ID_Produk]], Data_Produk[], 7, 0)</f>
        <v>2500000</v>
      </c>
      <c r="K564" s="1">
        <f>VLOOKUP(Summary_Laporan_Penjualan_20248[[#This Row],[ID_Produk]], Data_Produk[], 8, 0)</f>
        <v>3080000</v>
      </c>
    </row>
    <row r="565" spans="1:11" x14ac:dyDescent="0.35">
      <c r="A565" s="1" t="s">
        <v>1183</v>
      </c>
      <c r="B565" s="1" t="s">
        <v>133</v>
      </c>
      <c r="C565" s="1" t="s">
        <v>78</v>
      </c>
      <c r="D565" s="1" t="s">
        <v>171</v>
      </c>
      <c r="E565">
        <v>10</v>
      </c>
      <c r="F565" s="2">
        <v>45451</v>
      </c>
      <c r="G565" s="1" t="str">
        <f>VLOOKUP(Summary_Laporan_Penjualan_20248[[#This Row],[ID_Pelanggan]], Data_Pelanggan[], 2, 0)</f>
        <v>CV Sinar Terang</v>
      </c>
      <c r="H565" s="1" t="str">
        <f>VLOOKUP(Summary_Laporan_Penjualan_20248[[#This Row],[ID_Pelanggan]], Data_Pelanggan[], 4, 0)</f>
        <v>Bandung</v>
      </c>
      <c r="I565" s="1" t="str">
        <f>VLOOKUP(Summary_Laporan_Penjualan_20248[[#This Row],[ID_Produk]], Data_Produk[], 6, 0)</f>
        <v>Jakarta</v>
      </c>
      <c r="J565" s="1">
        <f>VLOOKUP(Summary_Laporan_Penjualan_20248[[#This Row],[ID_Produk]], Data_Produk[], 7, 0)</f>
        <v>2500000</v>
      </c>
      <c r="K565" s="1">
        <f>VLOOKUP(Summary_Laporan_Penjualan_20248[[#This Row],[ID_Produk]], Data_Produk[], 8, 0)</f>
        <v>3080000</v>
      </c>
    </row>
    <row r="566" spans="1:11" x14ac:dyDescent="0.35">
      <c r="A566" s="1" t="s">
        <v>1184</v>
      </c>
      <c r="B566" s="1" t="s">
        <v>272</v>
      </c>
      <c r="C566" s="1" t="s">
        <v>8</v>
      </c>
      <c r="D566" s="1" t="s">
        <v>171</v>
      </c>
      <c r="E566">
        <v>12</v>
      </c>
      <c r="F566" s="2">
        <v>45396</v>
      </c>
      <c r="G566" s="1" t="str">
        <f>VLOOKUP(Summary_Laporan_Penjualan_20248[[#This Row],[ID_Pelanggan]], Data_Pelanggan[], 2, 0)</f>
        <v>PT Maju Jaya</v>
      </c>
      <c r="H566" s="1" t="str">
        <f>VLOOKUP(Summary_Laporan_Penjualan_20248[[#This Row],[ID_Pelanggan]], Data_Pelanggan[], 4, 0)</f>
        <v>Jakarta</v>
      </c>
      <c r="I566" s="1" t="str">
        <f>VLOOKUP(Summary_Laporan_Penjualan_20248[[#This Row],[ID_Produk]], Data_Produk[], 6, 0)</f>
        <v>Depok</v>
      </c>
      <c r="J566" s="1">
        <f>VLOOKUP(Summary_Laporan_Penjualan_20248[[#This Row],[ID_Produk]], Data_Produk[], 7, 0)</f>
        <v>650000</v>
      </c>
      <c r="K566" s="1">
        <f>VLOOKUP(Summary_Laporan_Penjualan_20248[[#This Row],[ID_Produk]], Data_Produk[], 8, 0)</f>
        <v>741000</v>
      </c>
    </row>
    <row r="567" spans="1:11" x14ac:dyDescent="0.35">
      <c r="A567" s="1" t="s">
        <v>1185</v>
      </c>
      <c r="B567" s="1" t="s">
        <v>164</v>
      </c>
      <c r="C567" s="1" t="s">
        <v>39</v>
      </c>
      <c r="D567" s="1" t="s">
        <v>157</v>
      </c>
      <c r="E567">
        <v>10</v>
      </c>
      <c r="F567" s="2">
        <v>45331</v>
      </c>
      <c r="G567" s="1" t="str">
        <f>VLOOKUP(Summary_Laporan_Penjualan_20248[[#This Row],[ID_Pelanggan]], Data_Pelanggan[], 2, 0)</f>
        <v>Toko Elektronik Jaya</v>
      </c>
      <c r="H567" s="1" t="str">
        <f>VLOOKUP(Summary_Laporan_Penjualan_20248[[#This Row],[ID_Pelanggan]], Data_Pelanggan[], 4, 0)</f>
        <v>Semarang</v>
      </c>
      <c r="I567" s="1" t="str">
        <f>VLOOKUP(Summary_Laporan_Penjualan_20248[[#This Row],[ID_Produk]], Data_Produk[], 6, 0)</f>
        <v>Jakarta</v>
      </c>
      <c r="J567" s="1">
        <f>VLOOKUP(Summary_Laporan_Penjualan_20248[[#This Row],[ID_Produk]], Data_Produk[], 7, 0)</f>
        <v>750000</v>
      </c>
      <c r="K567" s="1">
        <f>VLOOKUP(Summary_Laporan_Penjualan_20248[[#This Row],[ID_Produk]], Data_Produk[], 8, 0)</f>
        <v>971000</v>
      </c>
    </row>
    <row r="568" spans="1:11" x14ac:dyDescent="0.35">
      <c r="A568" s="1" t="s">
        <v>1187</v>
      </c>
      <c r="B568" s="1" t="s">
        <v>168</v>
      </c>
      <c r="C568" s="1" t="s">
        <v>29</v>
      </c>
      <c r="D568" s="1" t="s">
        <v>121</v>
      </c>
      <c r="E568">
        <v>4</v>
      </c>
      <c r="F568" s="2">
        <v>45481</v>
      </c>
      <c r="G568" s="1" t="str">
        <f>VLOOKUP(Summary_Laporan_Penjualan_20248[[#This Row],[ID_Pelanggan]], Data_Pelanggan[], 2, 0)</f>
        <v>UD Sentosa</v>
      </c>
      <c r="H568" s="1" t="str">
        <f>VLOOKUP(Summary_Laporan_Penjualan_20248[[#This Row],[ID_Pelanggan]], Data_Pelanggan[], 4, 0)</f>
        <v>Medan</v>
      </c>
      <c r="I568" s="1" t="str">
        <f>VLOOKUP(Summary_Laporan_Penjualan_20248[[#This Row],[ID_Produk]], Data_Produk[], 6, 0)</f>
        <v>Semarang</v>
      </c>
      <c r="J568" s="1">
        <f>VLOOKUP(Summary_Laporan_Penjualan_20248[[#This Row],[ID_Produk]], Data_Produk[], 7, 0)</f>
        <v>500000</v>
      </c>
      <c r="K568" s="1">
        <f>VLOOKUP(Summary_Laporan_Penjualan_20248[[#This Row],[ID_Produk]], Data_Produk[], 8, 0)</f>
        <v>844000</v>
      </c>
    </row>
    <row r="569" spans="1:11" x14ac:dyDescent="0.35">
      <c r="A569" s="1" t="s">
        <v>1188</v>
      </c>
      <c r="B569" s="1" t="s">
        <v>164</v>
      </c>
      <c r="C569" s="1" t="s">
        <v>73</v>
      </c>
      <c r="D569" s="1" t="s">
        <v>124</v>
      </c>
      <c r="E569">
        <v>13</v>
      </c>
      <c r="F569" s="2">
        <v>45424</v>
      </c>
      <c r="G569" s="1" t="str">
        <f>VLOOKUP(Summary_Laporan_Penjualan_20248[[#This Row],[ID_Pelanggan]], Data_Pelanggan[], 2, 0)</f>
        <v>Toko Gadget Center</v>
      </c>
      <c r="H569" s="1" t="str">
        <f>VLOOKUP(Summary_Laporan_Penjualan_20248[[#This Row],[ID_Pelanggan]], Data_Pelanggan[], 4, 0)</f>
        <v>Malang</v>
      </c>
      <c r="I569" s="1" t="str">
        <f>VLOOKUP(Summary_Laporan_Penjualan_20248[[#This Row],[ID_Produk]], Data_Produk[], 6, 0)</f>
        <v>Jakarta</v>
      </c>
      <c r="J569" s="1">
        <f>VLOOKUP(Summary_Laporan_Penjualan_20248[[#This Row],[ID_Produk]], Data_Produk[], 7, 0)</f>
        <v>750000</v>
      </c>
      <c r="K569" s="1">
        <f>VLOOKUP(Summary_Laporan_Penjualan_20248[[#This Row],[ID_Produk]], Data_Produk[], 8, 0)</f>
        <v>971000</v>
      </c>
    </row>
    <row r="570" spans="1:11" x14ac:dyDescent="0.35">
      <c r="A570" s="1" t="s">
        <v>1190</v>
      </c>
      <c r="B570" s="1" t="s">
        <v>248</v>
      </c>
      <c r="C570" s="1" t="s">
        <v>73</v>
      </c>
      <c r="D570" s="1" t="s">
        <v>121</v>
      </c>
      <c r="E570">
        <v>12</v>
      </c>
      <c r="F570" s="2">
        <v>45458</v>
      </c>
      <c r="G570" s="1" t="str">
        <f>VLOOKUP(Summary_Laporan_Penjualan_20248[[#This Row],[ID_Pelanggan]], Data_Pelanggan[], 2, 0)</f>
        <v>Toko Gadget Center</v>
      </c>
      <c r="H570" s="1" t="str">
        <f>VLOOKUP(Summary_Laporan_Penjualan_20248[[#This Row],[ID_Pelanggan]], Data_Pelanggan[], 4, 0)</f>
        <v>Malang</v>
      </c>
      <c r="I570" s="1" t="str">
        <f>VLOOKUP(Summary_Laporan_Penjualan_20248[[#This Row],[ID_Produk]], Data_Produk[], 6, 0)</f>
        <v>Semarang</v>
      </c>
      <c r="J570" s="1">
        <f>VLOOKUP(Summary_Laporan_Penjualan_20248[[#This Row],[ID_Produk]], Data_Produk[], 7, 0)</f>
        <v>250000</v>
      </c>
      <c r="K570" s="1">
        <f>VLOOKUP(Summary_Laporan_Penjualan_20248[[#This Row],[ID_Produk]], Data_Produk[], 8, 0)</f>
        <v>354000</v>
      </c>
    </row>
    <row r="571" spans="1:11" x14ac:dyDescent="0.35">
      <c r="A571" s="1" t="s">
        <v>1192</v>
      </c>
      <c r="B571" s="1" t="s">
        <v>272</v>
      </c>
      <c r="C571" s="1" t="s">
        <v>73</v>
      </c>
      <c r="D571" s="1" t="s">
        <v>128</v>
      </c>
      <c r="E571">
        <v>14</v>
      </c>
      <c r="F571" s="2">
        <v>45412</v>
      </c>
      <c r="G571" s="1" t="str">
        <f>VLOOKUP(Summary_Laporan_Penjualan_20248[[#This Row],[ID_Pelanggan]], Data_Pelanggan[], 2, 0)</f>
        <v>Toko Gadget Center</v>
      </c>
      <c r="H571" s="1" t="str">
        <f>VLOOKUP(Summary_Laporan_Penjualan_20248[[#This Row],[ID_Pelanggan]], Data_Pelanggan[], 4, 0)</f>
        <v>Malang</v>
      </c>
      <c r="I571" s="1" t="str">
        <f>VLOOKUP(Summary_Laporan_Penjualan_20248[[#This Row],[ID_Produk]], Data_Produk[], 6, 0)</f>
        <v>Depok</v>
      </c>
      <c r="J571" s="1">
        <f>VLOOKUP(Summary_Laporan_Penjualan_20248[[#This Row],[ID_Produk]], Data_Produk[], 7, 0)</f>
        <v>650000</v>
      </c>
      <c r="K571" s="1">
        <f>VLOOKUP(Summary_Laporan_Penjualan_20248[[#This Row],[ID_Produk]], Data_Produk[], 8, 0)</f>
        <v>741000</v>
      </c>
    </row>
    <row r="572" spans="1:11" x14ac:dyDescent="0.35">
      <c r="A572" s="1" t="s">
        <v>1194</v>
      </c>
      <c r="B572" s="1" t="s">
        <v>191</v>
      </c>
      <c r="C572" s="1" t="s">
        <v>57</v>
      </c>
      <c r="D572" s="1" t="s">
        <v>171</v>
      </c>
      <c r="E572">
        <v>11</v>
      </c>
      <c r="F572" s="2">
        <v>45371</v>
      </c>
      <c r="G572" s="1" t="str">
        <f>VLOOKUP(Summary_Laporan_Penjualan_20248[[#This Row],[ID_Pelanggan]], Data_Pelanggan[], 2, 0)</f>
        <v>PT Karya Mandiri</v>
      </c>
      <c r="H572" s="1" t="str">
        <f>VLOOKUP(Summary_Laporan_Penjualan_20248[[#This Row],[ID_Pelanggan]], Data_Pelanggan[], 4, 0)</f>
        <v>Makassar</v>
      </c>
      <c r="I572" s="1" t="str">
        <f>VLOOKUP(Summary_Laporan_Penjualan_20248[[#This Row],[ID_Produk]], Data_Produk[], 6, 0)</f>
        <v>Jakarta</v>
      </c>
      <c r="J572" s="1">
        <f>VLOOKUP(Summary_Laporan_Penjualan_20248[[#This Row],[ID_Produk]], Data_Produk[], 7, 0)</f>
        <v>12000000</v>
      </c>
      <c r="K572" s="1">
        <f>VLOOKUP(Summary_Laporan_Penjualan_20248[[#This Row],[ID_Produk]], Data_Produk[], 8, 0)</f>
        <v>13963000</v>
      </c>
    </row>
    <row r="573" spans="1:11" x14ac:dyDescent="0.35">
      <c r="A573" s="1" t="s">
        <v>1195</v>
      </c>
      <c r="B573" s="1" t="s">
        <v>176</v>
      </c>
      <c r="C573" s="1" t="s">
        <v>8</v>
      </c>
      <c r="D573" s="1" t="s">
        <v>124</v>
      </c>
      <c r="E573">
        <v>12</v>
      </c>
      <c r="F573" s="2">
        <v>45523</v>
      </c>
      <c r="G573" s="1" t="str">
        <f>VLOOKUP(Summary_Laporan_Penjualan_20248[[#This Row],[ID_Pelanggan]], Data_Pelanggan[], 2, 0)</f>
        <v>PT Maju Jaya</v>
      </c>
      <c r="H573" s="1" t="str">
        <f>VLOOKUP(Summary_Laporan_Penjualan_20248[[#This Row],[ID_Pelanggan]], Data_Pelanggan[], 4, 0)</f>
        <v>Jakarta</v>
      </c>
      <c r="I573" s="1" t="str">
        <f>VLOOKUP(Summary_Laporan_Penjualan_20248[[#This Row],[ID_Produk]], Data_Produk[], 6, 0)</f>
        <v>Depok</v>
      </c>
      <c r="J573" s="1">
        <f>VLOOKUP(Summary_Laporan_Penjualan_20248[[#This Row],[ID_Produk]], Data_Produk[], 7, 0)</f>
        <v>1500000</v>
      </c>
      <c r="K573" s="1">
        <f>VLOOKUP(Summary_Laporan_Penjualan_20248[[#This Row],[ID_Produk]], Data_Produk[], 8, 0)</f>
        <v>1772000</v>
      </c>
    </row>
    <row r="574" spans="1:11" x14ac:dyDescent="0.35">
      <c r="A574" s="1" t="s">
        <v>1196</v>
      </c>
      <c r="B574" s="1" t="s">
        <v>111</v>
      </c>
      <c r="C574" s="1" t="s">
        <v>69</v>
      </c>
      <c r="D574" s="1" t="s">
        <v>157</v>
      </c>
      <c r="E574">
        <v>3</v>
      </c>
      <c r="F574" s="2">
        <v>45352</v>
      </c>
      <c r="G574" s="1" t="str">
        <f>VLOOKUP(Summary_Laporan_Penjualan_20248[[#This Row],[ID_Pelanggan]], Data_Pelanggan[], 2, 0)</f>
        <v>PT Teknologi Prima</v>
      </c>
      <c r="H574" s="1" t="str">
        <f>VLOOKUP(Summary_Laporan_Penjualan_20248[[#This Row],[ID_Pelanggan]], Data_Pelanggan[], 4, 0)</f>
        <v>Jakarta</v>
      </c>
      <c r="I574" s="1" t="str">
        <f>VLOOKUP(Summary_Laporan_Penjualan_20248[[#This Row],[ID_Produk]], Data_Produk[], 6, 0)</f>
        <v>Depok</v>
      </c>
      <c r="J574" s="1">
        <f>VLOOKUP(Summary_Laporan_Penjualan_20248[[#This Row],[ID_Produk]], Data_Produk[], 7, 0)</f>
        <v>18000000</v>
      </c>
      <c r="K574" s="1">
        <f>VLOOKUP(Summary_Laporan_Penjualan_20248[[#This Row],[ID_Produk]], Data_Produk[], 8, 0)</f>
        <v>27603000</v>
      </c>
    </row>
    <row r="575" spans="1:11" x14ac:dyDescent="0.35">
      <c r="A575" s="1" t="s">
        <v>1198</v>
      </c>
      <c r="B575" s="1" t="s">
        <v>116</v>
      </c>
      <c r="C575" s="1" t="s">
        <v>29</v>
      </c>
      <c r="D575" s="1" t="s">
        <v>171</v>
      </c>
      <c r="E575">
        <v>14</v>
      </c>
      <c r="F575" s="2">
        <v>45482</v>
      </c>
      <c r="G575" s="1" t="str">
        <f>VLOOKUP(Summary_Laporan_Penjualan_20248[[#This Row],[ID_Pelanggan]], Data_Pelanggan[], 2, 0)</f>
        <v>UD Sentosa</v>
      </c>
      <c r="H575" s="1" t="str">
        <f>VLOOKUP(Summary_Laporan_Penjualan_20248[[#This Row],[ID_Pelanggan]], Data_Pelanggan[], 4, 0)</f>
        <v>Medan</v>
      </c>
      <c r="I575" s="1" t="str">
        <f>VLOOKUP(Summary_Laporan_Penjualan_20248[[#This Row],[ID_Produk]], Data_Produk[], 6, 0)</f>
        <v>Depok</v>
      </c>
      <c r="J575" s="1">
        <f>VLOOKUP(Summary_Laporan_Penjualan_20248[[#This Row],[ID_Produk]], Data_Produk[], 7, 0)</f>
        <v>5000000</v>
      </c>
      <c r="K575" s="1">
        <f>VLOOKUP(Summary_Laporan_Penjualan_20248[[#This Row],[ID_Produk]], Data_Produk[], 8, 0)</f>
        <v>7546000</v>
      </c>
    </row>
    <row r="576" spans="1:11" x14ac:dyDescent="0.35">
      <c r="A576" s="1" t="s">
        <v>1200</v>
      </c>
      <c r="B576" s="1" t="s">
        <v>272</v>
      </c>
      <c r="C576" s="1" t="s">
        <v>8</v>
      </c>
      <c r="D576" s="1" t="s">
        <v>124</v>
      </c>
      <c r="E576">
        <v>12</v>
      </c>
      <c r="F576" s="2">
        <v>45429</v>
      </c>
      <c r="G576" s="1" t="str">
        <f>VLOOKUP(Summary_Laporan_Penjualan_20248[[#This Row],[ID_Pelanggan]], Data_Pelanggan[], 2, 0)</f>
        <v>PT Maju Jaya</v>
      </c>
      <c r="H576" s="1" t="str">
        <f>VLOOKUP(Summary_Laporan_Penjualan_20248[[#This Row],[ID_Pelanggan]], Data_Pelanggan[], 4, 0)</f>
        <v>Jakarta</v>
      </c>
      <c r="I576" s="1" t="str">
        <f>VLOOKUP(Summary_Laporan_Penjualan_20248[[#This Row],[ID_Produk]], Data_Produk[], 6, 0)</f>
        <v>Depok</v>
      </c>
      <c r="J576" s="1">
        <f>VLOOKUP(Summary_Laporan_Penjualan_20248[[#This Row],[ID_Produk]], Data_Produk[], 7, 0)</f>
        <v>650000</v>
      </c>
      <c r="K576" s="1">
        <f>VLOOKUP(Summary_Laporan_Penjualan_20248[[#This Row],[ID_Produk]], Data_Produk[], 8, 0)</f>
        <v>741000</v>
      </c>
    </row>
    <row r="577" spans="1:11" x14ac:dyDescent="0.35">
      <c r="A577" s="1" t="s">
        <v>1201</v>
      </c>
      <c r="B577" s="1" t="s">
        <v>149</v>
      </c>
      <c r="C577" s="1" t="s">
        <v>51</v>
      </c>
      <c r="D577" s="1" t="s">
        <v>124</v>
      </c>
      <c r="E577">
        <v>10</v>
      </c>
      <c r="F577" s="2">
        <v>45380</v>
      </c>
      <c r="G577" s="1" t="str">
        <f>VLOOKUP(Summary_Laporan_Penjualan_20248[[#This Row],[ID_Pelanggan]], Data_Pelanggan[], 2, 0)</f>
        <v>Toko Musik Digital</v>
      </c>
      <c r="H577" s="1" t="str">
        <f>VLOOKUP(Summary_Laporan_Penjualan_20248[[#This Row],[ID_Pelanggan]], Data_Pelanggan[], 4, 0)</f>
        <v>Denpasar</v>
      </c>
      <c r="I577" s="1" t="str">
        <f>VLOOKUP(Summary_Laporan_Penjualan_20248[[#This Row],[ID_Produk]], Data_Produk[], 6, 0)</f>
        <v>Semarang</v>
      </c>
      <c r="J577" s="1">
        <f>VLOOKUP(Summary_Laporan_Penjualan_20248[[#This Row],[ID_Produk]], Data_Produk[], 7, 0)</f>
        <v>100000</v>
      </c>
      <c r="K577" s="1">
        <f>VLOOKUP(Summary_Laporan_Penjualan_20248[[#This Row],[ID_Produk]], Data_Produk[], 8, 0)</f>
        <v>169000</v>
      </c>
    </row>
    <row r="578" spans="1:11" x14ac:dyDescent="0.35">
      <c r="A578" s="1" t="s">
        <v>1203</v>
      </c>
      <c r="B578" s="1" t="s">
        <v>188</v>
      </c>
      <c r="C578" s="1" t="s">
        <v>87</v>
      </c>
      <c r="D578" s="1" t="s">
        <v>157</v>
      </c>
      <c r="E578">
        <v>3</v>
      </c>
      <c r="F578" s="2">
        <v>45346</v>
      </c>
      <c r="G578" s="1" t="str">
        <f>VLOOKUP(Summary_Laporan_Penjualan_20248[[#This Row],[ID_Pelanggan]], Data_Pelanggan[], 2, 0)</f>
        <v>PT Indo Digital</v>
      </c>
      <c r="H578" s="1" t="str">
        <f>VLOOKUP(Summary_Laporan_Penjualan_20248[[#This Row],[ID_Pelanggan]], Data_Pelanggan[], 4, 0)</f>
        <v>Tangerang</v>
      </c>
      <c r="I578" s="1" t="str">
        <f>VLOOKUP(Summary_Laporan_Penjualan_20248[[#This Row],[ID_Produk]], Data_Produk[], 6, 0)</f>
        <v>Semarang</v>
      </c>
      <c r="J578" s="1">
        <f>VLOOKUP(Summary_Laporan_Penjualan_20248[[#This Row],[ID_Produk]], Data_Produk[], 7, 0)</f>
        <v>2800000</v>
      </c>
      <c r="K578" s="1">
        <f>VLOOKUP(Summary_Laporan_Penjualan_20248[[#This Row],[ID_Produk]], Data_Produk[], 8, 0)</f>
        <v>4747000</v>
      </c>
    </row>
    <row r="579" spans="1:11" x14ac:dyDescent="0.35">
      <c r="A579" s="1" t="s">
        <v>1205</v>
      </c>
      <c r="B579" s="1" t="s">
        <v>137</v>
      </c>
      <c r="C579" s="1" t="s">
        <v>35</v>
      </c>
      <c r="D579" s="1" t="s">
        <v>128</v>
      </c>
      <c r="E579">
        <v>2</v>
      </c>
      <c r="F579" s="2">
        <v>45391</v>
      </c>
      <c r="G579" s="1" t="str">
        <f>VLOOKUP(Summary_Laporan_Penjualan_20248[[#This Row],[ID_Pelanggan]], Data_Pelanggan[], 2, 0)</f>
        <v>PT Digital Nusantara</v>
      </c>
      <c r="H579" s="1" t="str">
        <f>VLOOKUP(Summary_Laporan_Penjualan_20248[[#This Row],[ID_Pelanggan]], Data_Pelanggan[], 4, 0)</f>
        <v>Jakarta</v>
      </c>
      <c r="I579" s="1" t="str">
        <f>VLOOKUP(Summary_Laporan_Penjualan_20248[[#This Row],[ID_Produk]], Data_Produk[], 6, 0)</f>
        <v>Jakarta</v>
      </c>
      <c r="J579" s="1">
        <f>VLOOKUP(Summary_Laporan_Penjualan_20248[[#This Row],[ID_Produk]], Data_Produk[], 7, 0)</f>
        <v>2000000</v>
      </c>
      <c r="K579" s="1">
        <f>VLOOKUP(Summary_Laporan_Penjualan_20248[[#This Row],[ID_Produk]], Data_Produk[], 8, 0)</f>
        <v>2533000</v>
      </c>
    </row>
    <row r="580" spans="1:11" x14ac:dyDescent="0.35">
      <c r="A580" s="1" t="s">
        <v>1207</v>
      </c>
      <c r="B580" s="1" t="s">
        <v>188</v>
      </c>
      <c r="C580" s="1" t="s">
        <v>21</v>
      </c>
      <c r="D580" s="1" t="s">
        <v>121</v>
      </c>
      <c r="E580">
        <v>1</v>
      </c>
      <c r="F580" s="2">
        <v>45624</v>
      </c>
      <c r="G580" s="1" t="str">
        <f>VLOOKUP(Summary_Laporan_Penjualan_20248[[#This Row],[ID_Pelanggan]], Data_Pelanggan[], 2, 0)</f>
        <v>Toko Komputer Sejahtera</v>
      </c>
      <c r="H580" s="1" t="str">
        <f>VLOOKUP(Summary_Laporan_Penjualan_20248[[#This Row],[ID_Pelanggan]], Data_Pelanggan[], 4, 0)</f>
        <v>Surabaya</v>
      </c>
      <c r="I580" s="1" t="str">
        <f>VLOOKUP(Summary_Laporan_Penjualan_20248[[#This Row],[ID_Produk]], Data_Produk[], 6, 0)</f>
        <v>Semarang</v>
      </c>
      <c r="J580" s="1">
        <f>VLOOKUP(Summary_Laporan_Penjualan_20248[[#This Row],[ID_Produk]], Data_Produk[], 7, 0)</f>
        <v>2800000</v>
      </c>
      <c r="K580" s="1">
        <f>VLOOKUP(Summary_Laporan_Penjualan_20248[[#This Row],[ID_Produk]], Data_Produk[], 8, 0)</f>
        <v>4747000</v>
      </c>
    </row>
    <row r="581" spans="1:11" x14ac:dyDescent="0.35">
      <c r="A581" s="1" t="s">
        <v>1208</v>
      </c>
      <c r="B581" s="1" t="s">
        <v>113</v>
      </c>
      <c r="C581" s="1" t="s">
        <v>73</v>
      </c>
      <c r="D581" s="1" t="s">
        <v>157</v>
      </c>
      <c r="E581">
        <v>6</v>
      </c>
      <c r="F581" s="2">
        <v>45529</v>
      </c>
      <c r="G581" s="1" t="str">
        <f>VLOOKUP(Summary_Laporan_Penjualan_20248[[#This Row],[ID_Pelanggan]], Data_Pelanggan[], 2, 0)</f>
        <v>Toko Gadget Center</v>
      </c>
      <c r="H581" s="1" t="str">
        <f>VLOOKUP(Summary_Laporan_Penjualan_20248[[#This Row],[ID_Pelanggan]], Data_Pelanggan[], 4, 0)</f>
        <v>Malang</v>
      </c>
      <c r="I581" s="1" t="str">
        <f>VLOOKUP(Summary_Laporan_Penjualan_20248[[#This Row],[ID_Produk]], Data_Produk[], 6, 0)</f>
        <v>Depok</v>
      </c>
      <c r="J581" s="1">
        <f>VLOOKUP(Summary_Laporan_Penjualan_20248[[#This Row],[ID_Produk]], Data_Produk[], 7, 0)</f>
        <v>4500000</v>
      </c>
      <c r="K581" s="1">
        <f>VLOOKUP(Summary_Laporan_Penjualan_20248[[#This Row],[ID_Produk]], Data_Produk[], 8, 0)</f>
        <v>5522000</v>
      </c>
    </row>
    <row r="582" spans="1:11" x14ac:dyDescent="0.35">
      <c r="A582" s="1" t="s">
        <v>1209</v>
      </c>
      <c r="B582" s="1" t="s">
        <v>106</v>
      </c>
      <c r="C582" s="1" t="s">
        <v>35</v>
      </c>
      <c r="D582" s="1" t="s">
        <v>171</v>
      </c>
      <c r="E582">
        <v>4</v>
      </c>
      <c r="F582" s="2">
        <v>45491</v>
      </c>
      <c r="G582" s="1" t="str">
        <f>VLOOKUP(Summary_Laporan_Penjualan_20248[[#This Row],[ID_Pelanggan]], Data_Pelanggan[], 2, 0)</f>
        <v>PT Digital Nusantara</v>
      </c>
      <c r="H582" s="1" t="str">
        <f>VLOOKUP(Summary_Laporan_Penjualan_20248[[#This Row],[ID_Pelanggan]], Data_Pelanggan[], 4, 0)</f>
        <v>Jakarta</v>
      </c>
      <c r="I582" s="1" t="str">
        <f>VLOOKUP(Summary_Laporan_Penjualan_20248[[#This Row],[ID_Produk]], Data_Produk[], 6, 0)</f>
        <v>Depok</v>
      </c>
      <c r="J582" s="1">
        <f>VLOOKUP(Summary_Laporan_Penjualan_20248[[#This Row],[ID_Produk]], Data_Produk[], 7, 0)</f>
        <v>300000</v>
      </c>
      <c r="K582" s="1">
        <f>VLOOKUP(Summary_Laporan_Penjualan_20248[[#This Row],[ID_Produk]], Data_Produk[], 8, 0)</f>
        <v>355000</v>
      </c>
    </row>
    <row r="583" spans="1:11" x14ac:dyDescent="0.35">
      <c r="A583" s="1" t="s">
        <v>1211</v>
      </c>
      <c r="B583" s="1" t="s">
        <v>172</v>
      </c>
      <c r="C583" s="1" t="s">
        <v>45</v>
      </c>
      <c r="D583" s="1" t="s">
        <v>128</v>
      </c>
      <c r="E583">
        <v>1</v>
      </c>
      <c r="F583" s="2">
        <v>45418</v>
      </c>
      <c r="G583" s="1" t="str">
        <f>VLOOKUP(Summary_Laporan_Penjualan_20248[[#This Row],[ID_Pelanggan]], Data_Pelanggan[], 2, 0)</f>
        <v>CV Techno</v>
      </c>
      <c r="H583" s="1" t="str">
        <f>VLOOKUP(Summary_Laporan_Penjualan_20248[[#This Row],[ID_Pelanggan]], Data_Pelanggan[], 4, 0)</f>
        <v>Yogyakarta</v>
      </c>
      <c r="I583" s="1" t="str">
        <f>VLOOKUP(Summary_Laporan_Penjualan_20248[[#This Row],[ID_Produk]], Data_Produk[], 6, 0)</f>
        <v>Semarang</v>
      </c>
      <c r="J583" s="1">
        <f>VLOOKUP(Summary_Laporan_Penjualan_20248[[#This Row],[ID_Produk]], Data_Produk[], 7, 0)</f>
        <v>950000</v>
      </c>
      <c r="K583" s="1">
        <f>VLOOKUP(Summary_Laporan_Penjualan_20248[[#This Row],[ID_Produk]], Data_Produk[], 8, 0)</f>
        <v>1649000</v>
      </c>
    </row>
    <row r="584" spans="1:11" x14ac:dyDescent="0.35">
      <c r="A584" s="1" t="s">
        <v>1213</v>
      </c>
      <c r="B584" s="1" t="s">
        <v>113</v>
      </c>
      <c r="C584" s="1" t="s">
        <v>39</v>
      </c>
      <c r="D584" s="1" t="s">
        <v>143</v>
      </c>
      <c r="E584">
        <v>7</v>
      </c>
      <c r="F584" s="2">
        <v>45427</v>
      </c>
      <c r="G584" s="1" t="str">
        <f>VLOOKUP(Summary_Laporan_Penjualan_20248[[#This Row],[ID_Pelanggan]], Data_Pelanggan[], 2, 0)</f>
        <v>Toko Elektronik Jaya</v>
      </c>
      <c r="H584" s="1" t="str">
        <f>VLOOKUP(Summary_Laporan_Penjualan_20248[[#This Row],[ID_Pelanggan]], Data_Pelanggan[], 4, 0)</f>
        <v>Semarang</v>
      </c>
      <c r="I584" s="1" t="str">
        <f>VLOOKUP(Summary_Laporan_Penjualan_20248[[#This Row],[ID_Produk]], Data_Produk[], 6, 0)</f>
        <v>Depok</v>
      </c>
      <c r="J584" s="1">
        <f>VLOOKUP(Summary_Laporan_Penjualan_20248[[#This Row],[ID_Produk]], Data_Produk[], 7, 0)</f>
        <v>4500000</v>
      </c>
      <c r="K584" s="1">
        <f>VLOOKUP(Summary_Laporan_Penjualan_20248[[#This Row],[ID_Produk]], Data_Produk[], 8, 0)</f>
        <v>5522000</v>
      </c>
    </row>
    <row r="585" spans="1:11" x14ac:dyDescent="0.35">
      <c r="A585" s="1" t="s">
        <v>1215</v>
      </c>
      <c r="B585" s="1" t="s">
        <v>173</v>
      </c>
      <c r="C585" s="1" t="s">
        <v>63</v>
      </c>
      <c r="D585" s="1" t="s">
        <v>157</v>
      </c>
      <c r="E585">
        <v>2</v>
      </c>
      <c r="F585" s="2">
        <v>45494</v>
      </c>
      <c r="G585" s="1" t="str">
        <f>VLOOKUP(Summary_Laporan_Penjualan_20248[[#This Row],[ID_Pelanggan]], Data_Pelanggan[], 2, 0)</f>
        <v>UD Makmur</v>
      </c>
      <c r="H585" s="1" t="str">
        <f>VLOOKUP(Summary_Laporan_Penjualan_20248[[#This Row],[ID_Pelanggan]], Data_Pelanggan[], 4, 0)</f>
        <v>Palembang</v>
      </c>
      <c r="I585" s="1" t="str">
        <f>VLOOKUP(Summary_Laporan_Penjualan_20248[[#This Row],[ID_Produk]], Data_Produk[], 6, 0)</f>
        <v>Depok</v>
      </c>
      <c r="J585" s="1">
        <f>VLOOKUP(Summary_Laporan_Penjualan_20248[[#This Row],[ID_Produk]], Data_Produk[], 7, 0)</f>
        <v>80000</v>
      </c>
      <c r="K585" s="1">
        <f>VLOOKUP(Summary_Laporan_Penjualan_20248[[#This Row],[ID_Produk]], Data_Produk[], 8, 0)</f>
        <v>92000</v>
      </c>
    </row>
    <row r="586" spans="1:11" x14ac:dyDescent="0.35">
      <c r="A586" s="1" t="s">
        <v>1217</v>
      </c>
      <c r="B586" s="1" t="s">
        <v>248</v>
      </c>
      <c r="C586" s="1" t="s">
        <v>29</v>
      </c>
      <c r="D586" s="1" t="s">
        <v>121</v>
      </c>
      <c r="E586">
        <v>9</v>
      </c>
      <c r="F586" s="2">
        <v>45431</v>
      </c>
      <c r="G586" s="1" t="str">
        <f>VLOOKUP(Summary_Laporan_Penjualan_20248[[#This Row],[ID_Pelanggan]], Data_Pelanggan[], 2, 0)</f>
        <v>UD Sentosa</v>
      </c>
      <c r="H586" s="1" t="str">
        <f>VLOOKUP(Summary_Laporan_Penjualan_20248[[#This Row],[ID_Pelanggan]], Data_Pelanggan[], 4, 0)</f>
        <v>Medan</v>
      </c>
      <c r="I586" s="1" t="str">
        <f>VLOOKUP(Summary_Laporan_Penjualan_20248[[#This Row],[ID_Produk]], Data_Produk[], 6, 0)</f>
        <v>Semarang</v>
      </c>
      <c r="J586" s="1">
        <f>VLOOKUP(Summary_Laporan_Penjualan_20248[[#This Row],[ID_Produk]], Data_Produk[], 7, 0)</f>
        <v>250000</v>
      </c>
      <c r="K586" s="1">
        <f>VLOOKUP(Summary_Laporan_Penjualan_20248[[#This Row],[ID_Produk]], Data_Produk[], 8, 0)</f>
        <v>354000</v>
      </c>
    </row>
    <row r="587" spans="1:11" x14ac:dyDescent="0.35">
      <c r="A587" s="1" t="s">
        <v>1219</v>
      </c>
      <c r="B587" s="1" t="s">
        <v>188</v>
      </c>
      <c r="C587" s="1" t="s">
        <v>8</v>
      </c>
      <c r="D587" s="1" t="s">
        <v>143</v>
      </c>
      <c r="E587">
        <v>3</v>
      </c>
      <c r="F587" s="2">
        <v>45307</v>
      </c>
      <c r="G587" s="1" t="str">
        <f>VLOOKUP(Summary_Laporan_Penjualan_20248[[#This Row],[ID_Pelanggan]], Data_Pelanggan[], 2, 0)</f>
        <v>PT Maju Jaya</v>
      </c>
      <c r="H587" s="1" t="str">
        <f>VLOOKUP(Summary_Laporan_Penjualan_20248[[#This Row],[ID_Pelanggan]], Data_Pelanggan[], 4, 0)</f>
        <v>Jakarta</v>
      </c>
      <c r="I587" s="1" t="str">
        <f>VLOOKUP(Summary_Laporan_Penjualan_20248[[#This Row],[ID_Produk]], Data_Produk[], 6, 0)</f>
        <v>Semarang</v>
      </c>
      <c r="J587" s="1">
        <f>VLOOKUP(Summary_Laporan_Penjualan_20248[[#This Row],[ID_Produk]], Data_Produk[], 7, 0)</f>
        <v>2800000</v>
      </c>
      <c r="K587" s="1">
        <f>VLOOKUP(Summary_Laporan_Penjualan_20248[[#This Row],[ID_Produk]], Data_Produk[], 8, 0)</f>
        <v>4747000</v>
      </c>
    </row>
    <row r="588" spans="1:11" x14ac:dyDescent="0.35">
      <c r="A588" s="1" t="s">
        <v>1221</v>
      </c>
      <c r="B588" s="1" t="s">
        <v>141</v>
      </c>
      <c r="C588" s="1" t="s">
        <v>82</v>
      </c>
      <c r="D588" s="1" t="s">
        <v>143</v>
      </c>
      <c r="E588">
        <v>8</v>
      </c>
      <c r="F588" s="2">
        <v>45534</v>
      </c>
      <c r="G588" s="1" t="str">
        <f>VLOOKUP(Summary_Laporan_Penjualan_20248[[#This Row],[ID_Pelanggan]], Data_Pelanggan[], 2, 0)</f>
        <v>Toko Komputer Maju</v>
      </c>
      <c r="H588" s="1" t="str">
        <f>VLOOKUP(Summary_Laporan_Penjualan_20248[[#This Row],[ID_Pelanggan]], Data_Pelanggan[], 4, 0)</f>
        <v>Solo</v>
      </c>
      <c r="I588" s="1" t="str">
        <f>VLOOKUP(Summary_Laporan_Penjualan_20248[[#This Row],[ID_Produk]], Data_Produk[], 6, 0)</f>
        <v>Semarang</v>
      </c>
      <c r="J588" s="1">
        <f>VLOOKUP(Summary_Laporan_Penjualan_20248[[#This Row],[ID_Produk]], Data_Produk[], 7, 0)</f>
        <v>400000</v>
      </c>
      <c r="K588" s="1">
        <f>VLOOKUP(Summary_Laporan_Penjualan_20248[[#This Row],[ID_Produk]], Data_Produk[], 8, 0)</f>
        <v>623000</v>
      </c>
    </row>
    <row r="589" spans="1:11" x14ac:dyDescent="0.35">
      <c r="A589" s="1" t="s">
        <v>1223</v>
      </c>
      <c r="B589" s="1" t="s">
        <v>188</v>
      </c>
      <c r="C589" s="1" t="s">
        <v>45</v>
      </c>
      <c r="D589" s="1" t="s">
        <v>157</v>
      </c>
      <c r="E589">
        <v>10</v>
      </c>
      <c r="F589" s="2">
        <v>45511</v>
      </c>
      <c r="G589" s="1" t="str">
        <f>VLOOKUP(Summary_Laporan_Penjualan_20248[[#This Row],[ID_Pelanggan]], Data_Pelanggan[], 2, 0)</f>
        <v>CV Techno</v>
      </c>
      <c r="H589" s="1" t="str">
        <f>VLOOKUP(Summary_Laporan_Penjualan_20248[[#This Row],[ID_Pelanggan]], Data_Pelanggan[], 4, 0)</f>
        <v>Yogyakarta</v>
      </c>
      <c r="I589" s="1" t="str">
        <f>VLOOKUP(Summary_Laporan_Penjualan_20248[[#This Row],[ID_Produk]], Data_Produk[], 6, 0)</f>
        <v>Semarang</v>
      </c>
      <c r="J589" s="1">
        <f>VLOOKUP(Summary_Laporan_Penjualan_20248[[#This Row],[ID_Produk]], Data_Produk[], 7, 0)</f>
        <v>2800000</v>
      </c>
      <c r="K589" s="1">
        <f>VLOOKUP(Summary_Laporan_Penjualan_20248[[#This Row],[ID_Produk]], Data_Produk[], 8, 0)</f>
        <v>4747000</v>
      </c>
    </row>
    <row r="590" spans="1:11" x14ac:dyDescent="0.35">
      <c r="A590" s="1" t="s">
        <v>1225</v>
      </c>
      <c r="B590" s="1" t="s">
        <v>141</v>
      </c>
      <c r="C590" s="1" t="s">
        <v>45</v>
      </c>
      <c r="D590" s="1" t="s">
        <v>171</v>
      </c>
      <c r="E590">
        <v>6</v>
      </c>
      <c r="F590" s="2">
        <v>45386</v>
      </c>
      <c r="G590" s="1" t="str">
        <f>VLOOKUP(Summary_Laporan_Penjualan_20248[[#This Row],[ID_Pelanggan]], Data_Pelanggan[], 2, 0)</f>
        <v>CV Techno</v>
      </c>
      <c r="H590" s="1" t="str">
        <f>VLOOKUP(Summary_Laporan_Penjualan_20248[[#This Row],[ID_Pelanggan]], Data_Pelanggan[], 4, 0)</f>
        <v>Yogyakarta</v>
      </c>
      <c r="I590" s="1" t="str">
        <f>VLOOKUP(Summary_Laporan_Penjualan_20248[[#This Row],[ID_Produk]], Data_Produk[], 6, 0)</f>
        <v>Semarang</v>
      </c>
      <c r="J590" s="1">
        <f>VLOOKUP(Summary_Laporan_Penjualan_20248[[#This Row],[ID_Produk]], Data_Produk[], 7, 0)</f>
        <v>400000</v>
      </c>
      <c r="K590" s="1">
        <f>VLOOKUP(Summary_Laporan_Penjualan_20248[[#This Row],[ID_Produk]], Data_Produk[], 8, 0)</f>
        <v>623000</v>
      </c>
    </row>
    <row r="591" spans="1:11" x14ac:dyDescent="0.35">
      <c r="A591" s="1" t="s">
        <v>1227</v>
      </c>
      <c r="B591" s="1" t="s">
        <v>149</v>
      </c>
      <c r="C591" s="1" t="s">
        <v>69</v>
      </c>
      <c r="D591" s="1" t="s">
        <v>128</v>
      </c>
      <c r="E591">
        <v>13</v>
      </c>
      <c r="F591" s="2">
        <v>45499</v>
      </c>
      <c r="G591" s="1" t="str">
        <f>VLOOKUP(Summary_Laporan_Penjualan_20248[[#This Row],[ID_Pelanggan]], Data_Pelanggan[], 2, 0)</f>
        <v>PT Teknologi Prima</v>
      </c>
      <c r="H591" s="1" t="str">
        <f>VLOOKUP(Summary_Laporan_Penjualan_20248[[#This Row],[ID_Pelanggan]], Data_Pelanggan[], 4, 0)</f>
        <v>Jakarta</v>
      </c>
      <c r="I591" s="1" t="str">
        <f>VLOOKUP(Summary_Laporan_Penjualan_20248[[#This Row],[ID_Produk]], Data_Produk[], 6, 0)</f>
        <v>Semarang</v>
      </c>
      <c r="J591" s="1">
        <f>VLOOKUP(Summary_Laporan_Penjualan_20248[[#This Row],[ID_Produk]], Data_Produk[], 7, 0)</f>
        <v>100000</v>
      </c>
      <c r="K591" s="1">
        <f>VLOOKUP(Summary_Laporan_Penjualan_20248[[#This Row],[ID_Produk]], Data_Produk[], 8, 0)</f>
        <v>169000</v>
      </c>
    </row>
    <row r="592" spans="1:11" x14ac:dyDescent="0.35">
      <c r="A592" s="1" t="s">
        <v>1229</v>
      </c>
      <c r="B592" s="1" t="s">
        <v>272</v>
      </c>
      <c r="C592" s="1" t="s">
        <v>63</v>
      </c>
      <c r="D592" s="1" t="s">
        <v>124</v>
      </c>
      <c r="E592">
        <v>8</v>
      </c>
      <c r="F592" s="2">
        <v>45527</v>
      </c>
      <c r="G592" s="1" t="str">
        <f>VLOOKUP(Summary_Laporan_Penjualan_20248[[#This Row],[ID_Pelanggan]], Data_Pelanggan[], 2, 0)</f>
        <v>UD Makmur</v>
      </c>
      <c r="H592" s="1" t="str">
        <f>VLOOKUP(Summary_Laporan_Penjualan_20248[[#This Row],[ID_Pelanggan]], Data_Pelanggan[], 4, 0)</f>
        <v>Palembang</v>
      </c>
      <c r="I592" s="1" t="str">
        <f>VLOOKUP(Summary_Laporan_Penjualan_20248[[#This Row],[ID_Produk]], Data_Produk[], 6, 0)</f>
        <v>Depok</v>
      </c>
      <c r="J592" s="1">
        <f>VLOOKUP(Summary_Laporan_Penjualan_20248[[#This Row],[ID_Produk]], Data_Produk[], 7, 0)</f>
        <v>650000</v>
      </c>
      <c r="K592" s="1">
        <f>VLOOKUP(Summary_Laporan_Penjualan_20248[[#This Row],[ID_Produk]], Data_Produk[], 8, 0)</f>
        <v>741000</v>
      </c>
    </row>
    <row r="593" spans="1:11" x14ac:dyDescent="0.35">
      <c r="A593" s="1" t="s">
        <v>1231</v>
      </c>
      <c r="B593" s="1" t="s">
        <v>191</v>
      </c>
      <c r="C593" s="1" t="s">
        <v>82</v>
      </c>
      <c r="D593" s="1" t="s">
        <v>124</v>
      </c>
      <c r="E593">
        <v>3</v>
      </c>
      <c r="F593" s="2">
        <v>45398</v>
      </c>
      <c r="G593" s="1" t="str">
        <f>VLOOKUP(Summary_Laporan_Penjualan_20248[[#This Row],[ID_Pelanggan]], Data_Pelanggan[], 2, 0)</f>
        <v>Toko Komputer Maju</v>
      </c>
      <c r="H593" s="1" t="str">
        <f>VLOOKUP(Summary_Laporan_Penjualan_20248[[#This Row],[ID_Pelanggan]], Data_Pelanggan[], 4, 0)</f>
        <v>Solo</v>
      </c>
      <c r="I593" s="1" t="str">
        <f>VLOOKUP(Summary_Laporan_Penjualan_20248[[#This Row],[ID_Produk]], Data_Produk[], 6, 0)</f>
        <v>Jakarta</v>
      </c>
      <c r="J593" s="1">
        <f>VLOOKUP(Summary_Laporan_Penjualan_20248[[#This Row],[ID_Produk]], Data_Produk[], 7, 0)</f>
        <v>12000000</v>
      </c>
      <c r="K593" s="1">
        <f>VLOOKUP(Summary_Laporan_Penjualan_20248[[#This Row],[ID_Produk]], Data_Produk[], 8, 0)</f>
        <v>13963000</v>
      </c>
    </row>
    <row r="594" spans="1:11" x14ac:dyDescent="0.35">
      <c r="A594" s="1" t="s">
        <v>1233</v>
      </c>
      <c r="B594" s="1" t="s">
        <v>168</v>
      </c>
      <c r="C594" s="1" t="s">
        <v>69</v>
      </c>
      <c r="D594" s="1" t="s">
        <v>157</v>
      </c>
      <c r="E594">
        <v>7</v>
      </c>
      <c r="F594" s="2">
        <v>45434</v>
      </c>
      <c r="G594" s="1" t="str">
        <f>VLOOKUP(Summary_Laporan_Penjualan_20248[[#This Row],[ID_Pelanggan]], Data_Pelanggan[], 2, 0)</f>
        <v>PT Teknologi Prima</v>
      </c>
      <c r="H594" s="1" t="str">
        <f>VLOOKUP(Summary_Laporan_Penjualan_20248[[#This Row],[ID_Pelanggan]], Data_Pelanggan[], 4, 0)</f>
        <v>Jakarta</v>
      </c>
      <c r="I594" s="1" t="str">
        <f>VLOOKUP(Summary_Laporan_Penjualan_20248[[#This Row],[ID_Produk]], Data_Produk[], 6, 0)</f>
        <v>Semarang</v>
      </c>
      <c r="J594" s="1">
        <f>VLOOKUP(Summary_Laporan_Penjualan_20248[[#This Row],[ID_Produk]], Data_Produk[], 7, 0)</f>
        <v>500000</v>
      </c>
      <c r="K594" s="1">
        <f>VLOOKUP(Summary_Laporan_Penjualan_20248[[#This Row],[ID_Produk]], Data_Produk[], 8, 0)</f>
        <v>844000</v>
      </c>
    </row>
    <row r="595" spans="1:11" x14ac:dyDescent="0.35">
      <c r="A595" s="1" t="s">
        <v>1235</v>
      </c>
      <c r="B595" s="1" t="s">
        <v>137</v>
      </c>
      <c r="C595" s="1" t="s">
        <v>73</v>
      </c>
      <c r="D595" s="1" t="s">
        <v>124</v>
      </c>
      <c r="E595">
        <v>15</v>
      </c>
      <c r="F595" s="2">
        <v>45442</v>
      </c>
      <c r="G595" s="1" t="str">
        <f>VLOOKUP(Summary_Laporan_Penjualan_20248[[#This Row],[ID_Pelanggan]], Data_Pelanggan[], 2, 0)</f>
        <v>Toko Gadget Center</v>
      </c>
      <c r="H595" s="1" t="str">
        <f>VLOOKUP(Summary_Laporan_Penjualan_20248[[#This Row],[ID_Pelanggan]], Data_Pelanggan[], 4, 0)</f>
        <v>Malang</v>
      </c>
      <c r="I595" s="1" t="str">
        <f>VLOOKUP(Summary_Laporan_Penjualan_20248[[#This Row],[ID_Produk]], Data_Produk[], 6, 0)</f>
        <v>Jakarta</v>
      </c>
      <c r="J595" s="1">
        <f>VLOOKUP(Summary_Laporan_Penjualan_20248[[#This Row],[ID_Produk]], Data_Produk[], 7, 0)</f>
        <v>2000000</v>
      </c>
      <c r="K595" s="1">
        <f>VLOOKUP(Summary_Laporan_Penjualan_20248[[#This Row],[ID_Produk]], Data_Produk[], 8, 0)</f>
        <v>2533000</v>
      </c>
    </row>
    <row r="596" spans="1:11" x14ac:dyDescent="0.35">
      <c r="A596" s="1" t="s">
        <v>1237</v>
      </c>
      <c r="B596" s="1" t="s">
        <v>141</v>
      </c>
      <c r="C596" s="1" t="s">
        <v>57</v>
      </c>
      <c r="D596" s="1" t="s">
        <v>124</v>
      </c>
      <c r="E596">
        <v>12</v>
      </c>
      <c r="F596" s="2">
        <v>45300</v>
      </c>
      <c r="G596" s="1" t="str">
        <f>VLOOKUP(Summary_Laporan_Penjualan_20248[[#This Row],[ID_Pelanggan]], Data_Pelanggan[], 2, 0)</f>
        <v>PT Karya Mandiri</v>
      </c>
      <c r="H596" s="1" t="str">
        <f>VLOOKUP(Summary_Laporan_Penjualan_20248[[#This Row],[ID_Pelanggan]], Data_Pelanggan[], 4, 0)</f>
        <v>Makassar</v>
      </c>
      <c r="I596" s="1" t="str">
        <f>VLOOKUP(Summary_Laporan_Penjualan_20248[[#This Row],[ID_Produk]], Data_Produk[], 6, 0)</f>
        <v>Semarang</v>
      </c>
      <c r="J596" s="1">
        <f>VLOOKUP(Summary_Laporan_Penjualan_20248[[#This Row],[ID_Produk]], Data_Produk[], 7, 0)</f>
        <v>400000</v>
      </c>
      <c r="K596" s="1">
        <f>VLOOKUP(Summary_Laporan_Penjualan_20248[[#This Row],[ID_Produk]], Data_Produk[], 8, 0)</f>
        <v>623000</v>
      </c>
    </row>
    <row r="597" spans="1:11" x14ac:dyDescent="0.35">
      <c r="A597" s="1" t="s">
        <v>1239</v>
      </c>
      <c r="B597" s="1" t="s">
        <v>168</v>
      </c>
      <c r="C597" s="1" t="s">
        <v>73</v>
      </c>
      <c r="D597" s="1" t="s">
        <v>171</v>
      </c>
      <c r="E597">
        <v>7</v>
      </c>
      <c r="F597" s="2">
        <v>45625</v>
      </c>
      <c r="G597" s="1" t="str">
        <f>VLOOKUP(Summary_Laporan_Penjualan_20248[[#This Row],[ID_Pelanggan]], Data_Pelanggan[], 2, 0)</f>
        <v>Toko Gadget Center</v>
      </c>
      <c r="H597" s="1" t="str">
        <f>VLOOKUP(Summary_Laporan_Penjualan_20248[[#This Row],[ID_Pelanggan]], Data_Pelanggan[], 4, 0)</f>
        <v>Malang</v>
      </c>
      <c r="I597" s="1" t="str">
        <f>VLOOKUP(Summary_Laporan_Penjualan_20248[[#This Row],[ID_Produk]], Data_Produk[], 6, 0)</f>
        <v>Semarang</v>
      </c>
      <c r="J597" s="1">
        <f>VLOOKUP(Summary_Laporan_Penjualan_20248[[#This Row],[ID_Produk]], Data_Produk[], 7, 0)</f>
        <v>500000</v>
      </c>
      <c r="K597" s="1">
        <f>VLOOKUP(Summary_Laporan_Penjualan_20248[[#This Row],[ID_Produk]], Data_Produk[], 8, 0)</f>
        <v>844000</v>
      </c>
    </row>
    <row r="598" spans="1:11" x14ac:dyDescent="0.35">
      <c r="A598" s="1" t="s">
        <v>1241</v>
      </c>
      <c r="B598" s="1" t="s">
        <v>106</v>
      </c>
      <c r="C598" s="1" t="s">
        <v>63</v>
      </c>
      <c r="D598" s="1" t="s">
        <v>171</v>
      </c>
      <c r="E598">
        <v>13</v>
      </c>
      <c r="F598" s="2">
        <v>45537</v>
      </c>
      <c r="G598" s="1" t="str">
        <f>VLOOKUP(Summary_Laporan_Penjualan_20248[[#This Row],[ID_Pelanggan]], Data_Pelanggan[], 2, 0)</f>
        <v>UD Makmur</v>
      </c>
      <c r="H598" s="1" t="str">
        <f>VLOOKUP(Summary_Laporan_Penjualan_20248[[#This Row],[ID_Pelanggan]], Data_Pelanggan[], 4, 0)</f>
        <v>Palembang</v>
      </c>
      <c r="I598" s="1" t="str">
        <f>VLOOKUP(Summary_Laporan_Penjualan_20248[[#This Row],[ID_Produk]], Data_Produk[], 6, 0)</f>
        <v>Depok</v>
      </c>
      <c r="J598" s="1">
        <f>VLOOKUP(Summary_Laporan_Penjualan_20248[[#This Row],[ID_Produk]], Data_Produk[], 7, 0)</f>
        <v>300000</v>
      </c>
      <c r="K598" s="1">
        <f>VLOOKUP(Summary_Laporan_Penjualan_20248[[#This Row],[ID_Produk]], Data_Produk[], 8, 0)</f>
        <v>355000</v>
      </c>
    </row>
    <row r="599" spans="1:11" x14ac:dyDescent="0.35">
      <c r="A599" s="1" t="s">
        <v>1243</v>
      </c>
      <c r="B599" s="1" t="s">
        <v>173</v>
      </c>
      <c r="C599" s="1" t="s">
        <v>21</v>
      </c>
      <c r="D599" s="1" t="s">
        <v>128</v>
      </c>
      <c r="E599">
        <v>3</v>
      </c>
      <c r="F599" s="2">
        <v>45477</v>
      </c>
      <c r="G599" s="1" t="str">
        <f>VLOOKUP(Summary_Laporan_Penjualan_20248[[#This Row],[ID_Pelanggan]], Data_Pelanggan[], 2, 0)</f>
        <v>Toko Komputer Sejahtera</v>
      </c>
      <c r="H599" s="1" t="str">
        <f>VLOOKUP(Summary_Laporan_Penjualan_20248[[#This Row],[ID_Pelanggan]], Data_Pelanggan[], 4, 0)</f>
        <v>Surabaya</v>
      </c>
      <c r="I599" s="1" t="str">
        <f>VLOOKUP(Summary_Laporan_Penjualan_20248[[#This Row],[ID_Produk]], Data_Produk[], 6, 0)</f>
        <v>Depok</v>
      </c>
      <c r="J599" s="1">
        <f>VLOOKUP(Summary_Laporan_Penjualan_20248[[#This Row],[ID_Produk]], Data_Produk[], 7, 0)</f>
        <v>80000</v>
      </c>
      <c r="K599" s="1">
        <f>VLOOKUP(Summary_Laporan_Penjualan_20248[[#This Row],[ID_Produk]], Data_Produk[], 8, 0)</f>
        <v>92000</v>
      </c>
    </row>
    <row r="600" spans="1:11" x14ac:dyDescent="0.35">
      <c r="A600" s="1" t="s">
        <v>1245</v>
      </c>
      <c r="B600" s="1" t="s">
        <v>111</v>
      </c>
      <c r="C600" s="1" t="s">
        <v>78</v>
      </c>
      <c r="D600" s="1" t="s">
        <v>121</v>
      </c>
      <c r="E600">
        <v>8</v>
      </c>
      <c r="F600" s="2">
        <v>45587</v>
      </c>
      <c r="G600" s="1" t="str">
        <f>VLOOKUP(Summary_Laporan_Penjualan_20248[[#This Row],[ID_Pelanggan]], Data_Pelanggan[], 2, 0)</f>
        <v>CV Sinar Terang</v>
      </c>
      <c r="H600" s="1" t="str">
        <f>VLOOKUP(Summary_Laporan_Penjualan_20248[[#This Row],[ID_Pelanggan]], Data_Pelanggan[], 4, 0)</f>
        <v>Bandung</v>
      </c>
      <c r="I600" s="1" t="str">
        <f>VLOOKUP(Summary_Laporan_Penjualan_20248[[#This Row],[ID_Produk]], Data_Produk[], 6, 0)</f>
        <v>Depok</v>
      </c>
      <c r="J600" s="1">
        <f>VLOOKUP(Summary_Laporan_Penjualan_20248[[#This Row],[ID_Produk]], Data_Produk[], 7, 0)</f>
        <v>18000000</v>
      </c>
      <c r="K600" s="1">
        <f>VLOOKUP(Summary_Laporan_Penjualan_20248[[#This Row],[ID_Produk]], Data_Produk[], 8, 0)</f>
        <v>27603000</v>
      </c>
    </row>
    <row r="601" spans="1:11" x14ac:dyDescent="0.35">
      <c r="A601" s="1" t="s">
        <v>1247</v>
      </c>
      <c r="B601" s="1" t="s">
        <v>164</v>
      </c>
      <c r="C601" s="1" t="s">
        <v>87</v>
      </c>
      <c r="D601" s="1" t="s">
        <v>124</v>
      </c>
      <c r="E601">
        <v>15</v>
      </c>
      <c r="F601" s="2">
        <v>45496</v>
      </c>
      <c r="G601" s="1" t="str">
        <f>VLOOKUP(Summary_Laporan_Penjualan_20248[[#This Row],[ID_Pelanggan]], Data_Pelanggan[], 2, 0)</f>
        <v>PT Indo Digital</v>
      </c>
      <c r="H601" s="1" t="str">
        <f>VLOOKUP(Summary_Laporan_Penjualan_20248[[#This Row],[ID_Pelanggan]], Data_Pelanggan[], 4, 0)</f>
        <v>Tangerang</v>
      </c>
      <c r="I601" s="1" t="str">
        <f>VLOOKUP(Summary_Laporan_Penjualan_20248[[#This Row],[ID_Produk]], Data_Produk[], 6, 0)</f>
        <v>Jakarta</v>
      </c>
      <c r="J601" s="1">
        <f>VLOOKUP(Summary_Laporan_Penjualan_20248[[#This Row],[ID_Produk]], Data_Produk[], 7, 0)</f>
        <v>750000</v>
      </c>
      <c r="K601" s="1">
        <f>VLOOKUP(Summary_Laporan_Penjualan_20248[[#This Row],[ID_Produk]], Data_Produk[], 8, 0)</f>
        <v>971000</v>
      </c>
    </row>
    <row r="602" spans="1:11" x14ac:dyDescent="0.35">
      <c r="A602" s="1" t="s">
        <v>1248</v>
      </c>
      <c r="B602" s="1" t="s">
        <v>109</v>
      </c>
      <c r="C602" s="1" t="s">
        <v>8</v>
      </c>
      <c r="D602" s="1" t="s">
        <v>171</v>
      </c>
      <c r="E602">
        <v>3</v>
      </c>
      <c r="F602" s="2">
        <v>45314</v>
      </c>
      <c r="G602" s="1" t="str">
        <f>VLOOKUP(Summary_Laporan_Penjualan_20248[[#This Row],[ID_Pelanggan]], Data_Pelanggan[], 2, 0)</f>
        <v>PT Maju Jaya</v>
      </c>
      <c r="H602" s="1" t="str">
        <f>VLOOKUP(Summary_Laporan_Penjualan_20248[[#This Row],[ID_Pelanggan]], Data_Pelanggan[], 4, 0)</f>
        <v>Jakarta</v>
      </c>
      <c r="I602" s="1" t="str">
        <f>VLOOKUP(Summary_Laporan_Penjualan_20248[[#This Row],[ID_Produk]], Data_Produk[], 6, 0)</f>
        <v>Semarang</v>
      </c>
      <c r="J602" s="1">
        <f>VLOOKUP(Summary_Laporan_Penjualan_20248[[#This Row],[ID_Produk]], Data_Produk[], 7, 0)</f>
        <v>2000000</v>
      </c>
      <c r="K602" s="1">
        <f>VLOOKUP(Summary_Laporan_Penjualan_20248[[#This Row],[ID_Produk]], Data_Produk[], 8, 0)</f>
        <v>3382000</v>
      </c>
    </row>
    <row r="603" spans="1:11" x14ac:dyDescent="0.35">
      <c r="A603" s="1" t="s">
        <v>1250</v>
      </c>
      <c r="B603" s="1" t="s">
        <v>137</v>
      </c>
      <c r="C603" s="1" t="s">
        <v>39</v>
      </c>
      <c r="D603" s="1" t="s">
        <v>171</v>
      </c>
      <c r="E603">
        <v>6</v>
      </c>
      <c r="F603" s="2">
        <v>45327</v>
      </c>
      <c r="G603" s="1" t="str">
        <f>VLOOKUP(Summary_Laporan_Penjualan_20248[[#This Row],[ID_Pelanggan]], Data_Pelanggan[], 2, 0)</f>
        <v>Toko Elektronik Jaya</v>
      </c>
      <c r="H603" s="1" t="str">
        <f>VLOOKUP(Summary_Laporan_Penjualan_20248[[#This Row],[ID_Pelanggan]], Data_Pelanggan[], 4, 0)</f>
        <v>Semarang</v>
      </c>
      <c r="I603" s="1" t="str">
        <f>VLOOKUP(Summary_Laporan_Penjualan_20248[[#This Row],[ID_Produk]], Data_Produk[], 6, 0)</f>
        <v>Jakarta</v>
      </c>
      <c r="J603" s="1">
        <f>VLOOKUP(Summary_Laporan_Penjualan_20248[[#This Row],[ID_Produk]], Data_Produk[], 7, 0)</f>
        <v>2000000</v>
      </c>
      <c r="K603" s="1">
        <f>VLOOKUP(Summary_Laporan_Penjualan_20248[[#This Row],[ID_Produk]], Data_Produk[], 8, 0)</f>
        <v>2533000</v>
      </c>
    </row>
    <row r="604" spans="1:11" x14ac:dyDescent="0.35">
      <c r="A604" s="1" t="s">
        <v>1252</v>
      </c>
      <c r="B604" s="1" t="s">
        <v>164</v>
      </c>
      <c r="C604" s="1" t="s">
        <v>51</v>
      </c>
      <c r="D604" s="1" t="s">
        <v>121</v>
      </c>
      <c r="E604">
        <v>4</v>
      </c>
      <c r="F604" s="2">
        <v>45314</v>
      </c>
      <c r="G604" s="1" t="str">
        <f>VLOOKUP(Summary_Laporan_Penjualan_20248[[#This Row],[ID_Pelanggan]], Data_Pelanggan[], 2, 0)</f>
        <v>Toko Musik Digital</v>
      </c>
      <c r="H604" s="1" t="str">
        <f>VLOOKUP(Summary_Laporan_Penjualan_20248[[#This Row],[ID_Pelanggan]], Data_Pelanggan[], 4, 0)</f>
        <v>Denpasar</v>
      </c>
      <c r="I604" s="1" t="str">
        <f>VLOOKUP(Summary_Laporan_Penjualan_20248[[#This Row],[ID_Produk]], Data_Produk[], 6, 0)</f>
        <v>Jakarta</v>
      </c>
      <c r="J604" s="1">
        <f>VLOOKUP(Summary_Laporan_Penjualan_20248[[#This Row],[ID_Produk]], Data_Produk[], 7, 0)</f>
        <v>750000</v>
      </c>
      <c r="K604" s="1">
        <f>VLOOKUP(Summary_Laporan_Penjualan_20248[[#This Row],[ID_Produk]], Data_Produk[], 8, 0)</f>
        <v>971000</v>
      </c>
    </row>
    <row r="605" spans="1:11" x14ac:dyDescent="0.35">
      <c r="A605" s="1" t="s">
        <v>1254</v>
      </c>
      <c r="B605" s="1" t="s">
        <v>116</v>
      </c>
      <c r="C605" s="1" t="s">
        <v>57</v>
      </c>
      <c r="D605" s="1" t="s">
        <v>143</v>
      </c>
      <c r="E605">
        <v>7</v>
      </c>
      <c r="F605" s="2">
        <v>45304</v>
      </c>
      <c r="G605" s="1" t="str">
        <f>VLOOKUP(Summary_Laporan_Penjualan_20248[[#This Row],[ID_Pelanggan]], Data_Pelanggan[], 2, 0)</f>
        <v>PT Karya Mandiri</v>
      </c>
      <c r="H605" s="1" t="str">
        <f>VLOOKUP(Summary_Laporan_Penjualan_20248[[#This Row],[ID_Pelanggan]], Data_Pelanggan[], 4, 0)</f>
        <v>Makassar</v>
      </c>
      <c r="I605" s="1" t="str">
        <f>VLOOKUP(Summary_Laporan_Penjualan_20248[[#This Row],[ID_Produk]], Data_Produk[], 6, 0)</f>
        <v>Depok</v>
      </c>
      <c r="J605" s="1">
        <f>VLOOKUP(Summary_Laporan_Penjualan_20248[[#This Row],[ID_Produk]], Data_Produk[], 7, 0)</f>
        <v>5000000</v>
      </c>
      <c r="K605" s="1">
        <f>VLOOKUP(Summary_Laporan_Penjualan_20248[[#This Row],[ID_Produk]], Data_Produk[], 8, 0)</f>
        <v>7546000</v>
      </c>
    </row>
    <row r="606" spans="1:11" x14ac:dyDescent="0.35">
      <c r="A606" s="1" t="s">
        <v>1256</v>
      </c>
      <c r="B606" s="1" t="s">
        <v>141</v>
      </c>
      <c r="C606" s="1" t="s">
        <v>35</v>
      </c>
      <c r="D606" s="1" t="s">
        <v>124</v>
      </c>
      <c r="E606">
        <v>6</v>
      </c>
      <c r="F606" s="2">
        <v>45324</v>
      </c>
      <c r="G606" s="1" t="str">
        <f>VLOOKUP(Summary_Laporan_Penjualan_20248[[#This Row],[ID_Pelanggan]], Data_Pelanggan[], 2, 0)</f>
        <v>PT Digital Nusantara</v>
      </c>
      <c r="H606" s="1" t="str">
        <f>VLOOKUP(Summary_Laporan_Penjualan_20248[[#This Row],[ID_Pelanggan]], Data_Pelanggan[], 4, 0)</f>
        <v>Jakarta</v>
      </c>
      <c r="I606" s="1" t="str">
        <f>VLOOKUP(Summary_Laporan_Penjualan_20248[[#This Row],[ID_Produk]], Data_Produk[], 6, 0)</f>
        <v>Semarang</v>
      </c>
      <c r="J606" s="1">
        <f>VLOOKUP(Summary_Laporan_Penjualan_20248[[#This Row],[ID_Produk]], Data_Produk[], 7, 0)</f>
        <v>400000</v>
      </c>
      <c r="K606" s="1">
        <f>VLOOKUP(Summary_Laporan_Penjualan_20248[[#This Row],[ID_Produk]], Data_Produk[], 8, 0)</f>
        <v>623000</v>
      </c>
    </row>
    <row r="607" spans="1:11" x14ac:dyDescent="0.35">
      <c r="A607" s="1" t="s">
        <v>1258</v>
      </c>
      <c r="B607" s="1" t="s">
        <v>172</v>
      </c>
      <c r="C607" s="1" t="s">
        <v>69</v>
      </c>
      <c r="D607" s="1" t="s">
        <v>157</v>
      </c>
      <c r="E607">
        <v>13</v>
      </c>
      <c r="F607" s="2">
        <v>45469</v>
      </c>
      <c r="G607" s="1" t="str">
        <f>VLOOKUP(Summary_Laporan_Penjualan_20248[[#This Row],[ID_Pelanggan]], Data_Pelanggan[], 2, 0)</f>
        <v>PT Teknologi Prima</v>
      </c>
      <c r="H607" s="1" t="str">
        <f>VLOOKUP(Summary_Laporan_Penjualan_20248[[#This Row],[ID_Pelanggan]], Data_Pelanggan[], 4, 0)</f>
        <v>Jakarta</v>
      </c>
      <c r="I607" s="1" t="str">
        <f>VLOOKUP(Summary_Laporan_Penjualan_20248[[#This Row],[ID_Produk]], Data_Produk[], 6, 0)</f>
        <v>Semarang</v>
      </c>
      <c r="J607" s="1">
        <f>VLOOKUP(Summary_Laporan_Penjualan_20248[[#This Row],[ID_Produk]], Data_Produk[], 7, 0)</f>
        <v>950000</v>
      </c>
      <c r="K607" s="1">
        <f>VLOOKUP(Summary_Laporan_Penjualan_20248[[#This Row],[ID_Produk]], Data_Produk[], 8, 0)</f>
        <v>1649000</v>
      </c>
    </row>
    <row r="608" spans="1:11" x14ac:dyDescent="0.35">
      <c r="A608" s="1" t="s">
        <v>1260</v>
      </c>
      <c r="B608" s="1" t="s">
        <v>197</v>
      </c>
      <c r="C608" s="1" t="s">
        <v>45</v>
      </c>
      <c r="D608" s="1" t="s">
        <v>171</v>
      </c>
      <c r="E608">
        <v>13</v>
      </c>
      <c r="F608" s="2">
        <v>45519</v>
      </c>
      <c r="G608" s="1" t="str">
        <f>VLOOKUP(Summary_Laporan_Penjualan_20248[[#This Row],[ID_Pelanggan]], Data_Pelanggan[], 2, 0)</f>
        <v>CV Techno</v>
      </c>
      <c r="H608" s="1" t="str">
        <f>VLOOKUP(Summary_Laporan_Penjualan_20248[[#This Row],[ID_Pelanggan]], Data_Pelanggan[], 4, 0)</f>
        <v>Yogyakarta</v>
      </c>
      <c r="I608" s="1" t="str">
        <f>VLOOKUP(Summary_Laporan_Penjualan_20248[[#This Row],[ID_Produk]], Data_Produk[], 6, 0)</f>
        <v>Jakarta</v>
      </c>
      <c r="J608" s="1">
        <f>VLOOKUP(Summary_Laporan_Penjualan_20248[[#This Row],[ID_Produk]], Data_Produk[], 7, 0)</f>
        <v>1200000</v>
      </c>
      <c r="K608" s="1">
        <f>VLOOKUP(Summary_Laporan_Penjualan_20248[[#This Row],[ID_Produk]], Data_Produk[], 8, 0)</f>
        <v>1375000</v>
      </c>
    </row>
    <row r="609" spans="1:11" x14ac:dyDescent="0.35">
      <c r="A609" s="1" t="s">
        <v>1261</v>
      </c>
      <c r="B609" s="1" t="s">
        <v>168</v>
      </c>
      <c r="C609" s="1" t="s">
        <v>51</v>
      </c>
      <c r="D609" s="1" t="s">
        <v>143</v>
      </c>
      <c r="E609">
        <v>5</v>
      </c>
      <c r="F609" s="2">
        <v>45515</v>
      </c>
      <c r="G609" s="1" t="str">
        <f>VLOOKUP(Summary_Laporan_Penjualan_20248[[#This Row],[ID_Pelanggan]], Data_Pelanggan[], 2, 0)</f>
        <v>Toko Musik Digital</v>
      </c>
      <c r="H609" s="1" t="str">
        <f>VLOOKUP(Summary_Laporan_Penjualan_20248[[#This Row],[ID_Pelanggan]], Data_Pelanggan[], 4, 0)</f>
        <v>Denpasar</v>
      </c>
      <c r="I609" s="1" t="str">
        <f>VLOOKUP(Summary_Laporan_Penjualan_20248[[#This Row],[ID_Produk]], Data_Produk[], 6, 0)</f>
        <v>Semarang</v>
      </c>
      <c r="J609" s="1">
        <f>VLOOKUP(Summary_Laporan_Penjualan_20248[[#This Row],[ID_Produk]], Data_Produk[], 7, 0)</f>
        <v>500000</v>
      </c>
      <c r="K609" s="1">
        <f>VLOOKUP(Summary_Laporan_Penjualan_20248[[#This Row],[ID_Produk]], Data_Produk[], 8, 0)</f>
        <v>844000</v>
      </c>
    </row>
    <row r="610" spans="1:11" x14ac:dyDescent="0.35">
      <c r="A610" s="1" t="s">
        <v>1262</v>
      </c>
      <c r="B610" s="1" t="s">
        <v>113</v>
      </c>
      <c r="C610" s="1" t="s">
        <v>57</v>
      </c>
      <c r="D610" s="1" t="s">
        <v>171</v>
      </c>
      <c r="E610">
        <v>3</v>
      </c>
      <c r="F610" s="2">
        <v>45642</v>
      </c>
      <c r="G610" s="1" t="str">
        <f>VLOOKUP(Summary_Laporan_Penjualan_20248[[#This Row],[ID_Pelanggan]], Data_Pelanggan[], 2, 0)</f>
        <v>PT Karya Mandiri</v>
      </c>
      <c r="H610" s="1" t="str">
        <f>VLOOKUP(Summary_Laporan_Penjualan_20248[[#This Row],[ID_Pelanggan]], Data_Pelanggan[], 4, 0)</f>
        <v>Makassar</v>
      </c>
      <c r="I610" s="1" t="str">
        <f>VLOOKUP(Summary_Laporan_Penjualan_20248[[#This Row],[ID_Produk]], Data_Produk[], 6, 0)</f>
        <v>Depok</v>
      </c>
      <c r="J610" s="1">
        <f>VLOOKUP(Summary_Laporan_Penjualan_20248[[#This Row],[ID_Produk]], Data_Produk[], 7, 0)</f>
        <v>4500000</v>
      </c>
      <c r="K610" s="1">
        <f>VLOOKUP(Summary_Laporan_Penjualan_20248[[#This Row],[ID_Produk]], Data_Produk[], 8, 0)</f>
        <v>5522000</v>
      </c>
    </row>
    <row r="611" spans="1:11" x14ac:dyDescent="0.35">
      <c r="A611" s="1" t="s">
        <v>1264</v>
      </c>
      <c r="B611" s="1" t="s">
        <v>176</v>
      </c>
      <c r="C611" s="1" t="s">
        <v>8</v>
      </c>
      <c r="D611" s="1" t="s">
        <v>128</v>
      </c>
      <c r="E611">
        <v>14</v>
      </c>
      <c r="F611" s="2">
        <v>45582</v>
      </c>
      <c r="G611" s="1" t="str">
        <f>VLOOKUP(Summary_Laporan_Penjualan_20248[[#This Row],[ID_Pelanggan]], Data_Pelanggan[], 2, 0)</f>
        <v>PT Maju Jaya</v>
      </c>
      <c r="H611" s="1" t="str">
        <f>VLOOKUP(Summary_Laporan_Penjualan_20248[[#This Row],[ID_Pelanggan]], Data_Pelanggan[], 4, 0)</f>
        <v>Jakarta</v>
      </c>
      <c r="I611" s="1" t="str">
        <f>VLOOKUP(Summary_Laporan_Penjualan_20248[[#This Row],[ID_Produk]], Data_Produk[], 6, 0)</f>
        <v>Depok</v>
      </c>
      <c r="J611" s="1">
        <f>VLOOKUP(Summary_Laporan_Penjualan_20248[[#This Row],[ID_Produk]], Data_Produk[], 7, 0)</f>
        <v>1500000</v>
      </c>
      <c r="K611" s="1">
        <f>VLOOKUP(Summary_Laporan_Penjualan_20248[[#This Row],[ID_Produk]], Data_Produk[], 8, 0)</f>
        <v>1772000</v>
      </c>
    </row>
    <row r="612" spans="1:11" x14ac:dyDescent="0.35">
      <c r="A612" s="1" t="s">
        <v>1266</v>
      </c>
      <c r="B612" s="1" t="s">
        <v>240</v>
      </c>
      <c r="C612" s="1" t="s">
        <v>57</v>
      </c>
      <c r="D612" s="1" t="s">
        <v>121</v>
      </c>
      <c r="E612">
        <v>7</v>
      </c>
      <c r="F612" s="2">
        <v>45453</v>
      </c>
      <c r="G612" s="1" t="str">
        <f>VLOOKUP(Summary_Laporan_Penjualan_20248[[#This Row],[ID_Pelanggan]], Data_Pelanggan[], 2, 0)</f>
        <v>PT Karya Mandiri</v>
      </c>
      <c r="H612" s="1" t="str">
        <f>VLOOKUP(Summary_Laporan_Penjualan_20248[[#This Row],[ID_Pelanggan]], Data_Pelanggan[], 4, 0)</f>
        <v>Makassar</v>
      </c>
      <c r="I612" s="1" t="str">
        <f>VLOOKUP(Summary_Laporan_Penjualan_20248[[#This Row],[ID_Produk]], Data_Produk[], 6, 0)</f>
        <v>Semarang</v>
      </c>
      <c r="J612" s="1">
        <f>VLOOKUP(Summary_Laporan_Penjualan_20248[[#This Row],[ID_Produk]], Data_Produk[], 7, 0)</f>
        <v>350000</v>
      </c>
      <c r="K612" s="1">
        <f>VLOOKUP(Summary_Laporan_Penjualan_20248[[#This Row],[ID_Produk]], Data_Produk[], 8, 0)</f>
        <v>626000</v>
      </c>
    </row>
    <row r="613" spans="1:11" x14ac:dyDescent="0.35">
      <c r="A613" s="1" t="s">
        <v>1268</v>
      </c>
      <c r="B613" s="1" t="s">
        <v>164</v>
      </c>
      <c r="C613" s="1" t="s">
        <v>15</v>
      </c>
      <c r="D613" s="1" t="s">
        <v>121</v>
      </c>
      <c r="E613">
        <v>1</v>
      </c>
      <c r="F613" s="2">
        <v>45582</v>
      </c>
      <c r="G613" s="1" t="str">
        <f>VLOOKUP(Summary_Laporan_Penjualan_20248[[#This Row],[ID_Pelanggan]], Data_Pelanggan[], 2, 0)</f>
        <v>CV Berkah</v>
      </c>
      <c r="H613" s="1" t="str">
        <f>VLOOKUP(Summary_Laporan_Penjualan_20248[[#This Row],[ID_Pelanggan]], Data_Pelanggan[], 4, 0)</f>
        <v>Bandung</v>
      </c>
      <c r="I613" s="1" t="str">
        <f>VLOOKUP(Summary_Laporan_Penjualan_20248[[#This Row],[ID_Produk]], Data_Produk[], 6, 0)</f>
        <v>Jakarta</v>
      </c>
      <c r="J613" s="1">
        <f>VLOOKUP(Summary_Laporan_Penjualan_20248[[#This Row],[ID_Produk]], Data_Produk[], 7, 0)</f>
        <v>750000</v>
      </c>
      <c r="K613" s="1">
        <f>VLOOKUP(Summary_Laporan_Penjualan_20248[[#This Row],[ID_Produk]], Data_Produk[], 8, 0)</f>
        <v>971000</v>
      </c>
    </row>
    <row r="614" spans="1:11" x14ac:dyDescent="0.35">
      <c r="A614" s="1" t="s">
        <v>1270</v>
      </c>
      <c r="B614" s="1" t="s">
        <v>168</v>
      </c>
      <c r="C614" s="1" t="s">
        <v>57</v>
      </c>
      <c r="D614" s="1" t="s">
        <v>171</v>
      </c>
      <c r="E614">
        <v>4</v>
      </c>
      <c r="F614" s="2">
        <v>45409</v>
      </c>
      <c r="G614" s="1" t="str">
        <f>VLOOKUP(Summary_Laporan_Penjualan_20248[[#This Row],[ID_Pelanggan]], Data_Pelanggan[], 2, 0)</f>
        <v>PT Karya Mandiri</v>
      </c>
      <c r="H614" s="1" t="str">
        <f>VLOOKUP(Summary_Laporan_Penjualan_20248[[#This Row],[ID_Pelanggan]], Data_Pelanggan[], 4, 0)</f>
        <v>Makassar</v>
      </c>
      <c r="I614" s="1" t="str">
        <f>VLOOKUP(Summary_Laporan_Penjualan_20248[[#This Row],[ID_Produk]], Data_Produk[], 6, 0)</f>
        <v>Semarang</v>
      </c>
      <c r="J614" s="1">
        <f>VLOOKUP(Summary_Laporan_Penjualan_20248[[#This Row],[ID_Produk]], Data_Produk[], 7, 0)</f>
        <v>500000</v>
      </c>
      <c r="K614" s="1">
        <f>VLOOKUP(Summary_Laporan_Penjualan_20248[[#This Row],[ID_Produk]], Data_Produk[], 8, 0)</f>
        <v>844000</v>
      </c>
    </row>
    <row r="615" spans="1:11" x14ac:dyDescent="0.35">
      <c r="A615" s="1" t="s">
        <v>1272</v>
      </c>
      <c r="B615" s="1" t="s">
        <v>141</v>
      </c>
      <c r="C615" s="1" t="s">
        <v>63</v>
      </c>
      <c r="D615" s="1" t="s">
        <v>128</v>
      </c>
      <c r="E615">
        <v>2</v>
      </c>
      <c r="F615" s="2">
        <v>45526</v>
      </c>
      <c r="G615" s="1" t="str">
        <f>VLOOKUP(Summary_Laporan_Penjualan_20248[[#This Row],[ID_Pelanggan]], Data_Pelanggan[], 2, 0)</f>
        <v>UD Makmur</v>
      </c>
      <c r="H615" s="1" t="str">
        <f>VLOOKUP(Summary_Laporan_Penjualan_20248[[#This Row],[ID_Pelanggan]], Data_Pelanggan[], 4, 0)</f>
        <v>Palembang</v>
      </c>
      <c r="I615" s="1" t="str">
        <f>VLOOKUP(Summary_Laporan_Penjualan_20248[[#This Row],[ID_Produk]], Data_Produk[], 6, 0)</f>
        <v>Semarang</v>
      </c>
      <c r="J615" s="1">
        <f>VLOOKUP(Summary_Laporan_Penjualan_20248[[#This Row],[ID_Produk]], Data_Produk[], 7, 0)</f>
        <v>400000</v>
      </c>
      <c r="K615" s="1">
        <f>VLOOKUP(Summary_Laporan_Penjualan_20248[[#This Row],[ID_Produk]], Data_Produk[], 8, 0)</f>
        <v>623000</v>
      </c>
    </row>
    <row r="616" spans="1:11" x14ac:dyDescent="0.35">
      <c r="A616" s="1" t="s">
        <v>1274</v>
      </c>
      <c r="B616" s="1" t="s">
        <v>116</v>
      </c>
      <c r="C616" s="1" t="s">
        <v>82</v>
      </c>
      <c r="D616" s="1" t="s">
        <v>128</v>
      </c>
      <c r="E616">
        <v>9</v>
      </c>
      <c r="F616" s="2">
        <v>45462</v>
      </c>
      <c r="G616" s="1" t="str">
        <f>VLOOKUP(Summary_Laporan_Penjualan_20248[[#This Row],[ID_Pelanggan]], Data_Pelanggan[], 2, 0)</f>
        <v>Toko Komputer Maju</v>
      </c>
      <c r="H616" s="1" t="str">
        <f>VLOOKUP(Summary_Laporan_Penjualan_20248[[#This Row],[ID_Pelanggan]], Data_Pelanggan[], 4, 0)</f>
        <v>Solo</v>
      </c>
      <c r="I616" s="1" t="str">
        <f>VLOOKUP(Summary_Laporan_Penjualan_20248[[#This Row],[ID_Produk]], Data_Produk[], 6, 0)</f>
        <v>Depok</v>
      </c>
      <c r="J616" s="1">
        <f>VLOOKUP(Summary_Laporan_Penjualan_20248[[#This Row],[ID_Produk]], Data_Produk[], 7, 0)</f>
        <v>5000000</v>
      </c>
      <c r="K616" s="1">
        <f>VLOOKUP(Summary_Laporan_Penjualan_20248[[#This Row],[ID_Produk]], Data_Produk[], 8, 0)</f>
        <v>7546000</v>
      </c>
    </row>
    <row r="617" spans="1:11" x14ac:dyDescent="0.35">
      <c r="A617" s="1" t="s">
        <v>1276</v>
      </c>
      <c r="B617" s="1" t="s">
        <v>197</v>
      </c>
      <c r="C617" s="1" t="s">
        <v>63</v>
      </c>
      <c r="D617" s="1" t="s">
        <v>128</v>
      </c>
      <c r="E617">
        <v>6</v>
      </c>
      <c r="F617" s="2">
        <v>45410</v>
      </c>
      <c r="G617" s="1" t="str">
        <f>VLOOKUP(Summary_Laporan_Penjualan_20248[[#This Row],[ID_Pelanggan]], Data_Pelanggan[], 2, 0)</f>
        <v>UD Makmur</v>
      </c>
      <c r="H617" s="1" t="str">
        <f>VLOOKUP(Summary_Laporan_Penjualan_20248[[#This Row],[ID_Pelanggan]], Data_Pelanggan[], 4, 0)</f>
        <v>Palembang</v>
      </c>
      <c r="I617" s="1" t="str">
        <f>VLOOKUP(Summary_Laporan_Penjualan_20248[[#This Row],[ID_Produk]], Data_Produk[], 6, 0)</f>
        <v>Jakarta</v>
      </c>
      <c r="J617" s="1">
        <f>VLOOKUP(Summary_Laporan_Penjualan_20248[[#This Row],[ID_Produk]], Data_Produk[], 7, 0)</f>
        <v>1200000</v>
      </c>
      <c r="K617" s="1">
        <f>VLOOKUP(Summary_Laporan_Penjualan_20248[[#This Row],[ID_Produk]], Data_Produk[], 8, 0)</f>
        <v>1375000</v>
      </c>
    </row>
    <row r="618" spans="1:11" x14ac:dyDescent="0.35">
      <c r="A618" s="1" t="s">
        <v>1278</v>
      </c>
      <c r="B618" s="1" t="s">
        <v>137</v>
      </c>
      <c r="C618" s="1" t="s">
        <v>69</v>
      </c>
      <c r="D618" s="1" t="s">
        <v>157</v>
      </c>
      <c r="E618">
        <v>8</v>
      </c>
      <c r="F618" s="2">
        <v>45584</v>
      </c>
      <c r="G618" s="1" t="str">
        <f>VLOOKUP(Summary_Laporan_Penjualan_20248[[#This Row],[ID_Pelanggan]], Data_Pelanggan[], 2, 0)</f>
        <v>PT Teknologi Prima</v>
      </c>
      <c r="H618" s="1" t="str">
        <f>VLOOKUP(Summary_Laporan_Penjualan_20248[[#This Row],[ID_Pelanggan]], Data_Pelanggan[], 4, 0)</f>
        <v>Jakarta</v>
      </c>
      <c r="I618" s="1" t="str">
        <f>VLOOKUP(Summary_Laporan_Penjualan_20248[[#This Row],[ID_Produk]], Data_Produk[], 6, 0)</f>
        <v>Jakarta</v>
      </c>
      <c r="J618" s="1">
        <f>VLOOKUP(Summary_Laporan_Penjualan_20248[[#This Row],[ID_Produk]], Data_Produk[], 7, 0)</f>
        <v>2000000</v>
      </c>
      <c r="K618" s="1">
        <f>VLOOKUP(Summary_Laporan_Penjualan_20248[[#This Row],[ID_Produk]], Data_Produk[], 8, 0)</f>
        <v>2533000</v>
      </c>
    </row>
    <row r="619" spans="1:11" x14ac:dyDescent="0.35">
      <c r="A619" s="1" t="s">
        <v>1280</v>
      </c>
      <c r="B619" s="1" t="s">
        <v>172</v>
      </c>
      <c r="C619" s="1" t="s">
        <v>57</v>
      </c>
      <c r="D619" s="1" t="s">
        <v>128</v>
      </c>
      <c r="E619">
        <v>10</v>
      </c>
      <c r="F619" s="2">
        <v>45652</v>
      </c>
      <c r="G619" s="1" t="str">
        <f>VLOOKUP(Summary_Laporan_Penjualan_20248[[#This Row],[ID_Pelanggan]], Data_Pelanggan[], 2, 0)</f>
        <v>PT Karya Mandiri</v>
      </c>
      <c r="H619" s="1" t="str">
        <f>VLOOKUP(Summary_Laporan_Penjualan_20248[[#This Row],[ID_Pelanggan]], Data_Pelanggan[], 4, 0)</f>
        <v>Makassar</v>
      </c>
      <c r="I619" s="1" t="str">
        <f>VLOOKUP(Summary_Laporan_Penjualan_20248[[#This Row],[ID_Produk]], Data_Produk[], 6, 0)</f>
        <v>Semarang</v>
      </c>
      <c r="J619" s="1">
        <f>VLOOKUP(Summary_Laporan_Penjualan_20248[[#This Row],[ID_Produk]], Data_Produk[], 7, 0)</f>
        <v>950000</v>
      </c>
      <c r="K619" s="1">
        <f>VLOOKUP(Summary_Laporan_Penjualan_20248[[#This Row],[ID_Produk]], Data_Produk[], 8, 0)</f>
        <v>1649000</v>
      </c>
    </row>
    <row r="620" spans="1:11" x14ac:dyDescent="0.35">
      <c r="A620" s="1" t="s">
        <v>1282</v>
      </c>
      <c r="B620" s="1" t="s">
        <v>106</v>
      </c>
      <c r="C620" s="1" t="s">
        <v>78</v>
      </c>
      <c r="D620" s="1" t="s">
        <v>157</v>
      </c>
      <c r="E620">
        <v>5</v>
      </c>
      <c r="F620" s="2">
        <v>45326</v>
      </c>
      <c r="G620" s="1" t="str">
        <f>VLOOKUP(Summary_Laporan_Penjualan_20248[[#This Row],[ID_Pelanggan]], Data_Pelanggan[], 2, 0)</f>
        <v>CV Sinar Terang</v>
      </c>
      <c r="H620" s="1" t="str">
        <f>VLOOKUP(Summary_Laporan_Penjualan_20248[[#This Row],[ID_Pelanggan]], Data_Pelanggan[], 4, 0)</f>
        <v>Bandung</v>
      </c>
      <c r="I620" s="1" t="str">
        <f>VLOOKUP(Summary_Laporan_Penjualan_20248[[#This Row],[ID_Produk]], Data_Produk[], 6, 0)</f>
        <v>Depok</v>
      </c>
      <c r="J620" s="1">
        <f>VLOOKUP(Summary_Laporan_Penjualan_20248[[#This Row],[ID_Produk]], Data_Produk[], 7, 0)</f>
        <v>300000</v>
      </c>
      <c r="K620" s="1">
        <f>VLOOKUP(Summary_Laporan_Penjualan_20248[[#This Row],[ID_Produk]], Data_Produk[], 8, 0)</f>
        <v>355000</v>
      </c>
    </row>
    <row r="621" spans="1:11" x14ac:dyDescent="0.35">
      <c r="A621" s="1" t="s">
        <v>1282</v>
      </c>
      <c r="B621" s="1" t="s">
        <v>197</v>
      </c>
      <c r="C621" s="1" t="s">
        <v>78</v>
      </c>
      <c r="D621" s="1" t="s">
        <v>157</v>
      </c>
      <c r="E621">
        <v>5</v>
      </c>
      <c r="F621" s="2">
        <v>45326</v>
      </c>
      <c r="G621" s="1" t="str">
        <f>VLOOKUP(Summary_Laporan_Penjualan_20248[[#This Row],[ID_Pelanggan]], Data_Pelanggan[], 2, 0)</f>
        <v>CV Sinar Terang</v>
      </c>
      <c r="H621" s="1" t="str">
        <f>VLOOKUP(Summary_Laporan_Penjualan_20248[[#This Row],[ID_Pelanggan]], Data_Pelanggan[], 4, 0)</f>
        <v>Bandung</v>
      </c>
      <c r="I621" s="1" t="str">
        <f>VLOOKUP(Summary_Laporan_Penjualan_20248[[#This Row],[ID_Produk]], Data_Produk[], 6, 0)</f>
        <v>Jakarta</v>
      </c>
      <c r="J621" s="1">
        <f>VLOOKUP(Summary_Laporan_Penjualan_20248[[#This Row],[ID_Produk]], Data_Produk[], 7, 0)</f>
        <v>1200000</v>
      </c>
      <c r="K621" s="1">
        <f>VLOOKUP(Summary_Laporan_Penjualan_20248[[#This Row],[ID_Produk]], Data_Produk[], 8, 0)</f>
        <v>1375000</v>
      </c>
    </row>
    <row r="622" spans="1:11" x14ac:dyDescent="0.35">
      <c r="A622" s="1" t="s">
        <v>1282</v>
      </c>
      <c r="B622" s="1" t="s">
        <v>116</v>
      </c>
      <c r="C622" s="1" t="s">
        <v>78</v>
      </c>
      <c r="D622" s="1" t="s">
        <v>157</v>
      </c>
      <c r="E622">
        <v>5</v>
      </c>
      <c r="F622" s="2">
        <v>45326</v>
      </c>
      <c r="G622" s="1" t="str">
        <f>VLOOKUP(Summary_Laporan_Penjualan_20248[[#This Row],[ID_Pelanggan]], Data_Pelanggan[], 2, 0)</f>
        <v>CV Sinar Terang</v>
      </c>
      <c r="H622" s="1" t="str">
        <f>VLOOKUP(Summary_Laporan_Penjualan_20248[[#This Row],[ID_Pelanggan]], Data_Pelanggan[], 4, 0)</f>
        <v>Bandung</v>
      </c>
      <c r="I622" s="1" t="str">
        <f>VLOOKUP(Summary_Laporan_Penjualan_20248[[#This Row],[ID_Produk]], Data_Produk[], 6, 0)</f>
        <v>Depok</v>
      </c>
      <c r="J622" s="1">
        <f>VLOOKUP(Summary_Laporan_Penjualan_20248[[#This Row],[ID_Produk]], Data_Produk[], 7, 0)</f>
        <v>5000000</v>
      </c>
      <c r="K622" s="1">
        <f>VLOOKUP(Summary_Laporan_Penjualan_20248[[#This Row],[ID_Produk]], Data_Produk[], 8, 0)</f>
        <v>7546000</v>
      </c>
    </row>
    <row r="623" spans="1:11" x14ac:dyDescent="0.35">
      <c r="A623" s="1" t="s">
        <v>1284</v>
      </c>
      <c r="B623" s="1" t="s">
        <v>172</v>
      </c>
      <c r="C623" s="1" t="s">
        <v>21</v>
      </c>
      <c r="D623" s="1" t="s">
        <v>171</v>
      </c>
      <c r="E623">
        <v>13</v>
      </c>
      <c r="F623" s="2">
        <v>45513</v>
      </c>
      <c r="G623" s="1" t="str">
        <f>VLOOKUP(Summary_Laporan_Penjualan_20248[[#This Row],[ID_Pelanggan]], Data_Pelanggan[], 2, 0)</f>
        <v>Toko Komputer Sejahtera</v>
      </c>
      <c r="H623" s="1" t="str">
        <f>VLOOKUP(Summary_Laporan_Penjualan_20248[[#This Row],[ID_Pelanggan]], Data_Pelanggan[], 4, 0)</f>
        <v>Surabaya</v>
      </c>
      <c r="I623" s="1" t="str">
        <f>VLOOKUP(Summary_Laporan_Penjualan_20248[[#This Row],[ID_Produk]], Data_Produk[], 6, 0)</f>
        <v>Semarang</v>
      </c>
      <c r="J623" s="1">
        <f>VLOOKUP(Summary_Laporan_Penjualan_20248[[#This Row],[ID_Produk]], Data_Produk[], 7, 0)</f>
        <v>950000</v>
      </c>
      <c r="K623" s="1">
        <f>VLOOKUP(Summary_Laporan_Penjualan_20248[[#This Row],[ID_Produk]], Data_Produk[], 8, 0)</f>
        <v>1649000</v>
      </c>
    </row>
    <row r="624" spans="1:11" x14ac:dyDescent="0.35">
      <c r="A624" s="1" t="s">
        <v>1286</v>
      </c>
      <c r="B624" s="1" t="s">
        <v>168</v>
      </c>
      <c r="C624" s="1" t="s">
        <v>21</v>
      </c>
      <c r="D624" s="1" t="s">
        <v>171</v>
      </c>
      <c r="E624">
        <v>7</v>
      </c>
      <c r="F624" s="2">
        <v>45341</v>
      </c>
      <c r="G624" s="1" t="str">
        <f>VLOOKUP(Summary_Laporan_Penjualan_20248[[#This Row],[ID_Pelanggan]], Data_Pelanggan[], 2, 0)</f>
        <v>Toko Komputer Sejahtera</v>
      </c>
      <c r="H624" s="1" t="str">
        <f>VLOOKUP(Summary_Laporan_Penjualan_20248[[#This Row],[ID_Pelanggan]], Data_Pelanggan[], 4, 0)</f>
        <v>Surabaya</v>
      </c>
      <c r="I624" s="1" t="str">
        <f>VLOOKUP(Summary_Laporan_Penjualan_20248[[#This Row],[ID_Produk]], Data_Produk[], 6, 0)</f>
        <v>Semarang</v>
      </c>
      <c r="J624" s="1">
        <f>VLOOKUP(Summary_Laporan_Penjualan_20248[[#This Row],[ID_Produk]], Data_Produk[], 7, 0)</f>
        <v>500000</v>
      </c>
      <c r="K624" s="1">
        <f>VLOOKUP(Summary_Laporan_Penjualan_20248[[#This Row],[ID_Produk]], Data_Produk[], 8, 0)</f>
        <v>844000</v>
      </c>
    </row>
    <row r="625" spans="1:11" x14ac:dyDescent="0.35">
      <c r="A625" s="1" t="s">
        <v>1288</v>
      </c>
      <c r="B625" s="1" t="s">
        <v>106</v>
      </c>
      <c r="C625" s="1" t="s">
        <v>29</v>
      </c>
      <c r="D625" s="1" t="s">
        <v>121</v>
      </c>
      <c r="E625">
        <v>2</v>
      </c>
      <c r="F625" s="2">
        <v>45405</v>
      </c>
      <c r="G625" s="1" t="str">
        <f>VLOOKUP(Summary_Laporan_Penjualan_20248[[#This Row],[ID_Pelanggan]], Data_Pelanggan[], 2, 0)</f>
        <v>UD Sentosa</v>
      </c>
      <c r="H625" s="1" t="str">
        <f>VLOOKUP(Summary_Laporan_Penjualan_20248[[#This Row],[ID_Pelanggan]], Data_Pelanggan[], 4, 0)</f>
        <v>Medan</v>
      </c>
      <c r="I625" s="1" t="str">
        <f>VLOOKUP(Summary_Laporan_Penjualan_20248[[#This Row],[ID_Produk]], Data_Produk[], 6, 0)</f>
        <v>Depok</v>
      </c>
      <c r="J625" s="1">
        <f>VLOOKUP(Summary_Laporan_Penjualan_20248[[#This Row],[ID_Produk]], Data_Produk[], 7, 0)</f>
        <v>300000</v>
      </c>
      <c r="K625" s="1">
        <f>VLOOKUP(Summary_Laporan_Penjualan_20248[[#This Row],[ID_Produk]], Data_Produk[], 8, 0)</f>
        <v>355000</v>
      </c>
    </row>
    <row r="626" spans="1:11" x14ac:dyDescent="0.35">
      <c r="A626" s="1" t="s">
        <v>1290</v>
      </c>
      <c r="B626" s="1" t="s">
        <v>137</v>
      </c>
      <c r="C626" s="1" t="s">
        <v>82</v>
      </c>
      <c r="D626" s="1" t="s">
        <v>128</v>
      </c>
      <c r="E626">
        <v>3</v>
      </c>
      <c r="F626" s="2">
        <v>45621</v>
      </c>
      <c r="G626" s="1" t="str">
        <f>VLOOKUP(Summary_Laporan_Penjualan_20248[[#This Row],[ID_Pelanggan]], Data_Pelanggan[], 2, 0)</f>
        <v>Toko Komputer Maju</v>
      </c>
      <c r="H626" s="1" t="str">
        <f>VLOOKUP(Summary_Laporan_Penjualan_20248[[#This Row],[ID_Pelanggan]], Data_Pelanggan[], 4, 0)</f>
        <v>Solo</v>
      </c>
      <c r="I626" s="1" t="str">
        <f>VLOOKUP(Summary_Laporan_Penjualan_20248[[#This Row],[ID_Produk]], Data_Produk[], 6, 0)</f>
        <v>Jakarta</v>
      </c>
      <c r="J626" s="1">
        <f>VLOOKUP(Summary_Laporan_Penjualan_20248[[#This Row],[ID_Produk]], Data_Produk[], 7, 0)</f>
        <v>2000000</v>
      </c>
      <c r="K626" s="1">
        <f>VLOOKUP(Summary_Laporan_Penjualan_20248[[#This Row],[ID_Produk]], Data_Produk[], 8, 0)</f>
        <v>2533000</v>
      </c>
    </row>
    <row r="627" spans="1:11" x14ac:dyDescent="0.35">
      <c r="A627" s="1" t="s">
        <v>1291</v>
      </c>
      <c r="B627" s="1" t="s">
        <v>113</v>
      </c>
      <c r="C627" s="1" t="s">
        <v>78</v>
      </c>
      <c r="D627" s="1" t="s">
        <v>171</v>
      </c>
      <c r="E627">
        <v>1</v>
      </c>
      <c r="F627" s="2">
        <v>45650</v>
      </c>
      <c r="G627" s="1" t="str">
        <f>VLOOKUP(Summary_Laporan_Penjualan_20248[[#This Row],[ID_Pelanggan]], Data_Pelanggan[], 2, 0)</f>
        <v>CV Sinar Terang</v>
      </c>
      <c r="H627" s="1" t="str">
        <f>VLOOKUP(Summary_Laporan_Penjualan_20248[[#This Row],[ID_Pelanggan]], Data_Pelanggan[], 4, 0)</f>
        <v>Bandung</v>
      </c>
      <c r="I627" s="1" t="str">
        <f>VLOOKUP(Summary_Laporan_Penjualan_20248[[#This Row],[ID_Produk]], Data_Produk[], 6, 0)</f>
        <v>Depok</v>
      </c>
      <c r="J627" s="1">
        <f>VLOOKUP(Summary_Laporan_Penjualan_20248[[#This Row],[ID_Produk]], Data_Produk[], 7, 0)</f>
        <v>4500000</v>
      </c>
      <c r="K627" s="1">
        <f>VLOOKUP(Summary_Laporan_Penjualan_20248[[#This Row],[ID_Produk]], Data_Produk[], 8, 0)</f>
        <v>5522000</v>
      </c>
    </row>
    <row r="628" spans="1:11" x14ac:dyDescent="0.35">
      <c r="A628" s="1" t="s">
        <v>1292</v>
      </c>
      <c r="B628" s="1" t="s">
        <v>149</v>
      </c>
      <c r="C628" s="1" t="s">
        <v>8</v>
      </c>
      <c r="D628" s="1" t="s">
        <v>171</v>
      </c>
      <c r="E628">
        <v>1</v>
      </c>
      <c r="F628" s="2">
        <v>45636</v>
      </c>
      <c r="G628" s="1" t="str">
        <f>VLOOKUP(Summary_Laporan_Penjualan_20248[[#This Row],[ID_Pelanggan]], Data_Pelanggan[], 2, 0)</f>
        <v>PT Maju Jaya</v>
      </c>
      <c r="H628" s="1" t="str">
        <f>VLOOKUP(Summary_Laporan_Penjualan_20248[[#This Row],[ID_Pelanggan]], Data_Pelanggan[], 4, 0)</f>
        <v>Jakarta</v>
      </c>
      <c r="I628" s="1" t="str">
        <f>VLOOKUP(Summary_Laporan_Penjualan_20248[[#This Row],[ID_Produk]], Data_Produk[], 6, 0)</f>
        <v>Semarang</v>
      </c>
      <c r="J628" s="1">
        <f>VLOOKUP(Summary_Laporan_Penjualan_20248[[#This Row],[ID_Produk]], Data_Produk[], 7, 0)</f>
        <v>100000</v>
      </c>
      <c r="K628" s="1">
        <f>VLOOKUP(Summary_Laporan_Penjualan_20248[[#This Row],[ID_Produk]], Data_Produk[], 8, 0)</f>
        <v>169000</v>
      </c>
    </row>
    <row r="629" spans="1:11" x14ac:dyDescent="0.35">
      <c r="A629" s="1" t="s">
        <v>1293</v>
      </c>
      <c r="B629" s="1" t="s">
        <v>116</v>
      </c>
      <c r="C629" s="1" t="s">
        <v>69</v>
      </c>
      <c r="D629" s="1" t="s">
        <v>143</v>
      </c>
      <c r="E629">
        <v>5</v>
      </c>
      <c r="F629" s="2">
        <v>45520</v>
      </c>
      <c r="G629" s="1" t="str">
        <f>VLOOKUP(Summary_Laporan_Penjualan_20248[[#This Row],[ID_Pelanggan]], Data_Pelanggan[], 2, 0)</f>
        <v>PT Teknologi Prima</v>
      </c>
      <c r="H629" s="1" t="str">
        <f>VLOOKUP(Summary_Laporan_Penjualan_20248[[#This Row],[ID_Pelanggan]], Data_Pelanggan[], 4, 0)</f>
        <v>Jakarta</v>
      </c>
      <c r="I629" s="1" t="str">
        <f>VLOOKUP(Summary_Laporan_Penjualan_20248[[#This Row],[ID_Produk]], Data_Produk[], 6, 0)</f>
        <v>Depok</v>
      </c>
      <c r="J629" s="1">
        <f>VLOOKUP(Summary_Laporan_Penjualan_20248[[#This Row],[ID_Produk]], Data_Produk[], 7, 0)</f>
        <v>5000000</v>
      </c>
      <c r="K629" s="1">
        <f>VLOOKUP(Summary_Laporan_Penjualan_20248[[#This Row],[ID_Produk]], Data_Produk[], 8, 0)</f>
        <v>7546000</v>
      </c>
    </row>
    <row r="630" spans="1:11" x14ac:dyDescent="0.35">
      <c r="A630" s="1" t="s">
        <v>1294</v>
      </c>
      <c r="B630" s="1" t="s">
        <v>172</v>
      </c>
      <c r="C630" s="1" t="s">
        <v>73</v>
      </c>
      <c r="D630" s="1" t="s">
        <v>121</v>
      </c>
      <c r="E630">
        <v>9</v>
      </c>
      <c r="F630" s="2">
        <v>45496</v>
      </c>
      <c r="G630" s="1" t="str">
        <f>VLOOKUP(Summary_Laporan_Penjualan_20248[[#This Row],[ID_Pelanggan]], Data_Pelanggan[], 2, 0)</f>
        <v>Toko Gadget Center</v>
      </c>
      <c r="H630" s="1" t="str">
        <f>VLOOKUP(Summary_Laporan_Penjualan_20248[[#This Row],[ID_Pelanggan]], Data_Pelanggan[], 4, 0)</f>
        <v>Malang</v>
      </c>
      <c r="I630" s="1" t="str">
        <f>VLOOKUP(Summary_Laporan_Penjualan_20248[[#This Row],[ID_Produk]], Data_Produk[], 6, 0)</f>
        <v>Semarang</v>
      </c>
      <c r="J630" s="1">
        <f>VLOOKUP(Summary_Laporan_Penjualan_20248[[#This Row],[ID_Produk]], Data_Produk[], 7, 0)</f>
        <v>950000</v>
      </c>
      <c r="K630" s="1">
        <f>VLOOKUP(Summary_Laporan_Penjualan_20248[[#This Row],[ID_Produk]], Data_Produk[], 8, 0)</f>
        <v>1649000</v>
      </c>
    </row>
    <row r="631" spans="1:11" x14ac:dyDescent="0.35">
      <c r="A631" s="1" t="s">
        <v>1295</v>
      </c>
      <c r="B631" s="1" t="s">
        <v>168</v>
      </c>
      <c r="C631" s="1" t="s">
        <v>8</v>
      </c>
      <c r="D631" s="1" t="s">
        <v>143</v>
      </c>
      <c r="E631">
        <v>10</v>
      </c>
      <c r="F631" s="2">
        <v>45424</v>
      </c>
      <c r="G631" s="1" t="str">
        <f>VLOOKUP(Summary_Laporan_Penjualan_20248[[#This Row],[ID_Pelanggan]], Data_Pelanggan[], 2, 0)</f>
        <v>PT Maju Jaya</v>
      </c>
      <c r="H631" s="1" t="str">
        <f>VLOOKUP(Summary_Laporan_Penjualan_20248[[#This Row],[ID_Pelanggan]], Data_Pelanggan[], 4, 0)</f>
        <v>Jakarta</v>
      </c>
      <c r="I631" s="1" t="str">
        <f>VLOOKUP(Summary_Laporan_Penjualan_20248[[#This Row],[ID_Produk]], Data_Produk[], 6, 0)</f>
        <v>Semarang</v>
      </c>
      <c r="J631" s="1">
        <f>VLOOKUP(Summary_Laporan_Penjualan_20248[[#This Row],[ID_Produk]], Data_Produk[], 7, 0)</f>
        <v>500000</v>
      </c>
      <c r="K631" s="1">
        <f>VLOOKUP(Summary_Laporan_Penjualan_20248[[#This Row],[ID_Produk]], Data_Produk[], 8, 0)</f>
        <v>844000</v>
      </c>
    </row>
    <row r="632" spans="1:11" x14ac:dyDescent="0.35">
      <c r="A632" s="1" t="s">
        <v>1296</v>
      </c>
      <c r="B632" s="1" t="s">
        <v>106</v>
      </c>
      <c r="C632" s="1" t="s">
        <v>78</v>
      </c>
      <c r="D632" s="1" t="s">
        <v>128</v>
      </c>
      <c r="E632">
        <v>6</v>
      </c>
      <c r="F632" s="2">
        <v>45296</v>
      </c>
      <c r="G632" s="1" t="str">
        <f>VLOOKUP(Summary_Laporan_Penjualan_20248[[#This Row],[ID_Pelanggan]], Data_Pelanggan[], 2, 0)</f>
        <v>CV Sinar Terang</v>
      </c>
      <c r="H632" s="1" t="str">
        <f>VLOOKUP(Summary_Laporan_Penjualan_20248[[#This Row],[ID_Pelanggan]], Data_Pelanggan[], 4, 0)</f>
        <v>Bandung</v>
      </c>
      <c r="I632" s="1" t="str">
        <f>VLOOKUP(Summary_Laporan_Penjualan_20248[[#This Row],[ID_Produk]], Data_Produk[], 6, 0)</f>
        <v>Depok</v>
      </c>
      <c r="J632" s="1">
        <f>VLOOKUP(Summary_Laporan_Penjualan_20248[[#This Row],[ID_Produk]], Data_Produk[], 7, 0)</f>
        <v>300000</v>
      </c>
      <c r="K632" s="1">
        <f>VLOOKUP(Summary_Laporan_Penjualan_20248[[#This Row],[ID_Produk]], Data_Produk[], 8, 0)</f>
        <v>355000</v>
      </c>
    </row>
    <row r="633" spans="1:11" x14ac:dyDescent="0.35">
      <c r="A633" s="1"/>
      <c r="B633" s="1"/>
      <c r="C633" s="1"/>
      <c r="D633" s="1"/>
      <c r="F633" s="2"/>
      <c r="G633" s="1"/>
      <c r="H633" s="1"/>
      <c r="I633" s="1" t="e">
        <f>VLOOKUP(Summary_Laporan_Penjualan_20248[[#This Row],[ID_Produk]], Data_Produk[], 6, 0)</f>
        <v>#N/A</v>
      </c>
      <c r="J633" s="1" t="e">
        <f>VLOOKUP(Summary_Laporan_Penjualan_20248[[#This Row],[ID_Produk]], Data_Produk[], 7, 0)</f>
        <v>#N/A</v>
      </c>
      <c r="K633" s="1" t="e">
        <f>VLOOKUP(Summary_Laporan_Penjualan_20248[[#This Row],[ID_Produk]], Data_Produk[], 8, 0)</f>
        <v>#N/A</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D2DBA-8E73-4893-8C4A-3638867BA28E}">
  <dimension ref="A1:F632"/>
  <sheetViews>
    <sheetView workbookViewId="0">
      <selection sqref="A1:F632"/>
    </sheetView>
  </sheetViews>
  <sheetFormatPr defaultRowHeight="14.5" x14ac:dyDescent="0.35"/>
  <cols>
    <col min="1" max="1" width="13.7265625" bestFit="1" customWidth="1"/>
    <col min="2" max="2" width="11.6328125" bestFit="1" customWidth="1"/>
    <col min="3" max="3" width="14.36328125" bestFit="1" customWidth="1"/>
    <col min="4" max="4" width="13" bestFit="1" customWidth="1"/>
    <col min="5" max="5" width="9.08984375" bestFit="1" customWidth="1"/>
    <col min="6" max="6" width="15.26953125" bestFit="1" customWidth="1"/>
  </cols>
  <sheetData>
    <row r="1" spans="1:6" x14ac:dyDescent="0.35">
      <c r="A1" t="s">
        <v>99</v>
      </c>
      <c r="B1" t="s">
        <v>101</v>
      </c>
      <c r="C1" t="s">
        <v>0</v>
      </c>
      <c r="D1" t="s">
        <v>103</v>
      </c>
      <c r="E1" t="s">
        <v>102</v>
      </c>
      <c r="F1" t="s">
        <v>1298</v>
      </c>
    </row>
    <row r="2" spans="1:6" x14ac:dyDescent="0.35">
      <c r="A2" s="1" t="s">
        <v>104</v>
      </c>
      <c r="B2" s="1" t="s">
        <v>106</v>
      </c>
      <c r="C2" s="1" t="s">
        <v>39</v>
      </c>
      <c r="D2" s="1" t="s">
        <v>143</v>
      </c>
      <c r="E2">
        <v>4</v>
      </c>
      <c r="F2" s="2">
        <v>45617</v>
      </c>
    </row>
    <row r="3" spans="1:6" x14ac:dyDescent="0.35">
      <c r="A3" s="1" t="s">
        <v>104</v>
      </c>
      <c r="B3" s="1" t="s">
        <v>109</v>
      </c>
      <c r="C3" s="1" t="s">
        <v>39</v>
      </c>
      <c r="D3" s="1" t="s">
        <v>143</v>
      </c>
      <c r="E3">
        <v>2</v>
      </c>
      <c r="F3" s="2">
        <v>45617</v>
      </c>
    </row>
    <row r="4" spans="1:6" x14ac:dyDescent="0.35">
      <c r="A4" s="1" t="s">
        <v>104</v>
      </c>
      <c r="B4" s="1" t="s">
        <v>111</v>
      </c>
      <c r="C4" s="1" t="s">
        <v>39</v>
      </c>
      <c r="D4" s="1" t="s">
        <v>143</v>
      </c>
      <c r="E4">
        <v>3</v>
      </c>
      <c r="F4" s="2">
        <v>45617</v>
      </c>
    </row>
    <row r="5" spans="1:6" x14ac:dyDescent="0.35">
      <c r="A5" s="1" t="s">
        <v>104</v>
      </c>
      <c r="B5" s="1" t="s">
        <v>113</v>
      </c>
      <c r="C5" s="1" t="s">
        <v>39</v>
      </c>
      <c r="D5" s="1" t="s">
        <v>143</v>
      </c>
      <c r="E5">
        <v>10</v>
      </c>
      <c r="F5" s="2">
        <v>45617</v>
      </c>
    </row>
    <row r="6" spans="1:6" x14ac:dyDescent="0.35">
      <c r="A6" s="1" t="s">
        <v>158</v>
      </c>
      <c r="B6" s="1" t="s">
        <v>106</v>
      </c>
      <c r="C6" s="1" t="s">
        <v>82</v>
      </c>
      <c r="D6" s="1" t="s">
        <v>121</v>
      </c>
      <c r="E6">
        <v>4</v>
      </c>
      <c r="F6" s="2">
        <v>45632</v>
      </c>
    </row>
    <row r="7" spans="1:6" x14ac:dyDescent="0.35">
      <c r="A7" s="1" t="s">
        <v>160</v>
      </c>
      <c r="B7" s="1" t="s">
        <v>106</v>
      </c>
      <c r="C7" s="1" t="s">
        <v>78</v>
      </c>
      <c r="D7" s="1" t="s">
        <v>124</v>
      </c>
      <c r="E7">
        <v>8</v>
      </c>
      <c r="F7" s="2">
        <v>45527</v>
      </c>
    </row>
    <row r="8" spans="1:6" x14ac:dyDescent="0.35">
      <c r="A8" s="1" t="s">
        <v>125</v>
      </c>
      <c r="B8" s="1" t="s">
        <v>111</v>
      </c>
      <c r="C8" s="1" t="s">
        <v>78</v>
      </c>
      <c r="D8" s="1" t="s">
        <v>128</v>
      </c>
      <c r="E8">
        <v>7</v>
      </c>
      <c r="F8" s="2">
        <v>45396</v>
      </c>
    </row>
    <row r="9" spans="1:6" x14ac:dyDescent="0.35">
      <c r="A9" s="1" t="s">
        <v>135</v>
      </c>
      <c r="B9" s="1" t="s">
        <v>137</v>
      </c>
      <c r="C9" s="1" t="s">
        <v>21</v>
      </c>
      <c r="D9" s="1" t="s">
        <v>128</v>
      </c>
      <c r="E9">
        <v>9</v>
      </c>
      <c r="F9" s="2">
        <v>45653</v>
      </c>
    </row>
    <row r="10" spans="1:6" x14ac:dyDescent="0.35">
      <c r="A10" s="1" t="s">
        <v>122</v>
      </c>
      <c r="B10" s="1" t="s">
        <v>109</v>
      </c>
      <c r="C10" s="1" t="s">
        <v>29</v>
      </c>
      <c r="D10" s="1" t="s">
        <v>124</v>
      </c>
      <c r="E10">
        <v>2</v>
      </c>
      <c r="F10" s="2">
        <v>45387</v>
      </c>
    </row>
    <row r="11" spans="1:6" x14ac:dyDescent="0.35">
      <c r="A11" s="1" t="s">
        <v>119</v>
      </c>
      <c r="B11" s="1" t="s">
        <v>109</v>
      </c>
      <c r="C11" s="1" t="s">
        <v>69</v>
      </c>
      <c r="D11" s="1" t="s">
        <v>121</v>
      </c>
      <c r="E11">
        <v>4</v>
      </c>
      <c r="F11" s="2">
        <v>45335</v>
      </c>
    </row>
    <row r="12" spans="1:6" x14ac:dyDescent="0.35">
      <c r="A12" s="1" t="s">
        <v>147</v>
      </c>
      <c r="B12" s="1" t="s">
        <v>149</v>
      </c>
      <c r="C12" s="1" t="s">
        <v>35</v>
      </c>
      <c r="D12" s="1" t="s">
        <v>157</v>
      </c>
      <c r="E12">
        <v>9</v>
      </c>
      <c r="F12" s="2">
        <v>45604</v>
      </c>
    </row>
    <row r="13" spans="1:6" x14ac:dyDescent="0.35">
      <c r="A13" s="1" t="s">
        <v>151</v>
      </c>
      <c r="B13" s="1" t="s">
        <v>109</v>
      </c>
      <c r="C13" s="1" t="s">
        <v>51</v>
      </c>
      <c r="D13" s="1" t="s">
        <v>124</v>
      </c>
      <c r="E13">
        <v>1</v>
      </c>
      <c r="F13" s="2">
        <v>45648</v>
      </c>
    </row>
    <row r="14" spans="1:6" x14ac:dyDescent="0.35">
      <c r="A14" s="1" t="s">
        <v>129</v>
      </c>
      <c r="B14" s="1" t="s">
        <v>111</v>
      </c>
      <c r="C14" s="1" t="s">
        <v>87</v>
      </c>
      <c r="D14" s="1" t="s">
        <v>124</v>
      </c>
      <c r="E14">
        <v>7</v>
      </c>
      <c r="F14" s="2">
        <v>45521</v>
      </c>
    </row>
    <row r="15" spans="1:6" x14ac:dyDescent="0.35">
      <c r="A15" s="1" t="s">
        <v>144</v>
      </c>
      <c r="B15" s="1" t="s">
        <v>111</v>
      </c>
      <c r="C15" s="1" t="s">
        <v>87</v>
      </c>
      <c r="D15" s="1" t="s">
        <v>121</v>
      </c>
      <c r="E15">
        <v>14</v>
      </c>
      <c r="F15" s="2">
        <v>45310</v>
      </c>
    </row>
    <row r="16" spans="1:6" x14ac:dyDescent="0.35">
      <c r="A16" s="1" t="s">
        <v>169</v>
      </c>
      <c r="B16" s="1" t="s">
        <v>111</v>
      </c>
      <c r="C16" s="1" t="s">
        <v>87</v>
      </c>
      <c r="D16" s="1" t="s">
        <v>171</v>
      </c>
      <c r="E16">
        <v>1</v>
      </c>
      <c r="F16" s="2">
        <v>45598</v>
      </c>
    </row>
    <row r="17" spans="1:6" x14ac:dyDescent="0.35">
      <c r="A17" s="1" t="s">
        <v>154</v>
      </c>
      <c r="B17" s="1" t="s">
        <v>113</v>
      </c>
      <c r="C17" s="1" t="s">
        <v>87</v>
      </c>
      <c r="D17" s="1" t="s">
        <v>157</v>
      </c>
      <c r="E17">
        <v>8</v>
      </c>
      <c r="F17" s="2">
        <v>45362</v>
      </c>
    </row>
    <row r="18" spans="1:6" x14ac:dyDescent="0.35">
      <c r="A18" s="1" t="s">
        <v>114</v>
      </c>
      <c r="B18" s="1" t="s">
        <v>116</v>
      </c>
      <c r="C18" s="1" t="s">
        <v>35</v>
      </c>
      <c r="D18" s="1" t="s">
        <v>124</v>
      </c>
      <c r="E18">
        <v>14</v>
      </c>
      <c r="F18" s="2">
        <v>45442</v>
      </c>
    </row>
    <row r="19" spans="1:6" x14ac:dyDescent="0.35">
      <c r="A19" s="1" t="s">
        <v>174</v>
      </c>
      <c r="B19" s="1" t="s">
        <v>176</v>
      </c>
      <c r="C19" s="1" t="s">
        <v>82</v>
      </c>
      <c r="D19" s="1" t="s">
        <v>121</v>
      </c>
      <c r="E19">
        <v>7</v>
      </c>
      <c r="F19" s="2">
        <v>45477</v>
      </c>
    </row>
    <row r="20" spans="1:6" x14ac:dyDescent="0.35">
      <c r="A20" s="1" t="s">
        <v>162</v>
      </c>
      <c r="B20" s="1" t="s">
        <v>164</v>
      </c>
      <c r="C20" s="1" t="s">
        <v>39</v>
      </c>
      <c r="D20" s="1" t="s">
        <v>128</v>
      </c>
      <c r="E20">
        <v>15</v>
      </c>
      <c r="F20" s="2">
        <v>45477</v>
      </c>
    </row>
    <row r="21" spans="1:6" x14ac:dyDescent="0.35">
      <c r="A21" s="1" t="s">
        <v>131</v>
      </c>
      <c r="B21" s="1" t="s">
        <v>133</v>
      </c>
      <c r="C21" s="1" t="s">
        <v>39</v>
      </c>
      <c r="D21" s="1" t="s">
        <v>128</v>
      </c>
      <c r="E21">
        <v>3</v>
      </c>
      <c r="F21" s="2">
        <v>45372</v>
      </c>
    </row>
    <row r="22" spans="1:6" x14ac:dyDescent="0.35">
      <c r="A22" s="1" t="s">
        <v>166</v>
      </c>
      <c r="B22" s="1" t="s">
        <v>168</v>
      </c>
      <c r="C22" s="1" t="s">
        <v>39</v>
      </c>
      <c r="D22" s="1" t="s">
        <v>124</v>
      </c>
      <c r="E22">
        <v>1</v>
      </c>
      <c r="F22" s="2">
        <v>45477</v>
      </c>
    </row>
    <row r="23" spans="1:6" x14ac:dyDescent="0.35">
      <c r="A23" s="1" t="s">
        <v>169</v>
      </c>
      <c r="B23" s="1" t="s">
        <v>168</v>
      </c>
      <c r="C23" s="1" t="s">
        <v>87</v>
      </c>
      <c r="D23" s="1" t="s">
        <v>171</v>
      </c>
      <c r="E23">
        <v>1</v>
      </c>
      <c r="F23" s="2">
        <v>45598</v>
      </c>
    </row>
    <row r="24" spans="1:6" x14ac:dyDescent="0.35">
      <c r="A24" s="1" t="s">
        <v>169</v>
      </c>
      <c r="B24" s="1" t="s">
        <v>172</v>
      </c>
      <c r="C24" s="1" t="s">
        <v>87</v>
      </c>
      <c r="D24" s="1" t="s">
        <v>171</v>
      </c>
      <c r="E24">
        <v>1</v>
      </c>
      <c r="F24" s="2">
        <v>45598</v>
      </c>
    </row>
    <row r="25" spans="1:6" x14ac:dyDescent="0.35">
      <c r="A25" s="1" t="s">
        <v>139</v>
      </c>
      <c r="B25" s="1" t="s">
        <v>141</v>
      </c>
      <c r="C25" s="1" t="s">
        <v>73</v>
      </c>
      <c r="D25" s="1" t="s">
        <v>143</v>
      </c>
      <c r="E25">
        <v>6</v>
      </c>
      <c r="F25" s="2">
        <v>45502</v>
      </c>
    </row>
    <row r="26" spans="1:6" x14ac:dyDescent="0.35">
      <c r="A26" s="1" t="s">
        <v>169</v>
      </c>
      <c r="B26" s="1" t="s">
        <v>173</v>
      </c>
      <c r="C26" s="1" t="s">
        <v>87</v>
      </c>
      <c r="D26" s="1" t="s">
        <v>171</v>
      </c>
      <c r="E26">
        <v>1</v>
      </c>
      <c r="F26" s="2">
        <v>45598</v>
      </c>
    </row>
    <row r="27" spans="1:6" x14ac:dyDescent="0.35">
      <c r="A27" s="1" t="s">
        <v>177</v>
      </c>
      <c r="B27" s="1" t="s">
        <v>141</v>
      </c>
      <c r="C27" s="1" t="s">
        <v>29</v>
      </c>
      <c r="D27" s="1" t="s">
        <v>124</v>
      </c>
      <c r="E27">
        <v>14</v>
      </c>
      <c r="F27" s="2">
        <v>45608</v>
      </c>
    </row>
    <row r="28" spans="1:6" x14ac:dyDescent="0.35">
      <c r="A28" s="1" t="s">
        <v>179</v>
      </c>
      <c r="B28" s="1" t="s">
        <v>116</v>
      </c>
      <c r="C28" s="1" t="s">
        <v>63</v>
      </c>
      <c r="D28" s="1" t="s">
        <v>124</v>
      </c>
      <c r="E28">
        <v>6</v>
      </c>
      <c r="F28" s="2">
        <v>45609</v>
      </c>
    </row>
    <row r="29" spans="1:6" x14ac:dyDescent="0.35">
      <c r="A29" s="1" t="s">
        <v>181</v>
      </c>
      <c r="B29" s="1" t="s">
        <v>133</v>
      </c>
      <c r="C29" s="1" t="s">
        <v>21</v>
      </c>
      <c r="D29" s="1" t="s">
        <v>121</v>
      </c>
      <c r="E29">
        <v>5</v>
      </c>
      <c r="F29" s="2">
        <v>45545</v>
      </c>
    </row>
    <row r="30" spans="1:6" x14ac:dyDescent="0.35">
      <c r="A30" s="1" t="s">
        <v>184</v>
      </c>
      <c r="B30" s="1" t="s">
        <v>137</v>
      </c>
      <c r="C30" s="1" t="s">
        <v>82</v>
      </c>
      <c r="D30" s="1" t="s">
        <v>157</v>
      </c>
      <c r="E30">
        <v>3</v>
      </c>
      <c r="F30" s="2">
        <v>45645</v>
      </c>
    </row>
    <row r="31" spans="1:6" x14ac:dyDescent="0.35">
      <c r="A31" s="1" t="s">
        <v>186</v>
      </c>
      <c r="B31" s="1" t="s">
        <v>188</v>
      </c>
      <c r="C31" s="1" t="s">
        <v>8</v>
      </c>
      <c r="D31" s="1" t="s">
        <v>128</v>
      </c>
      <c r="E31">
        <v>15</v>
      </c>
      <c r="F31" s="2">
        <v>45416</v>
      </c>
    </row>
    <row r="32" spans="1:6" x14ac:dyDescent="0.35">
      <c r="A32" s="1" t="s">
        <v>189</v>
      </c>
      <c r="B32" s="1" t="s">
        <v>191</v>
      </c>
      <c r="C32" s="1" t="s">
        <v>63</v>
      </c>
      <c r="D32" s="1" t="s">
        <v>171</v>
      </c>
      <c r="E32">
        <v>10</v>
      </c>
      <c r="F32" s="2">
        <v>45306</v>
      </c>
    </row>
    <row r="33" spans="1:6" x14ac:dyDescent="0.35">
      <c r="A33" s="1" t="s">
        <v>193</v>
      </c>
      <c r="B33" s="1" t="s">
        <v>172</v>
      </c>
      <c r="C33" s="1" t="s">
        <v>82</v>
      </c>
      <c r="D33" s="1" t="s">
        <v>171</v>
      </c>
      <c r="E33">
        <v>4</v>
      </c>
      <c r="F33" s="2">
        <v>45348</v>
      </c>
    </row>
    <row r="34" spans="1:6" x14ac:dyDescent="0.35">
      <c r="A34" s="1" t="s">
        <v>195</v>
      </c>
      <c r="B34" s="1" t="s">
        <v>197</v>
      </c>
      <c r="C34" s="1" t="s">
        <v>73</v>
      </c>
      <c r="D34" s="1" t="s">
        <v>171</v>
      </c>
      <c r="E34">
        <v>14</v>
      </c>
      <c r="F34" s="2">
        <v>45614</v>
      </c>
    </row>
    <row r="35" spans="1:6" x14ac:dyDescent="0.35">
      <c r="A35" s="1" t="s">
        <v>198</v>
      </c>
      <c r="B35" s="1" t="s">
        <v>106</v>
      </c>
      <c r="C35" s="1" t="s">
        <v>63</v>
      </c>
      <c r="D35" s="1" t="s">
        <v>157</v>
      </c>
      <c r="E35">
        <v>8</v>
      </c>
      <c r="F35" s="2">
        <v>45596</v>
      </c>
    </row>
    <row r="36" spans="1:6" x14ac:dyDescent="0.35">
      <c r="A36" s="1" t="s">
        <v>200</v>
      </c>
      <c r="B36" s="1" t="s">
        <v>191</v>
      </c>
      <c r="C36" s="1" t="s">
        <v>73</v>
      </c>
      <c r="D36" s="1" t="s">
        <v>157</v>
      </c>
      <c r="E36">
        <v>6</v>
      </c>
      <c r="F36" s="2">
        <v>45556</v>
      </c>
    </row>
    <row r="37" spans="1:6" x14ac:dyDescent="0.35">
      <c r="A37" s="1" t="s">
        <v>202</v>
      </c>
      <c r="B37" s="1" t="s">
        <v>113</v>
      </c>
      <c r="C37" s="1" t="s">
        <v>29</v>
      </c>
      <c r="D37" s="1" t="s">
        <v>124</v>
      </c>
      <c r="E37">
        <v>13</v>
      </c>
      <c r="F37" s="2">
        <v>45505</v>
      </c>
    </row>
    <row r="38" spans="1:6" x14ac:dyDescent="0.35">
      <c r="A38" s="1" t="s">
        <v>205</v>
      </c>
      <c r="B38" s="1" t="s">
        <v>137</v>
      </c>
      <c r="C38" s="1" t="s">
        <v>73</v>
      </c>
      <c r="D38" s="1" t="s">
        <v>124</v>
      </c>
      <c r="E38">
        <v>6</v>
      </c>
      <c r="F38" s="2">
        <v>45564</v>
      </c>
    </row>
    <row r="39" spans="1:6" x14ac:dyDescent="0.35">
      <c r="A39" s="1" t="s">
        <v>207</v>
      </c>
      <c r="B39" s="1" t="s">
        <v>176</v>
      </c>
      <c r="C39" s="1" t="s">
        <v>78</v>
      </c>
      <c r="D39" s="1" t="s">
        <v>157</v>
      </c>
      <c r="E39">
        <v>8</v>
      </c>
      <c r="F39" s="2">
        <v>45320</v>
      </c>
    </row>
    <row r="40" spans="1:6" x14ac:dyDescent="0.35">
      <c r="A40" s="1" t="s">
        <v>209</v>
      </c>
      <c r="B40" s="1" t="s">
        <v>111</v>
      </c>
      <c r="C40" s="1" t="s">
        <v>57</v>
      </c>
      <c r="D40" s="1" t="s">
        <v>121</v>
      </c>
      <c r="E40">
        <v>9</v>
      </c>
      <c r="F40" s="2">
        <v>45651</v>
      </c>
    </row>
    <row r="41" spans="1:6" x14ac:dyDescent="0.35">
      <c r="A41" s="1" t="s">
        <v>212</v>
      </c>
      <c r="B41" s="1" t="s">
        <v>133</v>
      </c>
      <c r="C41" s="1" t="s">
        <v>15</v>
      </c>
      <c r="D41" s="1" t="s">
        <v>157</v>
      </c>
      <c r="E41">
        <v>11</v>
      </c>
      <c r="F41" s="2">
        <v>45440</v>
      </c>
    </row>
    <row r="42" spans="1:6" x14ac:dyDescent="0.35">
      <c r="A42" s="1" t="s">
        <v>215</v>
      </c>
      <c r="B42" s="1" t="s">
        <v>173</v>
      </c>
      <c r="C42" s="1" t="s">
        <v>73</v>
      </c>
      <c r="D42" s="1" t="s">
        <v>143</v>
      </c>
      <c r="E42">
        <v>10</v>
      </c>
      <c r="F42" s="2">
        <v>45348</v>
      </c>
    </row>
    <row r="43" spans="1:6" x14ac:dyDescent="0.35">
      <c r="A43" s="1" t="s">
        <v>217</v>
      </c>
      <c r="B43" s="1" t="s">
        <v>149</v>
      </c>
      <c r="C43" s="1" t="s">
        <v>45</v>
      </c>
      <c r="D43" s="1" t="s">
        <v>157</v>
      </c>
      <c r="E43">
        <v>11</v>
      </c>
      <c r="F43" s="2">
        <v>45299</v>
      </c>
    </row>
    <row r="44" spans="1:6" x14ac:dyDescent="0.35">
      <c r="A44" s="1" t="s">
        <v>219</v>
      </c>
      <c r="B44" s="1" t="s">
        <v>197</v>
      </c>
      <c r="C44" s="1" t="s">
        <v>8</v>
      </c>
      <c r="D44" s="1" t="s">
        <v>171</v>
      </c>
      <c r="E44">
        <v>1</v>
      </c>
      <c r="F44" s="2">
        <v>45434</v>
      </c>
    </row>
    <row r="45" spans="1:6" x14ac:dyDescent="0.35">
      <c r="A45" s="1" t="s">
        <v>221</v>
      </c>
      <c r="B45" s="1" t="s">
        <v>111</v>
      </c>
      <c r="C45" s="1" t="s">
        <v>57</v>
      </c>
      <c r="D45" s="1" t="s">
        <v>128</v>
      </c>
      <c r="E45">
        <v>10</v>
      </c>
      <c r="F45" s="2">
        <v>45500</v>
      </c>
    </row>
    <row r="46" spans="1:6" x14ac:dyDescent="0.35">
      <c r="A46" s="1" t="s">
        <v>223</v>
      </c>
      <c r="B46" s="1" t="s">
        <v>113</v>
      </c>
      <c r="C46" s="1" t="s">
        <v>57</v>
      </c>
      <c r="D46" s="1" t="s">
        <v>128</v>
      </c>
      <c r="E46">
        <v>8</v>
      </c>
      <c r="F46" s="2">
        <v>45644</v>
      </c>
    </row>
    <row r="47" spans="1:6" x14ac:dyDescent="0.35">
      <c r="A47" s="1" t="s">
        <v>225</v>
      </c>
      <c r="B47" s="1" t="s">
        <v>191</v>
      </c>
      <c r="C47" s="1" t="s">
        <v>15</v>
      </c>
      <c r="D47" s="1" t="s">
        <v>143</v>
      </c>
      <c r="E47">
        <v>13</v>
      </c>
      <c r="F47" s="2">
        <v>45414</v>
      </c>
    </row>
    <row r="48" spans="1:6" x14ac:dyDescent="0.35">
      <c r="A48" s="1" t="s">
        <v>228</v>
      </c>
      <c r="B48" s="1" t="s">
        <v>116</v>
      </c>
      <c r="C48" s="1" t="s">
        <v>82</v>
      </c>
      <c r="D48" s="1" t="s">
        <v>157</v>
      </c>
      <c r="E48">
        <v>4</v>
      </c>
      <c r="F48" s="2">
        <v>45489</v>
      </c>
    </row>
    <row r="49" spans="1:6" x14ac:dyDescent="0.35">
      <c r="A49" s="1" t="s">
        <v>230</v>
      </c>
      <c r="B49" s="1" t="s">
        <v>141</v>
      </c>
      <c r="C49" s="1" t="s">
        <v>78</v>
      </c>
      <c r="D49" s="1" t="s">
        <v>128</v>
      </c>
      <c r="E49">
        <v>1</v>
      </c>
      <c r="F49" s="2">
        <v>45368</v>
      </c>
    </row>
    <row r="50" spans="1:6" x14ac:dyDescent="0.35">
      <c r="A50" s="1" t="s">
        <v>232</v>
      </c>
      <c r="B50" s="1" t="s">
        <v>133</v>
      </c>
      <c r="C50" s="1" t="s">
        <v>35</v>
      </c>
      <c r="D50" s="1" t="s">
        <v>143</v>
      </c>
      <c r="E50">
        <v>10</v>
      </c>
      <c r="F50" s="2">
        <v>45551</v>
      </c>
    </row>
    <row r="51" spans="1:6" x14ac:dyDescent="0.35">
      <c r="A51" s="1" t="s">
        <v>234</v>
      </c>
      <c r="B51" s="1" t="s">
        <v>137</v>
      </c>
      <c r="C51" s="1" t="s">
        <v>82</v>
      </c>
      <c r="D51" s="1" t="s">
        <v>157</v>
      </c>
      <c r="E51">
        <v>8</v>
      </c>
      <c r="F51" s="2">
        <v>45451</v>
      </c>
    </row>
    <row r="52" spans="1:6" x14ac:dyDescent="0.35">
      <c r="A52" s="1" t="s">
        <v>236</v>
      </c>
      <c r="B52" s="1" t="s">
        <v>172</v>
      </c>
      <c r="C52" s="1" t="s">
        <v>15</v>
      </c>
      <c r="D52" s="1" t="s">
        <v>124</v>
      </c>
      <c r="E52">
        <v>8</v>
      </c>
      <c r="F52" s="2">
        <v>45447</v>
      </c>
    </row>
    <row r="53" spans="1:6" x14ac:dyDescent="0.35">
      <c r="A53" s="1" t="s">
        <v>238</v>
      </c>
      <c r="B53" s="1" t="s">
        <v>137</v>
      </c>
      <c r="C53" s="1" t="s">
        <v>29</v>
      </c>
      <c r="D53" s="1" t="s">
        <v>124</v>
      </c>
      <c r="E53">
        <v>4</v>
      </c>
      <c r="F53" s="2">
        <v>45518</v>
      </c>
    </row>
    <row r="54" spans="1:6" x14ac:dyDescent="0.35">
      <c r="A54" s="1" t="s">
        <v>238</v>
      </c>
      <c r="B54" s="1" t="s">
        <v>240</v>
      </c>
      <c r="C54" s="1" t="s">
        <v>29</v>
      </c>
      <c r="D54" s="1" t="s">
        <v>124</v>
      </c>
      <c r="E54">
        <v>4</v>
      </c>
      <c r="F54" s="2">
        <v>45518</v>
      </c>
    </row>
    <row r="55" spans="1:6" x14ac:dyDescent="0.35">
      <c r="A55" s="1" t="s">
        <v>241</v>
      </c>
      <c r="B55" s="1" t="s">
        <v>173</v>
      </c>
      <c r="C55" s="1" t="s">
        <v>82</v>
      </c>
      <c r="D55" s="1" t="s">
        <v>143</v>
      </c>
      <c r="E55">
        <v>12</v>
      </c>
      <c r="F55" s="2">
        <v>45496</v>
      </c>
    </row>
    <row r="56" spans="1:6" x14ac:dyDescent="0.35">
      <c r="A56" s="1" t="s">
        <v>244</v>
      </c>
      <c r="B56" s="1" t="s">
        <v>164</v>
      </c>
      <c r="C56" s="1" t="s">
        <v>73</v>
      </c>
      <c r="D56" s="1" t="s">
        <v>157</v>
      </c>
      <c r="E56">
        <v>3</v>
      </c>
      <c r="F56" s="2">
        <v>45586</v>
      </c>
    </row>
    <row r="57" spans="1:6" x14ac:dyDescent="0.35">
      <c r="A57" s="1" t="s">
        <v>246</v>
      </c>
      <c r="B57" s="1" t="s">
        <v>248</v>
      </c>
      <c r="C57" s="1" t="s">
        <v>39</v>
      </c>
      <c r="D57" s="1" t="s">
        <v>171</v>
      </c>
      <c r="E57">
        <v>14</v>
      </c>
      <c r="F57" s="2">
        <v>45447</v>
      </c>
    </row>
    <row r="58" spans="1:6" x14ac:dyDescent="0.35">
      <c r="A58" s="1" t="s">
        <v>249</v>
      </c>
      <c r="B58" s="1" t="s">
        <v>191</v>
      </c>
      <c r="C58" s="1" t="s">
        <v>87</v>
      </c>
      <c r="D58" s="1" t="s">
        <v>171</v>
      </c>
      <c r="E58">
        <v>12</v>
      </c>
      <c r="F58" s="2">
        <v>45455</v>
      </c>
    </row>
    <row r="59" spans="1:6" x14ac:dyDescent="0.35">
      <c r="A59" s="1" t="s">
        <v>251</v>
      </c>
      <c r="B59" s="1" t="s">
        <v>137</v>
      </c>
      <c r="C59" s="1" t="s">
        <v>73</v>
      </c>
      <c r="D59" s="1" t="s">
        <v>157</v>
      </c>
      <c r="E59">
        <v>15</v>
      </c>
      <c r="F59" s="2">
        <v>45651</v>
      </c>
    </row>
    <row r="60" spans="1:6" x14ac:dyDescent="0.35">
      <c r="A60" s="1" t="s">
        <v>253</v>
      </c>
      <c r="B60" s="1" t="s">
        <v>109</v>
      </c>
      <c r="C60" s="1" t="s">
        <v>82</v>
      </c>
      <c r="D60" s="1" t="s">
        <v>121</v>
      </c>
      <c r="E60">
        <v>12</v>
      </c>
      <c r="F60" s="2">
        <v>45319</v>
      </c>
    </row>
    <row r="61" spans="1:6" x14ac:dyDescent="0.35">
      <c r="A61" s="1" t="s">
        <v>255</v>
      </c>
      <c r="B61" s="1" t="s">
        <v>141</v>
      </c>
      <c r="C61" s="1" t="s">
        <v>78</v>
      </c>
      <c r="D61" s="1" t="s">
        <v>121</v>
      </c>
      <c r="E61">
        <v>4</v>
      </c>
      <c r="F61" s="2">
        <v>45456</v>
      </c>
    </row>
    <row r="62" spans="1:6" x14ac:dyDescent="0.35">
      <c r="A62" s="1" t="s">
        <v>257</v>
      </c>
      <c r="B62" s="1" t="s">
        <v>116</v>
      </c>
      <c r="C62" s="1" t="s">
        <v>29</v>
      </c>
      <c r="D62" s="1" t="s">
        <v>121</v>
      </c>
      <c r="E62">
        <v>4</v>
      </c>
      <c r="F62" s="2">
        <v>45393</v>
      </c>
    </row>
    <row r="63" spans="1:6" x14ac:dyDescent="0.35">
      <c r="A63" s="1" t="s">
        <v>259</v>
      </c>
      <c r="B63" s="1" t="s">
        <v>137</v>
      </c>
      <c r="C63" s="1" t="s">
        <v>39</v>
      </c>
      <c r="D63" s="1" t="s">
        <v>171</v>
      </c>
      <c r="E63">
        <v>11</v>
      </c>
      <c r="F63" s="2">
        <v>45480</v>
      </c>
    </row>
    <row r="64" spans="1:6" x14ac:dyDescent="0.35">
      <c r="A64" s="1" t="s">
        <v>262</v>
      </c>
      <c r="B64" s="1" t="s">
        <v>240</v>
      </c>
      <c r="C64" s="1" t="s">
        <v>8</v>
      </c>
      <c r="D64" s="1" t="s">
        <v>128</v>
      </c>
      <c r="E64">
        <v>9</v>
      </c>
      <c r="F64" s="2">
        <v>45641</v>
      </c>
    </row>
    <row r="65" spans="1:6" x14ac:dyDescent="0.35">
      <c r="A65" s="1" t="s">
        <v>264</v>
      </c>
      <c r="B65" s="1" t="s">
        <v>137</v>
      </c>
      <c r="C65" s="1" t="s">
        <v>45</v>
      </c>
      <c r="D65" s="1" t="s">
        <v>124</v>
      </c>
      <c r="E65">
        <v>10</v>
      </c>
      <c r="F65" s="2">
        <v>45564</v>
      </c>
    </row>
    <row r="66" spans="1:6" x14ac:dyDescent="0.35">
      <c r="A66" s="1" t="s">
        <v>266</v>
      </c>
      <c r="B66" s="1" t="s">
        <v>197</v>
      </c>
      <c r="C66" s="1" t="s">
        <v>51</v>
      </c>
      <c r="D66" s="1" t="s">
        <v>157</v>
      </c>
      <c r="E66">
        <v>10</v>
      </c>
      <c r="F66" s="2">
        <v>45492</v>
      </c>
    </row>
    <row r="67" spans="1:6" x14ac:dyDescent="0.35">
      <c r="A67" s="1" t="s">
        <v>268</v>
      </c>
      <c r="B67" s="1" t="s">
        <v>164</v>
      </c>
      <c r="C67" s="1" t="s">
        <v>8</v>
      </c>
      <c r="D67" s="1" t="s">
        <v>171</v>
      </c>
      <c r="E67">
        <v>1</v>
      </c>
      <c r="F67" s="2">
        <v>45538</v>
      </c>
    </row>
    <row r="68" spans="1:6" x14ac:dyDescent="0.35">
      <c r="A68" s="1" t="s">
        <v>270</v>
      </c>
      <c r="B68" s="1" t="s">
        <v>272</v>
      </c>
      <c r="C68" s="1" t="s">
        <v>45</v>
      </c>
      <c r="D68" s="1" t="s">
        <v>171</v>
      </c>
      <c r="E68">
        <v>3</v>
      </c>
      <c r="F68" s="2">
        <v>45609</v>
      </c>
    </row>
    <row r="69" spans="1:6" x14ac:dyDescent="0.35">
      <c r="A69" s="1" t="s">
        <v>273</v>
      </c>
      <c r="B69" s="1" t="s">
        <v>188</v>
      </c>
      <c r="C69" s="1" t="s">
        <v>78</v>
      </c>
      <c r="D69" s="1" t="s">
        <v>124</v>
      </c>
      <c r="E69">
        <v>15</v>
      </c>
      <c r="F69" s="2">
        <v>45355</v>
      </c>
    </row>
    <row r="70" spans="1:6" x14ac:dyDescent="0.35">
      <c r="A70" s="1" t="s">
        <v>276</v>
      </c>
      <c r="B70" s="1" t="s">
        <v>111</v>
      </c>
      <c r="C70" s="1" t="s">
        <v>73</v>
      </c>
      <c r="D70" s="1" t="s">
        <v>171</v>
      </c>
      <c r="E70">
        <v>4</v>
      </c>
      <c r="F70" s="2">
        <v>45606</v>
      </c>
    </row>
    <row r="71" spans="1:6" x14ac:dyDescent="0.35">
      <c r="A71" s="1" t="s">
        <v>278</v>
      </c>
      <c r="B71" s="1" t="s">
        <v>176</v>
      </c>
      <c r="C71" s="1" t="s">
        <v>21</v>
      </c>
      <c r="D71" s="1" t="s">
        <v>121</v>
      </c>
      <c r="E71">
        <v>13</v>
      </c>
      <c r="F71" s="2">
        <v>45543</v>
      </c>
    </row>
    <row r="72" spans="1:6" x14ac:dyDescent="0.35">
      <c r="A72" s="1" t="s">
        <v>278</v>
      </c>
      <c r="B72" s="1" t="s">
        <v>164</v>
      </c>
      <c r="C72" s="1" t="s">
        <v>21</v>
      </c>
      <c r="D72" s="1" t="s">
        <v>121</v>
      </c>
      <c r="E72">
        <v>13</v>
      </c>
      <c r="F72" s="2">
        <v>45543</v>
      </c>
    </row>
    <row r="73" spans="1:6" x14ac:dyDescent="0.35">
      <c r="A73" s="1" t="s">
        <v>278</v>
      </c>
      <c r="B73" s="1" t="s">
        <v>248</v>
      </c>
      <c r="C73" s="1" t="s">
        <v>21</v>
      </c>
      <c r="D73" s="1" t="s">
        <v>121</v>
      </c>
      <c r="E73">
        <v>13</v>
      </c>
      <c r="F73" s="2">
        <v>45543</v>
      </c>
    </row>
    <row r="74" spans="1:6" x14ac:dyDescent="0.35">
      <c r="A74" s="1" t="s">
        <v>280</v>
      </c>
      <c r="B74" s="1" t="s">
        <v>176</v>
      </c>
      <c r="C74" s="1" t="s">
        <v>15</v>
      </c>
      <c r="D74" s="1" t="s">
        <v>143</v>
      </c>
      <c r="E74">
        <v>12</v>
      </c>
      <c r="F74" s="2">
        <v>45582</v>
      </c>
    </row>
    <row r="75" spans="1:6" x14ac:dyDescent="0.35">
      <c r="A75" s="1" t="s">
        <v>282</v>
      </c>
      <c r="B75" s="1" t="s">
        <v>197</v>
      </c>
      <c r="C75" s="1" t="s">
        <v>78</v>
      </c>
      <c r="D75" s="1" t="s">
        <v>121</v>
      </c>
      <c r="E75">
        <v>4</v>
      </c>
      <c r="F75" s="2">
        <v>45363</v>
      </c>
    </row>
    <row r="76" spans="1:6" x14ac:dyDescent="0.35">
      <c r="A76" s="1" t="s">
        <v>284</v>
      </c>
      <c r="B76" s="1" t="s">
        <v>168</v>
      </c>
      <c r="C76" s="1" t="s">
        <v>57</v>
      </c>
      <c r="D76" s="1" t="s">
        <v>121</v>
      </c>
      <c r="E76">
        <v>11</v>
      </c>
      <c r="F76" s="2">
        <v>45354</v>
      </c>
    </row>
    <row r="77" spans="1:6" x14ac:dyDescent="0.35">
      <c r="A77" s="1" t="s">
        <v>286</v>
      </c>
      <c r="B77" s="1" t="s">
        <v>106</v>
      </c>
      <c r="C77" s="1" t="s">
        <v>73</v>
      </c>
      <c r="D77" s="1" t="s">
        <v>128</v>
      </c>
      <c r="E77">
        <v>4</v>
      </c>
      <c r="F77" s="2">
        <v>45581</v>
      </c>
    </row>
    <row r="78" spans="1:6" x14ac:dyDescent="0.35">
      <c r="A78" s="1" t="s">
        <v>288</v>
      </c>
      <c r="B78" s="1" t="s">
        <v>133</v>
      </c>
      <c r="C78" s="1" t="s">
        <v>45</v>
      </c>
      <c r="D78" s="1" t="s">
        <v>124</v>
      </c>
      <c r="E78">
        <v>11</v>
      </c>
      <c r="F78" s="2">
        <v>45416</v>
      </c>
    </row>
    <row r="79" spans="1:6" x14ac:dyDescent="0.35">
      <c r="A79" s="1" t="s">
        <v>290</v>
      </c>
      <c r="B79" s="1" t="s">
        <v>168</v>
      </c>
      <c r="C79" s="1" t="s">
        <v>35</v>
      </c>
      <c r="D79" s="1" t="s">
        <v>157</v>
      </c>
      <c r="E79">
        <v>3</v>
      </c>
      <c r="F79" s="2">
        <v>45354</v>
      </c>
    </row>
    <row r="80" spans="1:6" x14ac:dyDescent="0.35">
      <c r="A80" s="1" t="s">
        <v>292</v>
      </c>
      <c r="B80" s="1" t="s">
        <v>197</v>
      </c>
      <c r="C80" s="1" t="s">
        <v>39</v>
      </c>
      <c r="D80" s="1" t="s">
        <v>121</v>
      </c>
      <c r="E80">
        <v>7</v>
      </c>
      <c r="F80" s="2">
        <v>45396</v>
      </c>
    </row>
    <row r="81" spans="1:6" x14ac:dyDescent="0.35">
      <c r="A81" s="1" t="s">
        <v>294</v>
      </c>
      <c r="B81" s="1" t="s">
        <v>176</v>
      </c>
      <c r="C81" s="1" t="s">
        <v>87</v>
      </c>
      <c r="D81" s="1" t="s">
        <v>128</v>
      </c>
      <c r="E81">
        <v>11</v>
      </c>
      <c r="F81" s="2">
        <v>45296</v>
      </c>
    </row>
    <row r="82" spans="1:6" x14ac:dyDescent="0.35">
      <c r="A82" s="1" t="s">
        <v>296</v>
      </c>
      <c r="B82" s="1" t="s">
        <v>272</v>
      </c>
      <c r="C82" s="1" t="s">
        <v>87</v>
      </c>
      <c r="D82" s="1" t="s">
        <v>124</v>
      </c>
      <c r="E82">
        <v>14</v>
      </c>
      <c r="F82" s="2">
        <v>45478</v>
      </c>
    </row>
    <row r="83" spans="1:6" x14ac:dyDescent="0.35">
      <c r="A83" s="1" t="s">
        <v>298</v>
      </c>
      <c r="B83" s="1" t="s">
        <v>111</v>
      </c>
      <c r="C83" s="1" t="s">
        <v>51</v>
      </c>
      <c r="D83" s="1" t="s">
        <v>171</v>
      </c>
      <c r="E83">
        <v>14</v>
      </c>
      <c r="F83" s="2">
        <v>45450</v>
      </c>
    </row>
    <row r="84" spans="1:6" x14ac:dyDescent="0.35">
      <c r="A84" s="1" t="s">
        <v>300</v>
      </c>
      <c r="B84" s="1" t="s">
        <v>109</v>
      </c>
      <c r="C84" s="1" t="s">
        <v>63</v>
      </c>
      <c r="D84" s="1" t="s">
        <v>128</v>
      </c>
      <c r="E84">
        <v>6</v>
      </c>
      <c r="F84" s="2">
        <v>45501</v>
      </c>
    </row>
    <row r="85" spans="1:6" x14ac:dyDescent="0.35">
      <c r="A85" s="1" t="s">
        <v>302</v>
      </c>
      <c r="B85" s="1" t="s">
        <v>106</v>
      </c>
      <c r="C85" s="1" t="s">
        <v>45</v>
      </c>
      <c r="D85" s="1" t="s">
        <v>143</v>
      </c>
      <c r="E85">
        <v>10</v>
      </c>
      <c r="F85" s="2">
        <v>45399</v>
      </c>
    </row>
    <row r="86" spans="1:6" x14ac:dyDescent="0.35">
      <c r="A86" s="1" t="s">
        <v>304</v>
      </c>
      <c r="B86" s="1" t="s">
        <v>164</v>
      </c>
      <c r="C86" s="1" t="s">
        <v>35</v>
      </c>
      <c r="D86" s="1" t="s">
        <v>157</v>
      </c>
      <c r="E86">
        <v>6</v>
      </c>
      <c r="F86" s="2">
        <v>45600</v>
      </c>
    </row>
    <row r="87" spans="1:6" x14ac:dyDescent="0.35">
      <c r="A87" s="1" t="s">
        <v>306</v>
      </c>
      <c r="B87" s="1" t="s">
        <v>191</v>
      </c>
      <c r="C87" s="1" t="s">
        <v>51</v>
      </c>
      <c r="D87" s="1" t="s">
        <v>124</v>
      </c>
      <c r="E87">
        <v>11</v>
      </c>
      <c r="F87" s="2">
        <v>45637</v>
      </c>
    </row>
    <row r="88" spans="1:6" x14ac:dyDescent="0.35">
      <c r="A88" s="1" t="s">
        <v>308</v>
      </c>
      <c r="B88" s="1" t="s">
        <v>272</v>
      </c>
      <c r="C88" s="1" t="s">
        <v>63</v>
      </c>
      <c r="D88" s="1" t="s">
        <v>143</v>
      </c>
      <c r="E88">
        <v>8</v>
      </c>
      <c r="F88" s="2">
        <v>45419</v>
      </c>
    </row>
    <row r="89" spans="1:6" x14ac:dyDescent="0.35">
      <c r="A89" s="1" t="s">
        <v>310</v>
      </c>
      <c r="B89" s="1" t="s">
        <v>113</v>
      </c>
      <c r="C89" s="1" t="s">
        <v>8</v>
      </c>
      <c r="D89" s="1" t="s">
        <v>171</v>
      </c>
      <c r="E89">
        <v>8</v>
      </c>
      <c r="F89" s="2">
        <v>45586</v>
      </c>
    </row>
    <row r="90" spans="1:6" x14ac:dyDescent="0.35">
      <c r="A90" s="1" t="s">
        <v>312</v>
      </c>
      <c r="B90" s="1" t="s">
        <v>141</v>
      </c>
      <c r="C90" s="1" t="s">
        <v>69</v>
      </c>
      <c r="D90" s="1" t="s">
        <v>128</v>
      </c>
      <c r="E90">
        <v>6</v>
      </c>
      <c r="F90" s="2">
        <v>45368</v>
      </c>
    </row>
    <row r="91" spans="1:6" x14ac:dyDescent="0.35">
      <c r="A91" s="1" t="s">
        <v>315</v>
      </c>
      <c r="B91" s="1" t="s">
        <v>240</v>
      </c>
      <c r="C91" s="1" t="s">
        <v>35</v>
      </c>
      <c r="D91" s="1" t="s">
        <v>157</v>
      </c>
      <c r="E91">
        <v>3</v>
      </c>
      <c r="F91" s="2">
        <v>45305</v>
      </c>
    </row>
    <row r="92" spans="1:6" x14ac:dyDescent="0.35">
      <c r="A92" s="1" t="s">
        <v>317</v>
      </c>
      <c r="B92" s="1" t="s">
        <v>172</v>
      </c>
      <c r="C92" s="1" t="s">
        <v>35</v>
      </c>
      <c r="D92" s="1" t="s">
        <v>171</v>
      </c>
      <c r="E92">
        <v>10</v>
      </c>
      <c r="F92" s="2">
        <v>45624</v>
      </c>
    </row>
    <row r="93" spans="1:6" x14ac:dyDescent="0.35">
      <c r="A93" s="1" t="s">
        <v>319</v>
      </c>
      <c r="B93" s="1" t="s">
        <v>191</v>
      </c>
      <c r="C93" s="1" t="s">
        <v>57</v>
      </c>
      <c r="D93" s="1" t="s">
        <v>143</v>
      </c>
      <c r="E93">
        <v>14</v>
      </c>
      <c r="F93" s="2">
        <v>45347</v>
      </c>
    </row>
    <row r="94" spans="1:6" x14ac:dyDescent="0.35">
      <c r="A94" s="1" t="s">
        <v>321</v>
      </c>
      <c r="B94" s="1" t="s">
        <v>111</v>
      </c>
      <c r="C94" s="1" t="s">
        <v>21</v>
      </c>
      <c r="D94" s="1" t="s">
        <v>143</v>
      </c>
      <c r="E94">
        <v>5</v>
      </c>
      <c r="F94" s="2">
        <v>45445</v>
      </c>
    </row>
    <row r="95" spans="1:6" x14ac:dyDescent="0.35">
      <c r="A95" s="1" t="s">
        <v>323</v>
      </c>
      <c r="B95" s="1" t="s">
        <v>240</v>
      </c>
      <c r="C95" s="1" t="s">
        <v>15</v>
      </c>
      <c r="D95" s="1" t="s">
        <v>171</v>
      </c>
      <c r="E95">
        <v>2</v>
      </c>
      <c r="F95" s="2">
        <v>45423</v>
      </c>
    </row>
    <row r="96" spans="1:6" x14ac:dyDescent="0.35">
      <c r="A96" s="1" t="s">
        <v>325</v>
      </c>
      <c r="B96" s="1" t="s">
        <v>141</v>
      </c>
      <c r="C96" s="1" t="s">
        <v>8</v>
      </c>
      <c r="D96" s="1" t="s">
        <v>143</v>
      </c>
      <c r="E96">
        <v>15</v>
      </c>
      <c r="F96" s="2">
        <v>45396</v>
      </c>
    </row>
    <row r="97" spans="1:6" x14ac:dyDescent="0.35">
      <c r="A97" s="1" t="s">
        <v>327</v>
      </c>
      <c r="B97" s="1" t="s">
        <v>188</v>
      </c>
      <c r="C97" s="1" t="s">
        <v>21</v>
      </c>
      <c r="D97" s="1" t="s">
        <v>171</v>
      </c>
      <c r="E97">
        <v>9</v>
      </c>
      <c r="F97" s="2">
        <v>45386</v>
      </c>
    </row>
    <row r="98" spans="1:6" x14ac:dyDescent="0.35">
      <c r="A98" s="1" t="s">
        <v>329</v>
      </c>
      <c r="B98" s="1" t="s">
        <v>172</v>
      </c>
      <c r="C98" s="1" t="s">
        <v>78</v>
      </c>
      <c r="D98" s="1" t="s">
        <v>171</v>
      </c>
      <c r="E98">
        <v>6</v>
      </c>
      <c r="F98" s="2">
        <v>45422</v>
      </c>
    </row>
    <row r="99" spans="1:6" x14ac:dyDescent="0.35">
      <c r="A99" s="1" t="s">
        <v>331</v>
      </c>
      <c r="B99" s="1" t="s">
        <v>191</v>
      </c>
      <c r="C99" s="1" t="s">
        <v>57</v>
      </c>
      <c r="D99" s="1" t="s">
        <v>121</v>
      </c>
      <c r="E99">
        <v>10</v>
      </c>
      <c r="F99" s="2">
        <v>45377</v>
      </c>
    </row>
    <row r="100" spans="1:6" x14ac:dyDescent="0.35">
      <c r="A100" s="1" t="s">
        <v>333</v>
      </c>
      <c r="B100" s="1" t="s">
        <v>188</v>
      </c>
      <c r="C100" s="1" t="s">
        <v>21</v>
      </c>
      <c r="D100" s="1" t="s">
        <v>124</v>
      </c>
      <c r="E100">
        <v>7</v>
      </c>
      <c r="F100" s="2">
        <v>45447</v>
      </c>
    </row>
    <row r="101" spans="1:6" x14ac:dyDescent="0.35">
      <c r="A101" s="1" t="s">
        <v>335</v>
      </c>
      <c r="B101" s="1" t="s">
        <v>172</v>
      </c>
      <c r="C101" s="1" t="s">
        <v>57</v>
      </c>
      <c r="D101" s="1" t="s">
        <v>121</v>
      </c>
      <c r="E101">
        <v>12</v>
      </c>
      <c r="F101" s="2">
        <v>45353</v>
      </c>
    </row>
    <row r="102" spans="1:6" x14ac:dyDescent="0.35">
      <c r="A102" s="1" t="s">
        <v>337</v>
      </c>
      <c r="B102" s="1" t="s">
        <v>188</v>
      </c>
      <c r="C102" s="1" t="s">
        <v>57</v>
      </c>
      <c r="D102" s="1" t="s">
        <v>157</v>
      </c>
      <c r="E102">
        <v>3</v>
      </c>
      <c r="F102" s="2">
        <v>45383</v>
      </c>
    </row>
    <row r="103" spans="1:6" x14ac:dyDescent="0.35">
      <c r="A103" s="1" t="s">
        <v>339</v>
      </c>
      <c r="B103" s="1" t="s">
        <v>172</v>
      </c>
      <c r="C103" s="1" t="s">
        <v>78</v>
      </c>
      <c r="D103" s="1" t="s">
        <v>143</v>
      </c>
      <c r="E103">
        <v>4</v>
      </c>
      <c r="F103" s="2">
        <v>45511</v>
      </c>
    </row>
    <row r="104" spans="1:6" x14ac:dyDescent="0.35">
      <c r="A104" s="1" t="s">
        <v>341</v>
      </c>
      <c r="B104" s="1" t="s">
        <v>109</v>
      </c>
      <c r="C104" s="1" t="s">
        <v>35</v>
      </c>
      <c r="D104" s="1" t="s">
        <v>157</v>
      </c>
      <c r="E104">
        <v>4</v>
      </c>
      <c r="F104" s="2">
        <v>45533</v>
      </c>
    </row>
    <row r="105" spans="1:6" x14ac:dyDescent="0.35">
      <c r="A105" s="1" t="s">
        <v>343</v>
      </c>
      <c r="B105" s="1" t="s">
        <v>173</v>
      </c>
      <c r="C105" s="1" t="s">
        <v>39</v>
      </c>
      <c r="D105" s="1" t="s">
        <v>171</v>
      </c>
      <c r="E105">
        <v>2</v>
      </c>
      <c r="F105" s="2">
        <v>45309</v>
      </c>
    </row>
    <row r="106" spans="1:6" x14ac:dyDescent="0.35">
      <c r="A106" s="1" t="s">
        <v>345</v>
      </c>
      <c r="B106" s="1" t="s">
        <v>116</v>
      </c>
      <c r="C106" s="1" t="s">
        <v>39</v>
      </c>
      <c r="D106" s="1" t="s">
        <v>128</v>
      </c>
      <c r="E106">
        <v>15</v>
      </c>
      <c r="F106" s="2">
        <v>45509</v>
      </c>
    </row>
    <row r="107" spans="1:6" x14ac:dyDescent="0.35">
      <c r="A107" s="1" t="s">
        <v>347</v>
      </c>
      <c r="B107" s="1" t="s">
        <v>240</v>
      </c>
      <c r="C107" s="1" t="s">
        <v>39</v>
      </c>
      <c r="D107" s="1" t="s">
        <v>128</v>
      </c>
      <c r="E107">
        <v>14</v>
      </c>
      <c r="F107" s="2">
        <v>45293</v>
      </c>
    </row>
    <row r="108" spans="1:6" x14ac:dyDescent="0.35">
      <c r="A108" s="1" t="s">
        <v>349</v>
      </c>
      <c r="B108" s="1" t="s">
        <v>149</v>
      </c>
      <c r="C108" s="1" t="s">
        <v>63</v>
      </c>
      <c r="D108" s="1" t="s">
        <v>128</v>
      </c>
      <c r="E108">
        <v>10</v>
      </c>
      <c r="F108" s="2">
        <v>45380</v>
      </c>
    </row>
    <row r="109" spans="1:6" x14ac:dyDescent="0.35">
      <c r="A109" s="1" t="s">
        <v>351</v>
      </c>
      <c r="B109" s="1" t="s">
        <v>168</v>
      </c>
      <c r="C109" s="1" t="s">
        <v>69</v>
      </c>
      <c r="D109" s="1" t="s">
        <v>143</v>
      </c>
      <c r="E109">
        <v>14</v>
      </c>
      <c r="F109" s="2">
        <v>45627</v>
      </c>
    </row>
    <row r="110" spans="1:6" x14ac:dyDescent="0.35">
      <c r="A110" s="1" t="s">
        <v>353</v>
      </c>
      <c r="B110" s="1" t="s">
        <v>197</v>
      </c>
      <c r="C110" s="1" t="s">
        <v>8</v>
      </c>
      <c r="D110" s="1" t="s">
        <v>124</v>
      </c>
      <c r="E110">
        <v>12</v>
      </c>
      <c r="F110" s="2">
        <v>45563</v>
      </c>
    </row>
    <row r="111" spans="1:6" x14ac:dyDescent="0.35">
      <c r="A111" s="1" t="s">
        <v>355</v>
      </c>
      <c r="B111" s="1" t="s">
        <v>106</v>
      </c>
      <c r="C111" s="1" t="s">
        <v>63</v>
      </c>
      <c r="D111" s="1" t="s">
        <v>157</v>
      </c>
      <c r="E111">
        <v>13</v>
      </c>
      <c r="F111" s="2">
        <v>45515</v>
      </c>
    </row>
    <row r="112" spans="1:6" x14ac:dyDescent="0.35">
      <c r="A112" s="1" t="s">
        <v>357</v>
      </c>
      <c r="B112" s="1" t="s">
        <v>172</v>
      </c>
      <c r="C112" s="1" t="s">
        <v>21</v>
      </c>
      <c r="D112" s="1" t="s">
        <v>128</v>
      </c>
      <c r="E112">
        <v>10</v>
      </c>
      <c r="F112" s="2">
        <v>45393</v>
      </c>
    </row>
    <row r="113" spans="1:6" x14ac:dyDescent="0.35">
      <c r="A113" s="1" t="s">
        <v>359</v>
      </c>
      <c r="B113" s="1" t="s">
        <v>149</v>
      </c>
      <c r="C113" s="1" t="s">
        <v>82</v>
      </c>
      <c r="D113" s="1" t="s">
        <v>143</v>
      </c>
      <c r="E113">
        <v>7</v>
      </c>
      <c r="F113" s="2">
        <v>45432</v>
      </c>
    </row>
    <row r="114" spans="1:6" x14ac:dyDescent="0.35">
      <c r="A114" s="1" t="s">
        <v>361</v>
      </c>
      <c r="B114" s="1" t="s">
        <v>109</v>
      </c>
      <c r="C114" s="1" t="s">
        <v>8</v>
      </c>
      <c r="D114" s="1" t="s">
        <v>121</v>
      </c>
      <c r="E114">
        <v>15</v>
      </c>
      <c r="F114" s="2">
        <v>45328</v>
      </c>
    </row>
    <row r="115" spans="1:6" x14ac:dyDescent="0.35">
      <c r="A115" s="1" t="s">
        <v>363</v>
      </c>
      <c r="B115" s="1" t="s">
        <v>137</v>
      </c>
      <c r="C115" s="1" t="s">
        <v>69</v>
      </c>
      <c r="D115" s="1" t="s">
        <v>128</v>
      </c>
      <c r="E115">
        <v>13</v>
      </c>
      <c r="F115" s="2">
        <v>45535</v>
      </c>
    </row>
    <row r="116" spans="1:6" x14ac:dyDescent="0.35">
      <c r="A116" s="1" t="s">
        <v>365</v>
      </c>
      <c r="B116" s="1" t="s">
        <v>106</v>
      </c>
      <c r="C116" s="1" t="s">
        <v>45</v>
      </c>
      <c r="D116" s="1" t="s">
        <v>157</v>
      </c>
      <c r="E116">
        <v>4</v>
      </c>
      <c r="F116" s="2">
        <v>45504</v>
      </c>
    </row>
    <row r="117" spans="1:6" x14ac:dyDescent="0.35">
      <c r="A117" s="1" t="s">
        <v>367</v>
      </c>
      <c r="B117" s="1" t="s">
        <v>248</v>
      </c>
      <c r="C117" s="1" t="s">
        <v>57</v>
      </c>
      <c r="D117" s="1" t="s">
        <v>121</v>
      </c>
      <c r="E117">
        <v>7</v>
      </c>
      <c r="F117" s="2">
        <v>45338</v>
      </c>
    </row>
    <row r="118" spans="1:6" x14ac:dyDescent="0.35">
      <c r="A118" s="1" t="s">
        <v>369</v>
      </c>
      <c r="B118" s="1" t="s">
        <v>168</v>
      </c>
      <c r="C118" s="1" t="s">
        <v>57</v>
      </c>
      <c r="D118" s="1" t="s">
        <v>171</v>
      </c>
      <c r="E118">
        <v>9</v>
      </c>
      <c r="F118" s="2">
        <v>45566</v>
      </c>
    </row>
    <row r="119" spans="1:6" x14ac:dyDescent="0.35">
      <c r="A119" s="1" t="s">
        <v>371</v>
      </c>
      <c r="B119" s="1" t="s">
        <v>197</v>
      </c>
      <c r="C119" s="1" t="s">
        <v>51</v>
      </c>
      <c r="D119" s="1" t="s">
        <v>124</v>
      </c>
      <c r="E119">
        <v>9</v>
      </c>
      <c r="F119" s="2">
        <v>45646</v>
      </c>
    </row>
    <row r="120" spans="1:6" x14ac:dyDescent="0.35">
      <c r="A120" s="1" t="s">
        <v>371</v>
      </c>
      <c r="B120" s="1" t="s">
        <v>116</v>
      </c>
      <c r="C120" s="1" t="s">
        <v>51</v>
      </c>
      <c r="D120" s="1" t="s">
        <v>124</v>
      </c>
      <c r="E120">
        <v>9</v>
      </c>
      <c r="F120" s="2">
        <v>45646</v>
      </c>
    </row>
    <row r="121" spans="1:6" x14ac:dyDescent="0.35">
      <c r="A121" s="1" t="s">
        <v>371</v>
      </c>
      <c r="B121" s="1" t="s">
        <v>133</v>
      </c>
      <c r="C121" s="1" t="s">
        <v>51</v>
      </c>
      <c r="D121" s="1" t="s">
        <v>124</v>
      </c>
      <c r="E121">
        <v>9</v>
      </c>
      <c r="F121" s="2">
        <v>45646</v>
      </c>
    </row>
    <row r="122" spans="1:6" x14ac:dyDescent="0.35">
      <c r="A122" s="1" t="s">
        <v>373</v>
      </c>
      <c r="B122" s="1" t="s">
        <v>106</v>
      </c>
      <c r="C122" s="1" t="s">
        <v>78</v>
      </c>
      <c r="D122" s="1" t="s">
        <v>171</v>
      </c>
      <c r="E122">
        <v>11</v>
      </c>
      <c r="F122" s="2">
        <v>45334</v>
      </c>
    </row>
    <row r="123" spans="1:6" x14ac:dyDescent="0.35">
      <c r="A123" s="1" t="s">
        <v>375</v>
      </c>
      <c r="B123" s="1" t="s">
        <v>188</v>
      </c>
      <c r="C123" s="1" t="s">
        <v>21</v>
      </c>
      <c r="D123" s="1" t="s">
        <v>121</v>
      </c>
      <c r="E123">
        <v>6</v>
      </c>
      <c r="F123" s="2">
        <v>45637</v>
      </c>
    </row>
    <row r="124" spans="1:6" x14ac:dyDescent="0.35">
      <c r="A124" s="1" t="s">
        <v>377</v>
      </c>
      <c r="B124" s="1" t="s">
        <v>164</v>
      </c>
      <c r="C124" s="1" t="s">
        <v>45</v>
      </c>
      <c r="D124" s="1" t="s">
        <v>124</v>
      </c>
      <c r="E124">
        <v>2</v>
      </c>
      <c r="F124" s="2">
        <v>45520</v>
      </c>
    </row>
    <row r="125" spans="1:6" x14ac:dyDescent="0.35">
      <c r="A125" s="1" t="s">
        <v>379</v>
      </c>
      <c r="B125" s="1" t="s">
        <v>248</v>
      </c>
      <c r="C125" s="1" t="s">
        <v>78</v>
      </c>
      <c r="D125" s="1" t="s">
        <v>124</v>
      </c>
      <c r="E125">
        <v>12</v>
      </c>
      <c r="F125" s="2">
        <v>45631</v>
      </c>
    </row>
    <row r="126" spans="1:6" x14ac:dyDescent="0.35">
      <c r="A126" s="1" t="s">
        <v>381</v>
      </c>
      <c r="B126" s="1" t="s">
        <v>197</v>
      </c>
      <c r="C126" s="1" t="s">
        <v>51</v>
      </c>
      <c r="D126" s="1" t="s">
        <v>121</v>
      </c>
      <c r="E126">
        <v>3</v>
      </c>
      <c r="F126" s="2">
        <v>45429</v>
      </c>
    </row>
    <row r="127" spans="1:6" x14ac:dyDescent="0.35">
      <c r="A127" s="1" t="s">
        <v>383</v>
      </c>
      <c r="B127" s="1" t="s">
        <v>173</v>
      </c>
      <c r="C127" s="1" t="s">
        <v>69</v>
      </c>
      <c r="D127" s="1" t="s">
        <v>157</v>
      </c>
      <c r="E127">
        <v>6</v>
      </c>
      <c r="F127" s="2">
        <v>45317</v>
      </c>
    </row>
    <row r="128" spans="1:6" x14ac:dyDescent="0.35">
      <c r="A128" s="1" t="s">
        <v>385</v>
      </c>
      <c r="B128" s="1" t="s">
        <v>113</v>
      </c>
      <c r="C128" s="1" t="s">
        <v>29</v>
      </c>
      <c r="D128" s="1" t="s">
        <v>128</v>
      </c>
      <c r="E128">
        <v>1</v>
      </c>
      <c r="F128" s="2">
        <v>45297</v>
      </c>
    </row>
    <row r="129" spans="1:6" x14ac:dyDescent="0.35">
      <c r="A129" s="1" t="s">
        <v>387</v>
      </c>
      <c r="B129" s="1" t="s">
        <v>173</v>
      </c>
      <c r="C129" s="1" t="s">
        <v>29</v>
      </c>
      <c r="D129" s="1" t="s">
        <v>143</v>
      </c>
      <c r="E129">
        <v>10</v>
      </c>
      <c r="F129" s="2">
        <v>45329</v>
      </c>
    </row>
    <row r="130" spans="1:6" x14ac:dyDescent="0.35">
      <c r="A130" s="1" t="s">
        <v>389</v>
      </c>
      <c r="B130" s="1" t="s">
        <v>113</v>
      </c>
      <c r="C130" s="1" t="s">
        <v>82</v>
      </c>
      <c r="D130" s="1" t="s">
        <v>171</v>
      </c>
      <c r="E130">
        <v>10</v>
      </c>
      <c r="F130" s="2">
        <v>45539</v>
      </c>
    </row>
    <row r="131" spans="1:6" x14ac:dyDescent="0.35">
      <c r="A131" s="1" t="s">
        <v>391</v>
      </c>
      <c r="B131" s="1" t="s">
        <v>248</v>
      </c>
      <c r="C131" s="1" t="s">
        <v>21</v>
      </c>
      <c r="D131" s="1" t="s">
        <v>157</v>
      </c>
      <c r="E131">
        <v>13</v>
      </c>
      <c r="F131" s="2">
        <v>45340</v>
      </c>
    </row>
    <row r="132" spans="1:6" x14ac:dyDescent="0.35">
      <c r="A132" s="1" t="s">
        <v>393</v>
      </c>
      <c r="B132" s="1" t="s">
        <v>272</v>
      </c>
      <c r="C132" s="1" t="s">
        <v>29</v>
      </c>
      <c r="D132" s="1" t="s">
        <v>171</v>
      </c>
      <c r="E132">
        <v>9</v>
      </c>
      <c r="F132" s="2">
        <v>45460</v>
      </c>
    </row>
    <row r="133" spans="1:6" x14ac:dyDescent="0.35">
      <c r="A133" s="1" t="s">
        <v>395</v>
      </c>
      <c r="B133" s="1" t="s">
        <v>141</v>
      </c>
      <c r="C133" s="1" t="s">
        <v>51</v>
      </c>
      <c r="D133" s="1" t="s">
        <v>143</v>
      </c>
      <c r="E133">
        <v>8</v>
      </c>
      <c r="F133" s="2">
        <v>45480</v>
      </c>
    </row>
    <row r="134" spans="1:6" x14ac:dyDescent="0.35">
      <c r="A134" s="1" t="s">
        <v>397</v>
      </c>
      <c r="B134" s="1" t="s">
        <v>149</v>
      </c>
      <c r="C134" s="1" t="s">
        <v>87</v>
      </c>
      <c r="D134" s="1" t="s">
        <v>124</v>
      </c>
      <c r="E134">
        <v>12</v>
      </c>
      <c r="F134" s="2">
        <v>45626</v>
      </c>
    </row>
    <row r="135" spans="1:6" x14ac:dyDescent="0.35">
      <c r="A135" s="1" t="s">
        <v>399</v>
      </c>
      <c r="B135" s="1" t="s">
        <v>188</v>
      </c>
      <c r="C135" s="1" t="s">
        <v>21</v>
      </c>
      <c r="D135" s="1" t="s">
        <v>157</v>
      </c>
      <c r="E135">
        <v>15</v>
      </c>
      <c r="F135" s="2">
        <v>45478</v>
      </c>
    </row>
    <row r="136" spans="1:6" x14ac:dyDescent="0.35">
      <c r="A136" s="1" t="s">
        <v>401</v>
      </c>
      <c r="B136" s="1" t="s">
        <v>137</v>
      </c>
      <c r="C136" s="1" t="s">
        <v>57</v>
      </c>
      <c r="D136" s="1" t="s">
        <v>128</v>
      </c>
      <c r="E136">
        <v>11</v>
      </c>
      <c r="F136" s="2">
        <v>45302</v>
      </c>
    </row>
    <row r="137" spans="1:6" x14ac:dyDescent="0.35">
      <c r="A137" s="1" t="s">
        <v>403</v>
      </c>
      <c r="B137" s="1" t="s">
        <v>141</v>
      </c>
      <c r="C137" s="1" t="s">
        <v>35</v>
      </c>
      <c r="D137" s="1" t="s">
        <v>124</v>
      </c>
      <c r="E137">
        <v>7</v>
      </c>
      <c r="F137" s="2">
        <v>45401</v>
      </c>
    </row>
    <row r="138" spans="1:6" x14ac:dyDescent="0.35">
      <c r="A138" s="1" t="s">
        <v>405</v>
      </c>
      <c r="B138" s="1" t="s">
        <v>111</v>
      </c>
      <c r="C138" s="1" t="s">
        <v>51</v>
      </c>
      <c r="D138" s="1" t="s">
        <v>157</v>
      </c>
      <c r="E138">
        <v>13</v>
      </c>
      <c r="F138" s="2">
        <v>45594</v>
      </c>
    </row>
    <row r="139" spans="1:6" x14ac:dyDescent="0.35">
      <c r="A139" s="1" t="s">
        <v>407</v>
      </c>
      <c r="B139" s="1" t="s">
        <v>164</v>
      </c>
      <c r="C139" s="1" t="s">
        <v>57</v>
      </c>
      <c r="D139" s="1" t="s">
        <v>157</v>
      </c>
      <c r="E139">
        <v>3</v>
      </c>
      <c r="F139" s="2">
        <v>45617</v>
      </c>
    </row>
    <row r="140" spans="1:6" x14ac:dyDescent="0.35">
      <c r="A140" s="1" t="s">
        <v>409</v>
      </c>
      <c r="B140" s="1" t="s">
        <v>197</v>
      </c>
      <c r="C140" s="1" t="s">
        <v>8</v>
      </c>
      <c r="D140" s="1" t="s">
        <v>157</v>
      </c>
      <c r="E140">
        <v>5</v>
      </c>
      <c r="F140" s="2">
        <v>45317</v>
      </c>
    </row>
    <row r="141" spans="1:6" x14ac:dyDescent="0.35">
      <c r="A141" s="1" t="s">
        <v>411</v>
      </c>
      <c r="B141" s="1" t="s">
        <v>172</v>
      </c>
      <c r="C141" s="1" t="s">
        <v>87</v>
      </c>
      <c r="D141" s="1" t="s">
        <v>128</v>
      </c>
      <c r="E141">
        <v>11</v>
      </c>
      <c r="F141" s="2">
        <v>45412</v>
      </c>
    </row>
    <row r="142" spans="1:6" x14ac:dyDescent="0.35">
      <c r="A142" s="1" t="s">
        <v>413</v>
      </c>
      <c r="B142" s="1" t="s">
        <v>272</v>
      </c>
      <c r="C142" s="1" t="s">
        <v>51</v>
      </c>
      <c r="D142" s="1" t="s">
        <v>171</v>
      </c>
      <c r="E142">
        <v>14</v>
      </c>
      <c r="F142" s="2">
        <v>45463</v>
      </c>
    </row>
    <row r="143" spans="1:6" x14ac:dyDescent="0.35">
      <c r="A143" s="1" t="s">
        <v>415</v>
      </c>
      <c r="B143" s="1" t="s">
        <v>172</v>
      </c>
      <c r="C143" s="1" t="s">
        <v>63</v>
      </c>
      <c r="D143" s="1" t="s">
        <v>143</v>
      </c>
      <c r="E143">
        <v>4</v>
      </c>
      <c r="F143" s="2">
        <v>45618</v>
      </c>
    </row>
    <row r="144" spans="1:6" x14ac:dyDescent="0.35">
      <c r="A144" s="1" t="s">
        <v>417</v>
      </c>
      <c r="B144" s="1" t="s">
        <v>173</v>
      </c>
      <c r="C144" s="1" t="s">
        <v>8</v>
      </c>
      <c r="D144" s="1" t="s">
        <v>171</v>
      </c>
      <c r="E144">
        <v>15</v>
      </c>
      <c r="F144" s="2">
        <v>45409</v>
      </c>
    </row>
    <row r="145" spans="1:6" x14ac:dyDescent="0.35">
      <c r="A145" s="1" t="s">
        <v>420</v>
      </c>
      <c r="B145" s="1" t="s">
        <v>164</v>
      </c>
      <c r="C145" s="1" t="s">
        <v>51</v>
      </c>
      <c r="D145" s="1" t="s">
        <v>157</v>
      </c>
      <c r="E145">
        <v>13</v>
      </c>
      <c r="F145" s="2">
        <v>45567</v>
      </c>
    </row>
    <row r="146" spans="1:6" x14ac:dyDescent="0.35">
      <c r="A146" s="1" t="s">
        <v>422</v>
      </c>
      <c r="B146" s="1" t="s">
        <v>197</v>
      </c>
      <c r="C146" s="1" t="s">
        <v>35</v>
      </c>
      <c r="D146" s="1" t="s">
        <v>128</v>
      </c>
      <c r="E146">
        <v>4</v>
      </c>
      <c r="F146" s="2">
        <v>45323</v>
      </c>
    </row>
    <row r="147" spans="1:6" x14ac:dyDescent="0.35">
      <c r="A147" s="1" t="s">
        <v>424</v>
      </c>
      <c r="B147" s="1" t="s">
        <v>248</v>
      </c>
      <c r="C147" s="1" t="s">
        <v>63</v>
      </c>
      <c r="D147" s="1" t="s">
        <v>157</v>
      </c>
      <c r="E147">
        <v>13</v>
      </c>
      <c r="F147" s="2">
        <v>45341</v>
      </c>
    </row>
    <row r="148" spans="1:6" x14ac:dyDescent="0.35">
      <c r="A148" s="1" t="s">
        <v>426</v>
      </c>
      <c r="B148" s="1" t="s">
        <v>133</v>
      </c>
      <c r="C148" s="1" t="s">
        <v>69</v>
      </c>
      <c r="D148" s="1" t="s">
        <v>121</v>
      </c>
      <c r="E148">
        <v>4</v>
      </c>
      <c r="F148" s="2">
        <v>45652</v>
      </c>
    </row>
    <row r="149" spans="1:6" x14ac:dyDescent="0.35">
      <c r="A149" s="1" t="s">
        <v>428</v>
      </c>
      <c r="B149" s="1" t="s">
        <v>149</v>
      </c>
      <c r="C149" s="1" t="s">
        <v>51</v>
      </c>
      <c r="D149" s="1" t="s">
        <v>128</v>
      </c>
      <c r="E149">
        <v>3</v>
      </c>
      <c r="F149" s="2">
        <v>45394</v>
      </c>
    </row>
    <row r="150" spans="1:6" x14ac:dyDescent="0.35">
      <c r="A150" s="1" t="s">
        <v>430</v>
      </c>
      <c r="B150" s="1" t="s">
        <v>137</v>
      </c>
      <c r="C150" s="1" t="s">
        <v>63</v>
      </c>
      <c r="D150" s="1" t="s">
        <v>124</v>
      </c>
      <c r="E150">
        <v>10</v>
      </c>
      <c r="F150" s="2">
        <v>45361</v>
      </c>
    </row>
    <row r="151" spans="1:6" x14ac:dyDescent="0.35">
      <c r="A151" s="1" t="s">
        <v>432</v>
      </c>
      <c r="B151" s="1" t="s">
        <v>164</v>
      </c>
      <c r="C151" s="1" t="s">
        <v>51</v>
      </c>
      <c r="D151" s="1" t="s">
        <v>157</v>
      </c>
      <c r="E151">
        <v>1</v>
      </c>
      <c r="F151" s="2">
        <v>45434</v>
      </c>
    </row>
    <row r="152" spans="1:6" x14ac:dyDescent="0.35">
      <c r="A152" s="1" t="s">
        <v>434</v>
      </c>
      <c r="B152" s="1" t="s">
        <v>137</v>
      </c>
      <c r="C152" s="1" t="s">
        <v>35</v>
      </c>
      <c r="D152" s="1" t="s">
        <v>128</v>
      </c>
      <c r="E152">
        <v>11</v>
      </c>
      <c r="F152" s="2">
        <v>45312</v>
      </c>
    </row>
    <row r="153" spans="1:6" x14ac:dyDescent="0.35">
      <c r="A153" s="1" t="s">
        <v>436</v>
      </c>
      <c r="B153" s="1" t="s">
        <v>188</v>
      </c>
      <c r="C153" s="1" t="s">
        <v>63</v>
      </c>
      <c r="D153" s="1" t="s">
        <v>157</v>
      </c>
      <c r="E153">
        <v>13</v>
      </c>
      <c r="F153" s="2">
        <v>45391</v>
      </c>
    </row>
    <row r="154" spans="1:6" x14ac:dyDescent="0.35">
      <c r="A154" s="1" t="s">
        <v>438</v>
      </c>
      <c r="B154" s="1" t="s">
        <v>149</v>
      </c>
      <c r="C154" s="1" t="s">
        <v>39</v>
      </c>
      <c r="D154" s="1" t="s">
        <v>143</v>
      </c>
      <c r="E154">
        <v>1</v>
      </c>
      <c r="F154" s="2">
        <v>45635</v>
      </c>
    </row>
    <row r="155" spans="1:6" x14ac:dyDescent="0.35">
      <c r="A155" s="1" t="s">
        <v>440</v>
      </c>
      <c r="B155" s="1" t="s">
        <v>240</v>
      </c>
      <c r="C155" s="1" t="s">
        <v>73</v>
      </c>
      <c r="D155" s="1" t="s">
        <v>121</v>
      </c>
      <c r="E155">
        <v>3</v>
      </c>
      <c r="F155" s="2">
        <v>45413</v>
      </c>
    </row>
    <row r="156" spans="1:6" x14ac:dyDescent="0.35">
      <c r="A156" s="1" t="s">
        <v>442</v>
      </c>
      <c r="B156" s="1" t="s">
        <v>106</v>
      </c>
      <c r="C156" s="1" t="s">
        <v>45</v>
      </c>
      <c r="D156" s="1" t="s">
        <v>157</v>
      </c>
      <c r="E156">
        <v>15</v>
      </c>
      <c r="F156" s="2">
        <v>45327</v>
      </c>
    </row>
    <row r="157" spans="1:6" x14ac:dyDescent="0.35">
      <c r="A157" s="1" t="s">
        <v>444</v>
      </c>
      <c r="B157" s="1" t="s">
        <v>172</v>
      </c>
      <c r="C157" s="1" t="s">
        <v>39</v>
      </c>
      <c r="D157" s="1" t="s">
        <v>143</v>
      </c>
      <c r="E157">
        <v>1</v>
      </c>
      <c r="F157" s="2">
        <v>45546</v>
      </c>
    </row>
    <row r="158" spans="1:6" x14ac:dyDescent="0.35">
      <c r="A158" s="1" t="s">
        <v>446</v>
      </c>
      <c r="B158" s="1" t="s">
        <v>141</v>
      </c>
      <c r="C158" s="1" t="s">
        <v>63</v>
      </c>
      <c r="D158" s="1" t="s">
        <v>124</v>
      </c>
      <c r="E158">
        <v>6</v>
      </c>
      <c r="F158" s="2">
        <v>45321</v>
      </c>
    </row>
    <row r="159" spans="1:6" x14ac:dyDescent="0.35">
      <c r="A159" s="1" t="s">
        <v>448</v>
      </c>
      <c r="B159" s="1" t="s">
        <v>172</v>
      </c>
      <c r="C159" s="1" t="s">
        <v>8</v>
      </c>
      <c r="D159" s="1" t="s">
        <v>128</v>
      </c>
      <c r="E159">
        <v>3</v>
      </c>
      <c r="F159" s="2">
        <v>45354</v>
      </c>
    </row>
    <row r="160" spans="1:6" x14ac:dyDescent="0.35">
      <c r="A160" s="1" t="s">
        <v>450</v>
      </c>
      <c r="B160" s="1" t="s">
        <v>113</v>
      </c>
      <c r="C160" s="1" t="s">
        <v>69</v>
      </c>
      <c r="D160" s="1" t="s">
        <v>157</v>
      </c>
      <c r="E160">
        <v>1</v>
      </c>
      <c r="F160" s="2">
        <v>45546</v>
      </c>
    </row>
    <row r="161" spans="1:6" x14ac:dyDescent="0.35">
      <c r="A161" s="1" t="s">
        <v>452</v>
      </c>
      <c r="B161" s="1" t="s">
        <v>111</v>
      </c>
      <c r="C161" s="1" t="s">
        <v>29</v>
      </c>
      <c r="D161" s="1" t="s">
        <v>157</v>
      </c>
      <c r="E161">
        <v>2</v>
      </c>
      <c r="F161" s="2">
        <v>45652</v>
      </c>
    </row>
    <row r="162" spans="1:6" x14ac:dyDescent="0.35">
      <c r="A162" s="1" t="s">
        <v>454</v>
      </c>
      <c r="B162" s="1" t="s">
        <v>168</v>
      </c>
      <c r="C162" s="1" t="s">
        <v>39</v>
      </c>
      <c r="D162" s="1" t="s">
        <v>121</v>
      </c>
      <c r="E162">
        <v>14</v>
      </c>
      <c r="F162" s="2">
        <v>45631</v>
      </c>
    </row>
    <row r="163" spans="1:6" x14ac:dyDescent="0.35">
      <c r="A163" s="1" t="s">
        <v>456</v>
      </c>
      <c r="B163" s="1" t="s">
        <v>272</v>
      </c>
      <c r="C163" s="1" t="s">
        <v>82</v>
      </c>
      <c r="D163" s="1" t="s">
        <v>143</v>
      </c>
      <c r="E163">
        <v>8</v>
      </c>
      <c r="F163" s="2">
        <v>45419</v>
      </c>
    </row>
    <row r="164" spans="1:6" x14ac:dyDescent="0.35">
      <c r="A164" s="1" t="s">
        <v>458</v>
      </c>
      <c r="B164" s="1" t="s">
        <v>149</v>
      </c>
      <c r="C164" s="1" t="s">
        <v>45</v>
      </c>
      <c r="D164" s="1" t="s">
        <v>143</v>
      </c>
      <c r="E164">
        <v>12</v>
      </c>
      <c r="F164" s="2">
        <v>45530</v>
      </c>
    </row>
    <row r="165" spans="1:6" x14ac:dyDescent="0.35">
      <c r="A165" s="1" t="s">
        <v>460</v>
      </c>
      <c r="B165" s="1" t="s">
        <v>111</v>
      </c>
      <c r="C165" s="1" t="s">
        <v>15</v>
      </c>
      <c r="D165" s="1" t="s">
        <v>128</v>
      </c>
      <c r="E165">
        <v>4</v>
      </c>
      <c r="F165" s="2">
        <v>45424</v>
      </c>
    </row>
    <row r="166" spans="1:6" x14ac:dyDescent="0.35">
      <c r="A166" s="1" t="s">
        <v>462</v>
      </c>
      <c r="B166" s="1" t="s">
        <v>141</v>
      </c>
      <c r="C166" s="1" t="s">
        <v>45</v>
      </c>
      <c r="D166" s="1" t="s">
        <v>128</v>
      </c>
      <c r="E166">
        <v>3</v>
      </c>
      <c r="F166" s="2">
        <v>45598</v>
      </c>
    </row>
    <row r="167" spans="1:6" x14ac:dyDescent="0.35">
      <c r="A167" s="1" t="s">
        <v>463</v>
      </c>
      <c r="B167" s="1" t="s">
        <v>172</v>
      </c>
      <c r="C167" s="1" t="s">
        <v>29</v>
      </c>
      <c r="D167" s="1" t="s">
        <v>143</v>
      </c>
      <c r="E167">
        <v>11</v>
      </c>
      <c r="F167" s="2">
        <v>45563</v>
      </c>
    </row>
    <row r="168" spans="1:6" x14ac:dyDescent="0.35">
      <c r="A168" s="1" t="s">
        <v>464</v>
      </c>
      <c r="B168" s="1" t="s">
        <v>149</v>
      </c>
      <c r="C168" s="1" t="s">
        <v>8</v>
      </c>
      <c r="D168" s="1" t="s">
        <v>143</v>
      </c>
      <c r="E168">
        <v>9</v>
      </c>
      <c r="F168" s="2">
        <v>45393</v>
      </c>
    </row>
    <row r="169" spans="1:6" x14ac:dyDescent="0.35">
      <c r="A169" s="1" t="s">
        <v>465</v>
      </c>
      <c r="B169" s="1" t="s">
        <v>272</v>
      </c>
      <c r="C169" s="1" t="s">
        <v>39</v>
      </c>
      <c r="D169" s="1" t="s">
        <v>128</v>
      </c>
      <c r="E169">
        <v>13</v>
      </c>
      <c r="F169" s="2">
        <v>45345</v>
      </c>
    </row>
    <row r="170" spans="1:6" x14ac:dyDescent="0.35">
      <c r="A170" s="1" t="s">
        <v>467</v>
      </c>
      <c r="B170" s="1" t="s">
        <v>176</v>
      </c>
      <c r="C170" s="1" t="s">
        <v>63</v>
      </c>
      <c r="D170" s="1" t="s">
        <v>171</v>
      </c>
      <c r="E170">
        <v>14</v>
      </c>
      <c r="F170" s="2">
        <v>45473</v>
      </c>
    </row>
    <row r="171" spans="1:6" x14ac:dyDescent="0.35">
      <c r="A171" s="1" t="s">
        <v>469</v>
      </c>
      <c r="B171" s="1" t="s">
        <v>168</v>
      </c>
      <c r="C171" s="1" t="s">
        <v>51</v>
      </c>
      <c r="D171" s="1" t="s">
        <v>128</v>
      </c>
      <c r="E171">
        <v>12</v>
      </c>
      <c r="F171" s="2">
        <v>45533</v>
      </c>
    </row>
    <row r="172" spans="1:6" x14ac:dyDescent="0.35">
      <c r="A172" s="1" t="s">
        <v>471</v>
      </c>
      <c r="B172" s="1" t="s">
        <v>106</v>
      </c>
      <c r="C172" s="1" t="s">
        <v>78</v>
      </c>
      <c r="D172" s="1" t="s">
        <v>143</v>
      </c>
      <c r="E172">
        <v>1</v>
      </c>
      <c r="F172" s="2">
        <v>45501</v>
      </c>
    </row>
    <row r="173" spans="1:6" x14ac:dyDescent="0.35">
      <c r="A173" s="1" t="s">
        <v>473</v>
      </c>
      <c r="B173" s="1" t="s">
        <v>172</v>
      </c>
      <c r="C173" s="1" t="s">
        <v>63</v>
      </c>
      <c r="D173" s="1" t="s">
        <v>124</v>
      </c>
      <c r="E173">
        <v>11</v>
      </c>
      <c r="F173" s="2">
        <v>45657</v>
      </c>
    </row>
    <row r="174" spans="1:6" x14ac:dyDescent="0.35">
      <c r="A174" s="1" t="s">
        <v>475</v>
      </c>
      <c r="B174" s="1" t="s">
        <v>116</v>
      </c>
      <c r="C174" s="1" t="s">
        <v>35</v>
      </c>
      <c r="D174" s="1" t="s">
        <v>121</v>
      </c>
      <c r="E174">
        <v>11</v>
      </c>
      <c r="F174" s="2">
        <v>45529</v>
      </c>
    </row>
    <row r="175" spans="1:6" x14ac:dyDescent="0.35">
      <c r="A175" s="1" t="s">
        <v>477</v>
      </c>
      <c r="B175" s="1" t="s">
        <v>172</v>
      </c>
      <c r="C175" s="1" t="s">
        <v>78</v>
      </c>
      <c r="D175" s="1" t="s">
        <v>157</v>
      </c>
      <c r="E175">
        <v>8</v>
      </c>
      <c r="F175" s="2">
        <v>45611</v>
      </c>
    </row>
    <row r="176" spans="1:6" x14ac:dyDescent="0.35">
      <c r="A176" s="1" t="s">
        <v>479</v>
      </c>
      <c r="B176" s="1" t="s">
        <v>240</v>
      </c>
      <c r="C176" s="1" t="s">
        <v>15</v>
      </c>
      <c r="D176" s="1" t="s">
        <v>171</v>
      </c>
      <c r="E176">
        <v>5</v>
      </c>
      <c r="F176" s="2">
        <v>45381</v>
      </c>
    </row>
    <row r="177" spans="1:6" x14ac:dyDescent="0.35">
      <c r="A177" s="1" t="s">
        <v>481</v>
      </c>
      <c r="B177" s="1" t="s">
        <v>197</v>
      </c>
      <c r="C177" s="1" t="s">
        <v>87</v>
      </c>
      <c r="D177" s="1" t="s">
        <v>171</v>
      </c>
      <c r="E177">
        <v>3</v>
      </c>
      <c r="F177" s="2">
        <v>45432</v>
      </c>
    </row>
    <row r="178" spans="1:6" x14ac:dyDescent="0.35">
      <c r="A178" s="1" t="s">
        <v>483</v>
      </c>
      <c r="B178" s="1" t="s">
        <v>197</v>
      </c>
      <c r="C178" s="1" t="s">
        <v>29</v>
      </c>
      <c r="D178" s="1" t="s">
        <v>121</v>
      </c>
      <c r="E178">
        <v>8</v>
      </c>
      <c r="F178" s="2">
        <v>45640</v>
      </c>
    </row>
    <row r="179" spans="1:6" x14ac:dyDescent="0.35">
      <c r="A179" s="1" t="s">
        <v>485</v>
      </c>
      <c r="B179" s="1" t="s">
        <v>141</v>
      </c>
      <c r="C179" s="1" t="s">
        <v>8</v>
      </c>
      <c r="D179" s="1" t="s">
        <v>143</v>
      </c>
      <c r="E179">
        <v>10</v>
      </c>
      <c r="F179" s="2">
        <v>45332</v>
      </c>
    </row>
    <row r="180" spans="1:6" x14ac:dyDescent="0.35">
      <c r="A180" s="1" t="s">
        <v>487</v>
      </c>
      <c r="B180" s="1" t="s">
        <v>111</v>
      </c>
      <c r="C180" s="1" t="s">
        <v>82</v>
      </c>
      <c r="D180" s="1" t="s">
        <v>143</v>
      </c>
      <c r="E180">
        <v>10</v>
      </c>
      <c r="F180" s="2">
        <v>45325</v>
      </c>
    </row>
    <row r="181" spans="1:6" x14ac:dyDescent="0.35">
      <c r="A181" s="1" t="s">
        <v>489</v>
      </c>
      <c r="B181" s="1" t="s">
        <v>164</v>
      </c>
      <c r="C181" s="1" t="s">
        <v>15</v>
      </c>
      <c r="D181" s="1" t="s">
        <v>171</v>
      </c>
      <c r="E181">
        <v>6</v>
      </c>
      <c r="F181" s="2">
        <v>45408</v>
      </c>
    </row>
    <row r="182" spans="1:6" x14ac:dyDescent="0.35">
      <c r="A182" s="1" t="s">
        <v>491</v>
      </c>
      <c r="B182" s="1" t="s">
        <v>164</v>
      </c>
      <c r="C182" s="1" t="s">
        <v>82</v>
      </c>
      <c r="D182" s="1" t="s">
        <v>171</v>
      </c>
      <c r="E182">
        <v>10</v>
      </c>
      <c r="F182" s="2">
        <v>45526</v>
      </c>
    </row>
    <row r="183" spans="1:6" x14ac:dyDescent="0.35">
      <c r="A183" s="1" t="s">
        <v>493</v>
      </c>
      <c r="B183" s="1" t="s">
        <v>111</v>
      </c>
      <c r="C183" s="1" t="s">
        <v>35</v>
      </c>
      <c r="D183" s="1" t="s">
        <v>121</v>
      </c>
      <c r="E183">
        <v>13</v>
      </c>
      <c r="F183" s="2">
        <v>45648</v>
      </c>
    </row>
    <row r="184" spans="1:6" x14ac:dyDescent="0.35">
      <c r="A184" s="1" t="s">
        <v>495</v>
      </c>
      <c r="B184" s="1" t="s">
        <v>116</v>
      </c>
      <c r="C184" s="1" t="s">
        <v>15</v>
      </c>
      <c r="D184" s="1" t="s">
        <v>157</v>
      </c>
      <c r="E184">
        <v>1</v>
      </c>
      <c r="F184" s="2">
        <v>45416</v>
      </c>
    </row>
    <row r="185" spans="1:6" x14ac:dyDescent="0.35">
      <c r="A185" s="1" t="s">
        <v>497</v>
      </c>
      <c r="B185" s="1" t="s">
        <v>149</v>
      </c>
      <c r="C185" s="1" t="s">
        <v>8</v>
      </c>
      <c r="D185" s="1" t="s">
        <v>143</v>
      </c>
      <c r="E185">
        <v>15</v>
      </c>
      <c r="F185" s="2">
        <v>45545</v>
      </c>
    </row>
    <row r="186" spans="1:6" x14ac:dyDescent="0.35">
      <c r="A186" s="1" t="s">
        <v>499</v>
      </c>
      <c r="B186" s="1" t="s">
        <v>188</v>
      </c>
      <c r="C186" s="1" t="s">
        <v>87</v>
      </c>
      <c r="D186" s="1" t="s">
        <v>143</v>
      </c>
      <c r="E186">
        <v>1</v>
      </c>
      <c r="F186" s="2">
        <v>45530</v>
      </c>
    </row>
    <row r="187" spans="1:6" x14ac:dyDescent="0.35">
      <c r="A187" s="1" t="s">
        <v>501</v>
      </c>
      <c r="B187" s="1" t="s">
        <v>164</v>
      </c>
      <c r="C187" s="1" t="s">
        <v>82</v>
      </c>
      <c r="D187" s="1" t="s">
        <v>121</v>
      </c>
      <c r="E187">
        <v>5</v>
      </c>
      <c r="F187" s="2">
        <v>45455</v>
      </c>
    </row>
    <row r="188" spans="1:6" x14ac:dyDescent="0.35">
      <c r="A188" s="1" t="s">
        <v>503</v>
      </c>
      <c r="B188" s="1" t="s">
        <v>191</v>
      </c>
      <c r="C188" s="1" t="s">
        <v>63</v>
      </c>
      <c r="D188" s="1" t="s">
        <v>121</v>
      </c>
      <c r="E188">
        <v>15</v>
      </c>
      <c r="F188" s="2">
        <v>45643</v>
      </c>
    </row>
    <row r="189" spans="1:6" x14ac:dyDescent="0.35">
      <c r="A189" s="1" t="s">
        <v>505</v>
      </c>
      <c r="B189" s="1" t="s">
        <v>111</v>
      </c>
      <c r="C189" s="1" t="s">
        <v>78</v>
      </c>
      <c r="D189" s="1" t="s">
        <v>171</v>
      </c>
      <c r="E189">
        <v>5</v>
      </c>
      <c r="F189" s="2">
        <v>45412</v>
      </c>
    </row>
    <row r="190" spans="1:6" x14ac:dyDescent="0.35">
      <c r="A190" s="1" t="s">
        <v>506</v>
      </c>
      <c r="B190" s="1" t="s">
        <v>116</v>
      </c>
      <c r="C190" s="1" t="s">
        <v>69</v>
      </c>
      <c r="D190" s="1" t="s">
        <v>143</v>
      </c>
      <c r="E190">
        <v>10</v>
      </c>
      <c r="F190" s="2">
        <v>45597</v>
      </c>
    </row>
    <row r="191" spans="1:6" x14ac:dyDescent="0.35">
      <c r="A191" s="1" t="s">
        <v>508</v>
      </c>
      <c r="B191" s="1" t="s">
        <v>141</v>
      </c>
      <c r="C191" s="1" t="s">
        <v>51</v>
      </c>
      <c r="D191" s="1" t="s">
        <v>121</v>
      </c>
      <c r="E191">
        <v>1</v>
      </c>
      <c r="F191" s="2">
        <v>45655</v>
      </c>
    </row>
    <row r="192" spans="1:6" x14ac:dyDescent="0.35">
      <c r="A192" s="1" t="s">
        <v>510</v>
      </c>
      <c r="B192" s="1" t="s">
        <v>141</v>
      </c>
      <c r="C192" s="1" t="s">
        <v>51</v>
      </c>
      <c r="D192" s="1" t="s">
        <v>124</v>
      </c>
      <c r="E192">
        <v>1</v>
      </c>
      <c r="F192" s="2">
        <v>45404</v>
      </c>
    </row>
    <row r="193" spans="1:6" x14ac:dyDescent="0.35">
      <c r="A193" s="1" t="s">
        <v>512</v>
      </c>
      <c r="B193" s="1" t="s">
        <v>168</v>
      </c>
      <c r="C193" s="1" t="s">
        <v>87</v>
      </c>
      <c r="D193" s="1" t="s">
        <v>124</v>
      </c>
      <c r="E193">
        <v>7</v>
      </c>
      <c r="F193" s="2">
        <v>45599</v>
      </c>
    </row>
    <row r="194" spans="1:6" x14ac:dyDescent="0.35">
      <c r="A194" s="1" t="s">
        <v>514</v>
      </c>
      <c r="B194" s="1" t="s">
        <v>188</v>
      </c>
      <c r="C194" s="1" t="s">
        <v>15</v>
      </c>
      <c r="D194" s="1" t="s">
        <v>171</v>
      </c>
      <c r="E194">
        <v>9</v>
      </c>
      <c r="F194" s="2">
        <v>45522</v>
      </c>
    </row>
    <row r="195" spans="1:6" x14ac:dyDescent="0.35">
      <c r="A195" s="1" t="s">
        <v>516</v>
      </c>
      <c r="B195" s="1" t="s">
        <v>137</v>
      </c>
      <c r="C195" s="1" t="s">
        <v>82</v>
      </c>
      <c r="D195" s="1" t="s">
        <v>171</v>
      </c>
      <c r="E195">
        <v>9</v>
      </c>
      <c r="F195" s="2">
        <v>45495</v>
      </c>
    </row>
    <row r="196" spans="1:6" x14ac:dyDescent="0.35">
      <c r="A196" s="1" t="s">
        <v>518</v>
      </c>
      <c r="B196" s="1" t="s">
        <v>111</v>
      </c>
      <c r="C196" s="1" t="s">
        <v>8</v>
      </c>
      <c r="D196" s="1" t="s">
        <v>121</v>
      </c>
      <c r="E196">
        <v>11</v>
      </c>
      <c r="F196" s="2">
        <v>45428</v>
      </c>
    </row>
    <row r="197" spans="1:6" x14ac:dyDescent="0.35">
      <c r="A197" s="1" t="s">
        <v>520</v>
      </c>
      <c r="B197" s="1" t="s">
        <v>168</v>
      </c>
      <c r="C197" s="1" t="s">
        <v>87</v>
      </c>
      <c r="D197" s="1" t="s">
        <v>124</v>
      </c>
      <c r="E197">
        <v>1</v>
      </c>
      <c r="F197" s="2">
        <v>45479</v>
      </c>
    </row>
    <row r="198" spans="1:6" x14ac:dyDescent="0.35">
      <c r="A198" s="1" t="s">
        <v>522</v>
      </c>
      <c r="B198" s="1" t="s">
        <v>191</v>
      </c>
      <c r="C198" s="1" t="s">
        <v>51</v>
      </c>
      <c r="D198" s="1" t="s">
        <v>128</v>
      </c>
      <c r="E198">
        <v>7</v>
      </c>
      <c r="F198" s="2">
        <v>45455</v>
      </c>
    </row>
    <row r="199" spans="1:6" x14ac:dyDescent="0.35">
      <c r="A199" s="1" t="s">
        <v>524</v>
      </c>
      <c r="B199" s="1" t="s">
        <v>168</v>
      </c>
      <c r="C199" s="1" t="s">
        <v>78</v>
      </c>
      <c r="D199" s="1" t="s">
        <v>157</v>
      </c>
      <c r="E199">
        <v>12</v>
      </c>
      <c r="F199" s="2">
        <v>45373</v>
      </c>
    </row>
    <row r="200" spans="1:6" x14ac:dyDescent="0.35">
      <c r="A200" s="1" t="s">
        <v>526</v>
      </c>
      <c r="B200" s="1" t="s">
        <v>173</v>
      </c>
      <c r="C200" s="1" t="s">
        <v>87</v>
      </c>
      <c r="D200" s="1" t="s">
        <v>143</v>
      </c>
      <c r="E200">
        <v>13</v>
      </c>
      <c r="F200" s="2">
        <v>45400</v>
      </c>
    </row>
    <row r="201" spans="1:6" x14ac:dyDescent="0.35">
      <c r="A201" s="1" t="s">
        <v>528</v>
      </c>
      <c r="B201" s="1" t="s">
        <v>149</v>
      </c>
      <c r="C201" s="1" t="s">
        <v>63</v>
      </c>
      <c r="D201" s="1" t="s">
        <v>124</v>
      </c>
      <c r="E201">
        <v>2</v>
      </c>
      <c r="F201" s="2">
        <v>45616</v>
      </c>
    </row>
    <row r="202" spans="1:6" x14ac:dyDescent="0.35">
      <c r="A202" s="1" t="s">
        <v>530</v>
      </c>
      <c r="B202" s="1" t="s">
        <v>272</v>
      </c>
      <c r="C202" s="1" t="s">
        <v>39</v>
      </c>
      <c r="D202" s="1" t="s">
        <v>128</v>
      </c>
      <c r="E202">
        <v>15</v>
      </c>
      <c r="F202" s="2">
        <v>45470</v>
      </c>
    </row>
    <row r="203" spans="1:6" x14ac:dyDescent="0.35">
      <c r="A203" s="1" t="s">
        <v>532</v>
      </c>
      <c r="B203" s="1" t="s">
        <v>168</v>
      </c>
      <c r="C203" s="1" t="s">
        <v>82</v>
      </c>
      <c r="D203" s="1" t="s">
        <v>171</v>
      </c>
      <c r="E203">
        <v>14</v>
      </c>
      <c r="F203" s="2">
        <v>45400</v>
      </c>
    </row>
    <row r="204" spans="1:6" x14ac:dyDescent="0.35">
      <c r="A204" s="1" t="s">
        <v>534</v>
      </c>
      <c r="B204" s="1" t="s">
        <v>164</v>
      </c>
      <c r="C204" s="1" t="s">
        <v>87</v>
      </c>
      <c r="D204" s="1" t="s">
        <v>121</v>
      </c>
      <c r="E204">
        <v>8</v>
      </c>
      <c r="F204" s="2">
        <v>45396</v>
      </c>
    </row>
    <row r="205" spans="1:6" x14ac:dyDescent="0.35">
      <c r="A205" s="1" t="s">
        <v>536</v>
      </c>
      <c r="B205" s="1" t="s">
        <v>111</v>
      </c>
      <c r="C205" s="1" t="s">
        <v>8</v>
      </c>
      <c r="D205" s="1" t="s">
        <v>143</v>
      </c>
      <c r="E205">
        <v>15</v>
      </c>
      <c r="F205" s="2">
        <v>45409</v>
      </c>
    </row>
    <row r="206" spans="1:6" x14ac:dyDescent="0.35">
      <c r="A206" s="1" t="s">
        <v>538</v>
      </c>
      <c r="B206" s="1" t="s">
        <v>191</v>
      </c>
      <c r="C206" s="1" t="s">
        <v>8</v>
      </c>
      <c r="D206" s="1" t="s">
        <v>157</v>
      </c>
      <c r="E206">
        <v>15</v>
      </c>
      <c r="F206" s="2">
        <v>45360</v>
      </c>
    </row>
    <row r="207" spans="1:6" x14ac:dyDescent="0.35">
      <c r="A207" s="1" t="s">
        <v>540</v>
      </c>
      <c r="B207" s="1" t="s">
        <v>272</v>
      </c>
      <c r="C207" s="1" t="s">
        <v>73</v>
      </c>
      <c r="D207" s="1" t="s">
        <v>157</v>
      </c>
      <c r="E207">
        <v>9</v>
      </c>
      <c r="F207" s="2">
        <v>45607</v>
      </c>
    </row>
    <row r="208" spans="1:6" x14ac:dyDescent="0.35">
      <c r="A208" s="1" t="s">
        <v>542</v>
      </c>
      <c r="B208" s="1" t="s">
        <v>133</v>
      </c>
      <c r="C208" s="1" t="s">
        <v>69</v>
      </c>
      <c r="D208" s="1" t="s">
        <v>157</v>
      </c>
      <c r="E208">
        <v>9</v>
      </c>
      <c r="F208" s="2">
        <v>45532</v>
      </c>
    </row>
    <row r="209" spans="1:6" x14ac:dyDescent="0.35">
      <c r="A209" s="1" t="s">
        <v>544</v>
      </c>
      <c r="B209" s="1" t="s">
        <v>191</v>
      </c>
      <c r="C209" s="1" t="s">
        <v>78</v>
      </c>
      <c r="D209" s="1" t="s">
        <v>121</v>
      </c>
      <c r="E209">
        <v>7</v>
      </c>
      <c r="F209" s="2">
        <v>45420</v>
      </c>
    </row>
    <row r="210" spans="1:6" x14ac:dyDescent="0.35">
      <c r="A210" s="1" t="s">
        <v>546</v>
      </c>
      <c r="B210" s="1" t="s">
        <v>116</v>
      </c>
      <c r="C210" s="1" t="s">
        <v>82</v>
      </c>
      <c r="D210" s="1" t="s">
        <v>157</v>
      </c>
      <c r="E210">
        <v>2</v>
      </c>
      <c r="F210" s="2">
        <v>45448</v>
      </c>
    </row>
    <row r="211" spans="1:6" x14ac:dyDescent="0.35">
      <c r="A211" s="1" t="s">
        <v>548</v>
      </c>
      <c r="B211" s="1" t="s">
        <v>172</v>
      </c>
      <c r="C211" s="1" t="s">
        <v>51</v>
      </c>
      <c r="D211" s="1" t="s">
        <v>157</v>
      </c>
      <c r="E211">
        <v>12</v>
      </c>
      <c r="F211" s="2">
        <v>45493</v>
      </c>
    </row>
    <row r="212" spans="1:6" x14ac:dyDescent="0.35">
      <c r="A212" s="1" t="s">
        <v>550</v>
      </c>
      <c r="B212" s="1" t="s">
        <v>116</v>
      </c>
      <c r="C212" s="1" t="s">
        <v>35</v>
      </c>
      <c r="D212" s="1" t="s">
        <v>124</v>
      </c>
      <c r="E212">
        <v>11</v>
      </c>
      <c r="F212" s="2">
        <v>45380</v>
      </c>
    </row>
    <row r="213" spans="1:6" x14ac:dyDescent="0.35">
      <c r="A213" s="1" t="s">
        <v>552</v>
      </c>
      <c r="B213" s="1" t="s">
        <v>197</v>
      </c>
      <c r="C213" s="1" t="s">
        <v>87</v>
      </c>
      <c r="D213" s="1" t="s">
        <v>171</v>
      </c>
      <c r="E213">
        <v>12</v>
      </c>
      <c r="F213" s="2">
        <v>45451</v>
      </c>
    </row>
    <row r="214" spans="1:6" x14ac:dyDescent="0.35">
      <c r="A214" s="1" t="s">
        <v>554</v>
      </c>
      <c r="B214" s="1" t="s">
        <v>191</v>
      </c>
      <c r="C214" s="1" t="s">
        <v>15</v>
      </c>
      <c r="D214" s="1" t="s">
        <v>124</v>
      </c>
      <c r="E214">
        <v>12</v>
      </c>
      <c r="F214" s="2">
        <v>45501</v>
      </c>
    </row>
    <row r="215" spans="1:6" x14ac:dyDescent="0.35">
      <c r="A215" s="1" t="s">
        <v>556</v>
      </c>
      <c r="B215" s="1" t="s">
        <v>173</v>
      </c>
      <c r="C215" s="1" t="s">
        <v>69</v>
      </c>
      <c r="D215" s="1" t="s">
        <v>157</v>
      </c>
      <c r="E215">
        <v>8</v>
      </c>
      <c r="F215" s="2">
        <v>45542</v>
      </c>
    </row>
    <row r="216" spans="1:6" x14ac:dyDescent="0.35">
      <c r="A216" s="1" t="s">
        <v>558</v>
      </c>
      <c r="B216" s="1" t="s">
        <v>188</v>
      </c>
      <c r="C216" s="1" t="s">
        <v>8</v>
      </c>
      <c r="D216" s="1" t="s">
        <v>124</v>
      </c>
      <c r="E216">
        <v>13</v>
      </c>
      <c r="F216" s="2">
        <v>45544</v>
      </c>
    </row>
    <row r="217" spans="1:6" x14ac:dyDescent="0.35">
      <c r="A217" s="1" t="s">
        <v>560</v>
      </c>
      <c r="B217" s="1" t="s">
        <v>141</v>
      </c>
      <c r="C217" s="1" t="s">
        <v>15</v>
      </c>
      <c r="D217" s="1" t="s">
        <v>171</v>
      </c>
      <c r="E217">
        <v>10</v>
      </c>
      <c r="F217" s="2">
        <v>45353</v>
      </c>
    </row>
    <row r="218" spans="1:6" x14ac:dyDescent="0.35">
      <c r="A218" s="1" t="s">
        <v>562</v>
      </c>
      <c r="B218" s="1" t="s">
        <v>191</v>
      </c>
      <c r="C218" s="1" t="s">
        <v>51</v>
      </c>
      <c r="D218" s="1" t="s">
        <v>171</v>
      </c>
      <c r="E218">
        <v>13</v>
      </c>
      <c r="F218" s="2">
        <v>45634</v>
      </c>
    </row>
    <row r="219" spans="1:6" x14ac:dyDescent="0.35">
      <c r="A219" s="1" t="s">
        <v>564</v>
      </c>
      <c r="B219" s="1" t="s">
        <v>173</v>
      </c>
      <c r="C219" s="1" t="s">
        <v>39</v>
      </c>
      <c r="D219" s="1" t="s">
        <v>124</v>
      </c>
      <c r="E219">
        <v>8</v>
      </c>
      <c r="F219" s="2">
        <v>45558</v>
      </c>
    </row>
    <row r="220" spans="1:6" x14ac:dyDescent="0.35">
      <c r="A220" s="1" t="s">
        <v>566</v>
      </c>
      <c r="B220" s="1" t="s">
        <v>172</v>
      </c>
      <c r="C220" s="1" t="s">
        <v>35</v>
      </c>
      <c r="D220" s="1" t="s">
        <v>124</v>
      </c>
      <c r="E220">
        <v>12</v>
      </c>
      <c r="F220" s="2">
        <v>45557</v>
      </c>
    </row>
    <row r="221" spans="1:6" x14ac:dyDescent="0.35">
      <c r="A221" s="1" t="s">
        <v>568</v>
      </c>
      <c r="B221" s="1" t="s">
        <v>113</v>
      </c>
      <c r="C221" s="1" t="s">
        <v>78</v>
      </c>
      <c r="D221" s="1" t="s">
        <v>143</v>
      </c>
      <c r="E221">
        <v>2</v>
      </c>
      <c r="F221" s="2">
        <v>45373</v>
      </c>
    </row>
    <row r="222" spans="1:6" x14ac:dyDescent="0.35">
      <c r="A222" s="1" t="s">
        <v>570</v>
      </c>
      <c r="B222" s="1" t="s">
        <v>168</v>
      </c>
      <c r="C222" s="1" t="s">
        <v>73</v>
      </c>
      <c r="D222" s="1" t="s">
        <v>124</v>
      </c>
      <c r="E222">
        <v>8</v>
      </c>
      <c r="F222" s="2">
        <v>45547</v>
      </c>
    </row>
    <row r="223" spans="1:6" x14ac:dyDescent="0.35">
      <c r="A223" s="1" t="s">
        <v>572</v>
      </c>
      <c r="B223" s="1" t="s">
        <v>109</v>
      </c>
      <c r="C223" s="1" t="s">
        <v>15</v>
      </c>
      <c r="D223" s="1" t="s">
        <v>121</v>
      </c>
      <c r="E223">
        <v>5</v>
      </c>
      <c r="F223" s="2">
        <v>45639</v>
      </c>
    </row>
    <row r="224" spans="1:6" x14ac:dyDescent="0.35">
      <c r="A224" s="1" t="s">
        <v>574</v>
      </c>
      <c r="B224" s="1" t="s">
        <v>173</v>
      </c>
      <c r="C224" s="1" t="s">
        <v>8</v>
      </c>
      <c r="D224" s="1" t="s">
        <v>128</v>
      </c>
      <c r="E224">
        <v>5</v>
      </c>
      <c r="F224" s="2">
        <v>45600</v>
      </c>
    </row>
    <row r="225" spans="1:6" x14ac:dyDescent="0.35">
      <c r="A225" s="1" t="s">
        <v>576</v>
      </c>
      <c r="B225" s="1" t="s">
        <v>191</v>
      </c>
      <c r="C225" s="1" t="s">
        <v>15</v>
      </c>
      <c r="D225" s="1" t="s">
        <v>143</v>
      </c>
      <c r="E225">
        <v>5</v>
      </c>
      <c r="F225" s="2">
        <v>45559</v>
      </c>
    </row>
    <row r="226" spans="1:6" x14ac:dyDescent="0.35">
      <c r="A226" s="1" t="s">
        <v>578</v>
      </c>
      <c r="B226" s="1" t="s">
        <v>116</v>
      </c>
      <c r="C226" s="1" t="s">
        <v>15</v>
      </c>
      <c r="D226" s="1" t="s">
        <v>171</v>
      </c>
      <c r="E226">
        <v>10</v>
      </c>
      <c r="F226" s="2">
        <v>45496</v>
      </c>
    </row>
    <row r="227" spans="1:6" x14ac:dyDescent="0.35">
      <c r="A227" s="1" t="s">
        <v>580</v>
      </c>
      <c r="B227" s="1" t="s">
        <v>197</v>
      </c>
      <c r="C227" s="1" t="s">
        <v>45</v>
      </c>
      <c r="D227" s="1" t="s">
        <v>143</v>
      </c>
      <c r="E227">
        <v>9</v>
      </c>
      <c r="F227" s="2">
        <v>45611</v>
      </c>
    </row>
    <row r="228" spans="1:6" x14ac:dyDescent="0.35">
      <c r="A228" s="1" t="s">
        <v>582</v>
      </c>
      <c r="B228" s="1" t="s">
        <v>113</v>
      </c>
      <c r="C228" s="1" t="s">
        <v>82</v>
      </c>
      <c r="D228" s="1" t="s">
        <v>171</v>
      </c>
      <c r="E228">
        <v>10</v>
      </c>
      <c r="F228" s="2">
        <v>45579</v>
      </c>
    </row>
    <row r="229" spans="1:6" x14ac:dyDescent="0.35">
      <c r="A229" s="1" t="s">
        <v>584</v>
      </c>
      <c r="B229" s="1" t="s">
        <v>109</v>
      </c>
      <c r="C229" s="1" t="s">
        <v>82</v>
      </c>
      <c r="D229" s="1" t="s">
        <v>171</v>
      </c>
      <c r="E229">
        <v>5</v>
      </c>
      <c r="F229" s="2">
        <v>45568</v>
      </c>
    </row>
    <row r="230" spans="1:6" x14ac:dyDescent="0.35">
      <c r="A230" s="1" t="s">
        <v>586</v>
      </c>
      <c r="B230" s="1" t="s">
        <v>168</v>
      </c>
      <c r="C230" s="1" t="s">
        <v>35</v>
      </c>
      <c r="D230" s="1" t="s">
        <v>121</v>
      </c>
      <c r="E230">
        <v>2</v>
      </c>
      <c r="F230" s="2">
        <v>45344</v>
      </c>
    </row>
    <row r="231" spans="1:6" x14ac:dyDescent="0.35">
      <c r="A231" s="1" t="s">
        <v>588</v>
      </c>
      <c r="B231" s="1" t="s">
        <v>149</v>
      </c>
      <c r="C231" s="1" t="s">
        <v>87</v>
      </c>
      <c r="D231" s="1" t="s">
        <v>128</v>
      </c>
      <c r="E231">
        <v>13</v>
      </c>
      <c r="F231" s="2">
        <v>45537</v>
      </c>
    </row>
    <row r="232" spans="1:6" x14ac:dyDescent="0.35">
      <c r="A232" s="1" t="s">
        <v>590</v>
      </c>
      <c r="B232" s="1" t="s">
        <v>197</v>
      </c>
      <c r="C232" s="1" t="s">
        <v>15</v>
      </c>
      <c r="D232" s="1" t="s">
        <v>157</v>
      </c>
      <c r="E232">
        <v>2</v>
      </c>
      <c r="F232" s="2">
        <v>45637</v>
      </c>
    </row>
    <row r="233" spans="1:6" x14ac:dyDescent="0.35">
      <c r="A233" s="1" t="s">
        <v>592</v>
      </c>
      <c r="B233" s="1" t="s">
        <v>197</v>
      </c>
      <c r="C233" s="1" t="s">
        <v>35</v>
      </c>
      <c r="D233" s="1" t="s">
        <v>128</v>
      </c>
      <c r="E233">
        <v>9</v>
      </c>
      <c r="F233" s="2">
        <v>45343</v>
      </c>
    </row>
    <row r="234" spans="1:6" x14ac:dyDescent="0.35">
      <c r="A234" s="1" t="s">
        <v>594</v>
      </c>
      <c r="B234" s="1" t="s">
        <v>106</v>
      </c>
      <c r="C234" s="1" t="s">
        <v>39</v>
      </c>
      <c r="D234" s="1" t="s">
        <v>143</v>
      </c>
      <c r="E234">
        <v>13</v>
      </c>
      <c r="F234" s="2">
        <v>45361</v>
      </c>
    </row>
    <row r="235" spans="1:6" x14ac:dyDescent="0.35">
      <c r="A235" s="1" t="s">
        <v>596</v>
      </c>
      <c r="B235" s="1" t="s">
        <v>141</v>
      </c>
      <c r="C235" s="1" t="s">
        <v>87</v>
      </c>
      <c r="D235" s="1" t="s">
        <v>143</v>
      </c>
      <c r="E235">
        <v>4</v>
      </c>
      <c r="F235" s="2">
        <v>45575</v>
      </c>
    </row>
    <row r="236" spans="1:6" x14ac:dyDescent="0.35">
      <c r="A236" s="1" t="s">
        <v>598</v>
      </c>
      <c r="B236" s="1" t="s">
        <v>173</v>
      </c>
      <c r="C236" s="1" t="s">
        <v>57</v>
      </c>
      <c r="D236" s="1" t="s">
        <v>128</v>
      </c>
      <c r="E236">
        <v>6</v>
      </c>
      <c r="F236" s="2">
        <v>45553</v>
      </c>
    </row>
    <row r="237" spans="1:6" x14ac:dyDescent="0.35">
      <c r="A237" s="1" t="s">
        <v>600</v>
      </c>
      <c r="B237" s="1" t="s">
        <v>168</v>
      </c>
      <c r="C237" s="1" t="s">
        <v>69</v>
      </c>
      <c r="D237" s="1" t="s">
        <v>157</v>
      </c>
      <c r="E237">
        <v>2</v>
      </c>
      <c r="F237" s="2">
        <v>45383</v>
      </c>
    </row>
    <row r="238" spans="1:6" x14ac:dyDescent="0.35">
      <c r="A238" s="1" t="s">
        <v>602</v>
      </c>
      <c r="B238" s="1" t="s">
        <v>133</v>
      </c>
      <c r="C238" s="1" t="s">
        <v>82</v>
      </c>
      <c r="D238" s="1" t="s">
        <v>171</v>
      </c>
      <c r="E238">
        <v>1</v>
      </c>
      <c r="F238" s="2">
        <v>45621</v>
      </c>
    </row>
    <row r="239" spans="1:6" x14ac:dyDescent="0.35">
      <c r="A239" s="1" t="s">
        <v>604</v>
      </c>
      <c r="B239" s="1" t="s">
        <v>188</v>
      </c>
      <c r="C239" s="1" t="s">
        <v>8</v>
      </c>
      <c r="D239" s="1" t="s">
        <v>128</v>
      </c>
      <c r="E239">
        <v>2</v>
      </c>
      <c r="F239" s="2">
        <v>45488</v>
      </c>
    </row>
    <row r="240" spans="1:6" x14ac:dyDescent="0.35">
      <c r="A240" s="1" t="s">
        <v>606</v>
      </c>
      <c r="B240" s="1" t="s">
        <v>191</v>
      </c>
      <c r="C240" s="1" t="s">
        <v>82</v>
      </c>
      <c r="D240" s="1" t="s">
        <v>128</v>
      </c>
      <c r="E240">
        <v>4</v>
      </c>
      <c r="F240" s="2">
        <v>45297</v>
      </c>
    </row>
    <row r="241" spans="1:6" x14ac:dyDescent="0.35">
      <c r="A241" s="1" t="s">
        <v>608</v>
      </c>
      <c r="B241" s="1" t="s">
        <v>172</v>
      </c>
      <c r="C241" s="1" t="s">
        <v>15</v>
      </c>
      <c r="D241" s="1" t="s">
        <v>143</v>
      </c>
      <c r="E241">
        <v>7</v>
      </c>
      <c r="F241" s="2">
        <v>45481</v>
      </c>
    </row>
    <row r="242" spans="1:6" x14ac:dyDescent="0.35">
      <c r="A242" s="1" t="s">
        <v>610</v>
      </c>
      <c r="B242" s="1" t="s">
        <v>137</v>
      </c>
      <c r="C242" s="1" t="s">
        <v>87</v>
      </c>
      <c r="D242" s="1" t="s">
        <v>121</v>
      </c>
      <c r="E242">
        <v>8</v>
      </c>
      <c r="F242" s="2">
        <v>45400</v>
      </c>
    </row>
    <row r="243" spans="1:6" x14ac:dyDescent="0.35">
      <c r="A243" s="1" t="s">
        <v>612</v>
      </c>
      <c r="B243" s="1" t="s">
        <v>164</v>
      </c>
      <c r="C243" s="1" t="s">
        <v>63</v>
      </c>
      <c r="D243" s="1" t="s">
        <v>121</v>
      </c>
      <c r="E243">
        <v>3</v>
      </c>
      <c r="F243" s="2">
        <v>45380</v>
      </c>
    </row>
    <row r="244" spans="1:6" x14ac:dyDescent="0.35">
      <c r="A244" s="1" t="s">
        <v>613</v>
      </c>
      <c r="B244" s="1" t="s">
        <v>106</v>
      </c>
      <c r="C244" s="1" t="s">
        <v>8</v>
      </c>
      <c r="D244" s="1" t="s">
        <v>121</v>
      </c>
      <c r="E244">
        <v>15</v>
      </c>
      <c r="F244" s="2">
        <v>45309</v>
      </c>
    </row>
    <row r="245" spans="1:6" x14ac:dyDescent="0.35">
      <c r="A245" s="1" t="s">
        <v>615</v>
      </c>
      <c r="B245" s="1" t="s">
        <v>168</v>
      </c>
      <c r="C245" s="1" t="s">
        <v>21</v>
      </c>
      <c r="D245" s="1" t="s">
        <v>171</v>
      </c>
      <c r="E245">
        <v>9</v>
      </c>
      <c r="F245" s="2">
        <v>45621</v>
      </c>
    </row>
    <row r="246" spans="1:6" x14ac:dyDescent="0.35">
      <c r="A246" s="1" t="s">
        <v>616</v>
      </c>
      <c r="B246" s="1" t="s">
        <v>149</v>
      </c>
      <c r="C246" s="1" t="s">
        <v>82</v>
      </c>
      <c r="D246" s="1" t="s">
        <v>121</v>
      </c>
      <c r="E246">
        <v>14</v>
      </c>
      <c r="F246" s="2">
        <v>45647</v>
      </c>
    </row>
    <row r="247" spans="1:6" x14ac:dyDescent="0.35">
      <c r="A247" s="1" t="s">
        <v>618</v>
      </c>
      <c r="B247" s="1" t="s">
        <v>149</v>
      </c>
      <c r="C247" s="1" t="s">
        <v>8</v>
      </c>
      <c r="D247" s="1" t="s">
        <v>157</v>
      </c>
      <c r="E247">
        <v>15</v>
      </c>
      <c r="F247" s="2">
        <v>45463</v>
      </c>
    </row>
    <row r="248" spans="1:6" x14ac:dyDescent="0.35">
      <c r="A248" s="1" t="s">
        <v>620</v>
      </c>
      <c r="B248" s="1" t="s">
        <v>173</v>
      </c>
      <c r="C248" s="1" t="s">
        <v>51</v>
      </c>
      <c r="D248" s="1" t="s">
        <v>124</v>
      </c>
      <c r="E248">
        <v>1</v>
      </c>
      <c r="F248" s="2">
        <v>45333</v>
      </c>
    </row>
    <row r="249" spans="1:6" x14ac:dyDescent="0.35">
      <c r="A249" s="1" t="s">
        <v>622</v>
      </c>
      <c r="B249" s="1" t="s">
        <v>176</v>
      </c>
      <c r="C249" s="1" t="s">
        <v>57</v>
      </c>
      <c r="D249" s="1" t="s">
        <v>157</v>
      </c>
      <c r="E249">
        <v>5</v>
      </c>
      <c r="F249" s="2">
        <v>45479</v>
      </c>
    </row>
    <row r="250" spans="1:6" x14ac:dyDescent="0.35">
      <c r="A250" s="1" t="s">
        <v>624</v>
      </c>
      <c r="B250" s="1" t="s">
        <v>113</v>
      </c>
      <c r="C250" s="1" t="s">
        <v>51</v>
      </c>
      <c r="D250" s="1" t="s">
        <v>157</v>
      </c>
      <c r="E250">
        <v>5</v>
      </c>
      <c r="F250" s="2">
        <v>45628</v>
      </c>
    </row>
    <row r="251" spans="1:6" x14ac:dyDescent="0.35">
      <c r="A251" s="1" t="s">
        <v>626</v>
      </c>
      <c r="B251" s="1" t="s">
        <v>176</v>
      </c>
      <c r="C251" s="1" t="s">
        <v>39</v>
      </c>
      <c r="D251" s="1" t="s">
        <v>171</v>
      </c>
      <c r="E251">
        <v>14</v>
      </c>
      <c r="F251" s="2">
        <v>45413</v>
      </c>
    </row>
    <row r="252" spans="1:6" x14ac:dyDescent="0.35">
      <c r="A252" s="1" t="s">
        <v>628</v>
      </c>
      <c r="B252" s="1" t="s">
        <v>106</v>
      </c>
      <c r="C252" s="1" t="s">
        <v>63</v>
      </c>
      <c r="D252" s="1" t="s">
        <v>157</v>
      </c>
      <c r="E252">
        <v>10</v>
      </c>
      <c r="F252" s="2">
        <v>45528</v>
      </c>
    </row>
    <row r="253" spans="1:6" x14ac:dyDescent="0.35">
      <c r="A253" s="1" t="s">
        <v>630</v>
      </c>
      <c r="B253" s="1" t="s">
        <v>176</v>
      </c>
      <c r="C253" s="1" t="s">
        <v>15</v>
      </c>
      <c r="D253" s="1" t="s">
        <v>128</v>
      </c>
      <c r="E253">
        <v>10</v>
      </c>
      <c r="F253" s="2">
        <v>45626</v>
      </c>
    </row>
    <row r="254" spans="1:6" x14ac:dyDescent="0.35">
      <c r="A254" s="1" t="s">
        <v>632</v>
      </c>
      <c r="B254" s="1" t="s">
        <v>133</v>
      </c>
      <c r="C254" s="1" t="s">
        <v>45</v>
      </c>
      <c r="D254" s="1" t="s">
        <v>143</v>
      </c>
      <c r="E254">
        <v>14</v>
      </c>
      <c r="F254" s="2">
        <v>45548</v>
      </c>
    </row>
    <row r="255" spans="1:6" x14ac:dyDescent="0.35">
      <c r="A255" s="1" t="s">
        <v>634</v>
      </c>
      <c r="B255" s="1" t="s">
        <v>137</v>
      </c>
      <c r="C255" s="1" t="s">
        <v>21</v>
      </c>
      <c r="D255" s="1" t="s">
        <v>128</v>
      </c>
      <c r="E255">
        <v>8</v>
      </c>
      <c r="F255" s="2">
        <v>45543</v>
      </c>
    </row>
    <row r="256" spans="1:6" x14ac:dyDescent="0.35">
      <c r="A256" s="1" t="s">
        <v>636</v>
      </c>
      <c r="B256" s="1" t="s">
        <v>240</v>
      </c>
      <c r="C256" s="1" t="s">
        <v>78</v>
      </c>
      <c r="D256" s="1" t="s">
        <v>124</v>
      </c>
      <c r="E256">
        <v>11</v>
      </c>
      <c r="F256" s="2">
        <v>45501</v>
      </c>
    </row>
    <row r="257" spans="1:6" x14ac:dyDescent="0.35">
      <c r="A257" s="1" t="s">
        <v>637</v>
      </c>
      <c r="B257" s="1" t="s">
        <v>141</v>
      </c>
      <c r="C257" s="1" t="s">
        <v>57</v>
      </c>
      <c r="D257" s="1" t="s">
        <v>143</v>
      </c>
      <c r="E257">
        <v>10</v>
      </c>
      <c r="F257" s="2">
        <v>45517</v>
      </c>
    </row>
    <row r="258" spans="1:6" x14ac:dyDescent="0.35">
      <c r="A258" s="1" t="s">
        <v>637</v>
      </c>
      <c r="B258" s="1" t="s">
        <v>109</v>
      </c>
      <c r="C258" s="1" t="s">
        <v>57</v>
      </c>
      <c r="D258" s="1" t="s">
        <v>143</v>
      </c>
      <c r="E258">
        <v>10</v>
      </c>
      <c r="F258" s="2">
        <v>45517</v>
      </c>
    </row>
    <row r="259" spans="1:6" x14ac:dyDescent="0.35">
      <c r="A259" s="1" t="s">
        <v>637</v>
      </c>
      <c r="B259" s="1" t="s">
        <v>639</v>
      </c>
      <c r="C259" s="1" t="s">
        <v>57</v>
      </c>
      <c r="D259" s="1" t="s">
        <v>143</v>
      </c>
      <c r="E259">
        <v>10</v>
      </c>
      <c r="F259" s="2">
        <v>45517</v>
      </c>
    </row>
    <row r="260" spans="1:6" x14ac:dyDescent="0.35">
      <c r="A260" s="1" t="s">
        <v>640</v>
      </c>
      <c r="B260" s="1" t="s">
        <v>116</v>
      </c>
      <c r="C260" s="1" t="s">
        <v>73</v>
      </c>
      <c r="D260" s="1" t="s">
        <v>124</v>
      </c>
      <c r="E260">
        <v>9</v>
      </c>
      <c r="F260" s="2">
        <v>45480</v>
      </c>
    </row>
    <row r="261" spans="1:6" x14ac:dyDescent="0.35">
      <c r="A261" s="1" t="s">
        <v>642</v>
      </c>
      <c r="B261" s="1" t="s">
        <v>164</v>
      </c>
      <c r="C261" s="1" t="s">
        <v>78</v>
      </c>
      <c r="D261" s="1" t="s">
        <v>171</v>
      </c>
      <c r="E261">
        <v>11</v>
      </c>
      <c r="F261" s="2">
        <v>45548</v>
      </c>
    </row>
    <row r="262" spans="1:6" x14ac:dyDescent="0.35">
      <c r="A262" s="1" t="s">
        <v>643</v>
      </c>
      <c r="B262" s="1" t="s">
        <v>113</v>
      </c>
      <c r="C262" s="1" t="s">
        <v>35</v>
      </c>
      <c r="D262" s="1" t="s">
        <v>143</v>
      </c>
      <c r="E262">
        <v>15</v>
      </c>
      <c r="F262" s="2">
        <v>45447</v>
      </c>
    </row>
    <row r="263" spans="1:6" x14ac:dyDescent="0.35">
      <c r="A263" s="1" t="s">
        <v>645</v>
      </c>
      <c r="B263" s="1" t="s">
        <v>168</v>
      </c>
      <c r="C263" s="1" t="s">
        <v>21</v>
      </c>
      <c r="D263" s="1" t="s">
        <v>124</v>
      </c>
      <c r="E263">
        <v>15</v>
      </c>
      <c r="F263" s="2">
        <v>45374</v>
      </c>
    </row>
    <row r="264" spans="1:6" x14ac:dyDescent="0.35">
      <c r="A264" s="1" t="s">
        <v>647</v>
      </c>
      <c r="B264" s="1" t="s">
        <v>164</v>
      </c>
      <c r="C264" s="1" t="s">
        <v>82</v>
      </c>
      <c r="D264" s="1" t="s">
        <v>171</v>
      </c>
      <c r="E264">
        <v>13</v>
      </c>
      <c r="F264" s="2">
        <v>45447</v>
      </c>
    </row>
    <row r="265" spans="1:6" x14ac:dyDescent="0.35">
      <c r="A265" s="1" t="s">
        <v>648</v>
      </c>
      <c r="B265" s="1" t="s">
        <v>106</v>
      </c>
      <c r="C265" s="1" t="s">
        <v>8</v>
      </c>
      <c r="D265" s="1" t="s">
        <v>157</v>
      </c>
      <c r="E265">
        <v>6</v>
      </c>
      <c r="F265" s="2">
        <v>45292</v>
      </c>
    </row>
    <row r="266" spans="1:6" x14ac:dyDescent="0.35">
      <c r="A266" s="1" t="s">
        <v>650</v>
      </c>
      <c r="B266" s="1" t="s">
        <v>133</v>
      </c>
      <c r="C266" s="1" t="s">
        <v>63</v>
      </c>
      <c r="D266" s="1" t="s">
        <v>171</v>
      </c>
      <c r="E266">
        <v>9</v>
      </c>
      <c r="F266" s="2">
        <v>45516</v>
      </c>
    </row>
    <row r="267" spans="1:6" x14ac:dyDescent="0.35">
      <c r="A267" s="1" t="s">
        <v>652</v>
      </c>
      <c r="B267" s="1" t="s">
        <v>141</v>
      </c>
      <c r="C267" s="1" t="s">
        <v>51</v>
      </c>
      <c r="D267" s="1" t="s">
        <v>143</v>
      </c>
      <c r="E267">
        <v>4</v>
      </c>
      <c r="F267" s="2">
        <v>45592</v>
      </c>
    </row>
    <row r="268" spans="1:6" x14ac:dyDescent="0.35">
      <c r="A268" s="1" t="s">
        <v>654</v>
      </c>
      <c r="B268" s="1" t="s">
        <v>173</v>
      </c>
      <c r="C268" s="1" t="s">
        <v>87</v>
      </c>
      <c r="D268" s="1" t="s">
        <v>143</v>
      </c>
      <c r="E268">
        <v>14</v>
      </c>
      <c r="F268" s="2">
        <v>45425</v>
      </c>
    </row>
    <row r="269" spans="1:6" x14ac:dyDescent="0.35">
      <c r="A269" s="1" t="s">
        <v>656</v>
      </c>
      <c r="B269" s="1" t="s">
        <v>172</v>
      </c>
      <c r="C269" s="1" t="s">
        <v>63</v>
      </c>
      <c r="D269" s="1" t="s">
        <v>143</v>
      </c>
      <c r="E269">
        <v>2</v>
      </c>
      <c r="F269" s="2">
        <v>45347</v>
      </c>
    </row>
    <row r="270" spans="1:6" x14ac:dyDescent="0.35">
      <c r="A270" s="1" t="s">
        <v>658</v>
      </c>
      <c r="B270" s="1" t="s">
        <v>248</v>
      </c>
      <c r="C270" s="1" t="s">
        <v>87</v>
      </c>
      <c r="D270" s="1" t="s">
        <v>128</v>
      </c>
      <c r="E270">
        <v>11</v>
      </c>
      <c r="F270" s="2">
        <v>45581</v>
      </c>
    </row>
    <row r="271" spans="1:6" x14ac:dyDescent="0.35">
      <c r="A271" s="1" t="s">
        <v>660</v>
      </c>
      <c r="B271" s="1" t="s">
        <v>172</v>
      </c>
      <c r="C271" s="1" t="s">
        <v>8</v>
      </c>
      <c r="D271" s="1" t="s">
        <v>121</v>
      </c>
      <c r="E271">
        <v>3</v>
      </c>
      <c r="F271" s="2">
        <v>45656</v>
      </c>
    </row>
    <row r="272" spans="1:6" x14ac:dyDescent="0.35">
      <c r="A272" s="1" t="s">
        <v>662</v>
      </c>
      <c r="B272" s="1" t="s">
        <v>197</v>
      </c>
      <c r="C272" s="1" t="s">
        <v>87</v>
      </c>
      <c r="D272" s="1" t="s">
        <v>128</v>
      </c>
      <c r="E272">
        <v>8</v>
      </c>
      <c r="F272" s="2">
        <v>45293</v>
      </c>
    </row>
    <row r="273" spans="1:6" x14ac:dyDescent="0.35">
      <c r="A273" s="1" t="s">
        <v>664</v>
      </c>
      <c r="B273" s="1" t="s">
        <v>164</v>
      </c>
      <c r="C273" s="1" t="s">
        <v>73</v>
      </c>
      <c r="D273" s="1" t="s">
        <v>143</v>
      </c>
      <c r="E273">
        <v>2</v>
      </c>
      <c r="F273" s="2">
        <v>45349</v>
      </c>
    </row>
    <row r="274" spans="1:6" x14ac:dyDescent="0.35">
      <c r="A274" s="1" t="s">
        <v>666</v>
      </c>
      <c r="B274" s="1" t="s">
        <v>176</v>
      </c>
      <c r="C274" s="1" t="s">
        <v>29</v>
      </c>
      <c r="D274" s="1" t="s">
        <v>157</v>
      </c>
      <c r="E274">
        <v>2</v>
      </c>
      <c r="F274" s="2">
        <v>45356</v>
      </c>
    </row>
    <row r="275" spans="1:6" x14ac:dyDescent="0.35">
      <c r="A275" s="1" t="s">
        <v>668</v>
      </c>
      <c r="B275" s="1" t="s">
        <v>173</v>
      </c>
      <c r="C275" s="1" t="s">
        <v>63</v>
      </c>
      <c r="D275" s="1" t="s">
        <v>124</v>
      </c>
      <c r="E275">
        <v>11</v>
      </c>
      <c r="F275" s="2">
        <v>45550</v>
      </c>
    </row>
    <row r="276" spans="1:6" x14ac:dyDescent="0.35">
      <c r="A276" s="1" t="s">
        <v>670</v>
      </c>
      <c r="B276" s="1" t="s">
        <v>168</v>
      </c>
      <c r="C276" s="1" t="s">
        <v>57</v>
      </c>
      <c r="D276" s="1" t="s">
        <v>121</v>
      </c>
      <c r="E276">
        <v>10</v>
      </c>
      <c r="F276" s="2">
        <v>45311</v>
      </c>
    </row>
    <row r="277" spans="1:6" x14ac:dyDescent="0.35">
      <c r="A277" s="1" t="s">
        <v>672</v>
      </c>
      <c r="B277" s="1" t="s">
        <v>176</v>
      </c>
      <c r="C277" s="1" t="s">
        <v>69</v>
      </c>
      <c r="D277" s="1" t="s">
        <v>157</v>
      </c>
      <c r="E277">
        <v>1</v>
      </c>
      <c r="F277" s="2">
        <v>45295</v>
      </c>
    </row>
    <row r="278" spans="1:6" x14ac:dyDescent="0.35">
      <c r="A278" s="1" t="s">
        <v>674</v>
      </c>
      <c r="B278" s="1" t="s">
        <v>113</v>
      </c>
      <c r="C278" s="1" t="s">
        <v>35</v>
      </c>
      <c r="D278" s="1" t="s">
        <v>157</v>
      </c>
      <c r="E278">
        <v>15</v>
      </c>
      <c r="F278" s="2">
        <v>45373</v>
      </c>
    </row>
    <row r="279" spans="1:6" x14ac:dyDescent="0.35">
      <c r="A279" s="1" t="s">
        <v>675</v>
      </c>
      <c r="B279" s="1" t="s">
        <v>164</v>
      </c>
      <c r="C279" s="1" t="s">
        <v>73</v>
      </c>
      <c r="D279" s="1" t="s">
        <v>128</v>
      </c>
      <c r="E279">
        <v>9</v>
      </c>
      <c r="F279" s="2">
        <v>45312</v>
      </c>
    </row>
    <row r="280" spans="1:6" x14ac:dyDescent="0.35">
      <c r="A280" s="1" t="s">
        <v>677</v>
      </c>
      <c r="B280" s="1" t="s">
        <v>188</v>
      </c>
      <c r="C280" s="1" t="s">
        <v>8</v>
      </c>
      <c r="D280" s="1" t="s">
        <v>128</v>
      </c>
      <c r="E280">
        <v>3</v>
      </c>
      <c r="F280" s="2">
        <v>45624</v>
      </c>
    </row>
    <row r="281" spans="1:6" x14ac:dyDescent="0.35">
      <c r="A281" s="1" t="s">
        <v>679</v>
      </c>
      <c r="B281" s="1" t="s">
        <v>197</v>
      </c>
      <c r="C281" s="1" t="s">
        <v>35</v>
      </c>
      <c r="D281" s="1" t="s">
        <v>121</v>
      </c>
      <c r="E281">
        <v>6</v>
      </c>
      <c r="F281" s="2">
        <v>45354</v>
      </c>
    </row>
    <row r="282" spans="1:6" x14ac:dyDescent="0.35">
      <c r="A282" s="1" t="s">
        <v>680</v>
      </c>
      <c r="B282" s="1" t="s">
        <v>191</v>
      </c>
      <c r="C282" s="1" t="s">
        <v>15</v>
      </c>
      <c r="D282" s="1" t="s">
        <v>143</v>
      </c>
      <c r="E282">
        <v>7</v>
      </c>
      <c r="F282" s="2">
        <v>45540</v>
      </c>
    </row>
    <row r="283" spans="1:6" x14ac:dyDescent="0.35">
      <c r="A283" s="1" t="s">
        <v>682</v>
      </c>
      <c r="B283" s="1" t="s">
        <v>137</v>
      </c>
      <c r="C283" s="1" t="s">
        <v>15</v>
      </c>
      <c r="D283" s="1" t="s">
        <v>143</v>
      </c>
      <c r="E283">
        <v>12</v>
      </c>
      <c r="F283" s="2">
        <v>45371</v>
      </c>
    </row>
    <row r="284" spans="1:6" x14ac:dyDescent="0.35">
      <c r="A284" s="1" t="s">
        <v>684</v>
      </c>
      <c r="B284" s="1" t="s">
        <v>168</v>
      </c>
      <c r="C284" s="1" t="s">
        <v>8</v>
      </c>
      <c r="D284" s="1" t="s">
        <v>124</v>
      </c>
      <c r="E284">
        <v>10</v>
      </c>
      <c r="F284" s="2">
        <v>45552</v>
      </c>
    </row>
    <row r="285" spans="1:6" x14ac:dyDescent="0.35">
      <c r="A285" s="1" t="s">
        <v>686</v>
      </c>
      <c r="B285" s="1" t="s">
        <v>240</v>
      </c>
      <c r="C285" s="1" t="s">
        <v>45</v>
      </c>
      <c r="D285" s="1" t="s">
        <v>143</v>
      </c>
      <c r="E285">
        <v>8</v>
      </c>
      <c r="F285" s="2">
        <v>45301</v>
      </c>
    </row>
    <row r="286" spans="1:6" x14ac:dyDescent="0.35">
      <c r="A286" s="1" t="s">
        <v>688</v>
      </c>
      <c r="B286" s="1" t="s">
        <v>164</v>
      </c>
      <c r="C286" s="1" t="s">
        <v>51</v>
      </c>
      <c r="D286" s="1" t="s">
        <v>143</v>
      </c>
      <c r="E286">
        <v>4</v>
      </c>
      <c r="F286" s="2">
        <v>45504</v>
      </c>
    </row>
    <row r="287" spans="1:6" x14ac:dyDescent="0.35">
      <c r="A287" s="1" t="s">
        <v>690</v>
      </c>
      <c r="B287" s="1" t="s">
        <v>106</v>
      </c>
      <c r="C287" s="1" t="s">
        <v>39</v>
      </c>
      <c r="D287" s="1" t="s">
        <v>121</v>
      </c>
      <c r="E287">
        <v>2</v>
      </c>
      <c r="F287" s="2">
        <v>45476</v>
      </c>
    </row>
    <row r="288" spans="1:6" x14ac:dyDescent="0.35">
      <c r="A288" s="1" t="s">
        <v>692</v>
      </c>
      <c r="B288" s="1" t="s">
        <v>106</v>
      </c>
      <c r="C288" s="1" t="s">
        <v>29</v>
      </c>
      <c r="D288" s="1" t="s">
        <v>143</v>
      </c>
      <c r="E288">
        <v>10</v>
      </c>
      <c r="F288" s="2">
        <v>45524</v>
      </c>
    </row>
    <row r="289" spans="1:6" x14ac:dyDescent="0.35">
      <c r="A289" s="1" t="s">
        <v>694</v>
      </c>
      <c r="B289" s="1" t="s">
        <v>133</v>
      </c>
      <c r="C289" s="1" t="s">
        <v>63</v>
      </c>
      <c r="D289" s="1" t="s">
        <v>157</v>
      </c>
      <c r="E289">
        <v>4</v>
      </c>
      <c r="F289" s="2">
        <v>45323</v>
      </c>
    </row>
    <row r="290" spans="1:6" x14ac:dyDescent="0.35">
      <c r="A290" s="1" t="s">
        <v>696</v>
      </c>
      <c r="B290" s="1" t="s">
        <v>240</v>
      </c>
      <c r="C290" s="1" t="s">
        <v>29</v>
      </c>
      <c r="D290" s="1" t="s">
        <v>157</v>
      </c>
      <c r="E290">
        <v>2</v>
      </c>
      <c r="F290" s="2">
        <v>45349</v>
      </c>
    </row>
    <row r="291" spans="1:6" x14ac:dyDescent="0.35">
      <c r="A291" s="1" t="s">
        <v>697</v>
      </c>
      <c r="B291" s="1" t="s">
        <v>168</v>
      </c>
      <c r="C291" s="1" t="s">
        <v>69</v>
      </c>
      <c r="D291" s="1" t="s">
        <v>124</v>
      </c>
      <c r="E291">
        <v>2</v>
      </c>
      <c r="F291" s="2">
        <v>45615</v>
      </c>
    </row>
    <row r="292" spans="1:6" x14ac:dyDescent="0.35">
      <c r="A292" s="1" t="s">
        <v>699</v>
      </c>
      <c r="B292" s="1" t="s">
        <v>164</v>
      </c>
      <c r="C292" s="1" t="s">
        <v>39</v>
      </c>
      <c r="D292" s="1" t="s">
        <v>171</v>
      </c>
      <c r="E292">
        <v>10</v>
      </c>
      <c r="F292" s="2">
        <v>45605</v>
      </c>
    </row>
    <row r="293" spans="1:6" x14ac:dyDescent="0.35">
      <c r="A293" s="1" t="s">
        <v>701</v>
      </c>
      <c r="B293" s="1" t="s">
        <v>106</v>
      </c>
      <c r="C293" s="1" t="s">
        <v>39</v>
      </c>
      <c r="D293" s="1" t="s">
        <v>128</v>
      </c>
      <c r="E293">
        <v>2</v>
      </c>
      <c r="F293" s="2">
        <v>45366</v>
      </c>
    </row>
    <row r="294" spans="1:6" x14ac:dyDescent="0.35">
      <c r="A294" s="1" t="s">
        <v>703</v>
      </c>
      <c r="B294" s="1" t="s">
        <v>173</v>
      </c>
      <c r="C294" s="1" t="s">
        <v>87</v>
      </c>
      <c r="D294" s="1" t="s">
        <v>143</v>
      </c>
      <c r="E294">
        <v>9</v>
      </c>
      <c r="F294" s="2">
        <v>45624</v>
      </c>
    </row>
    <row r="295" spans="1:6" x14ac:dyDescent="0.35">
      <c r="A295" s="1" t="s">
        <v>704</v>
      </c>
      <c r="B295" s="1" t="s">
        <v>133</v>
      </c>
      <c r="C295" s="1" t="s">
        <v>73</v>
      </c>
      <c r="D295" s="1" t="s">
        <v>121</v>
      </c>
      <c r="E295">
        <v>9</v>
      </c>
      <c r="F295" s="2">
        <v>45532</v>
      </c>
    </row>
    <row r="296" spans="1:6" x14ac:dyDescent="0.35">
      <c r="A296" s="1" t="s">
        <v>706</v>
      </c>
      <c r="B296" s="1" t="s">
        <v>149</v>
      </c>
      <c r="C296" s="1" t="s">
        <v>51</v>
      </c>
      <c r="D296" s="1" t="s">
        <v>121</v>
      </c>
      <c r="E296">
        <v>12</v>
      </c>
      <c r="F296" s="2">
        <v>45531</v>
      </c>
    </row>
    <row r="297" spans="1:6" x14ac:dyDescent="0.35">
      <c r="A297" s="1" t="s">
        <v>708</v>
      </c>
      <c r="B297" s="1" t="s">
        <v>106</v>
      </c>
      <c r="C297" s="1" t="s">
        <v>45</v>
      </c>
      <c r="D297" s="1" t="s">
        <v>128</v>
      </c>
      <c r="E297">
        <v>10</v>
      </c>
      <c r="F297" s="2">
        <v>45503</v>
      </c>
    </row>
    <row r="298" spans="1:6" x14ac:dyDescent="0.35">
      <c r="A298" s="1" t="s">
        <v>710</v>
      </c>
      <c r="B298" s="1" t="s">
        <v>111</v>
      </c>
      <c r="C298" s="1" t="s">
        <v>15</v>
      </c>
      <c r="D298" s="1" t="s">
        <v>171</v>
      </c>
      <c r="E298">
        <v>10</v>
      </c>
      <c r="F298" s="2">
        <v>45613</v>
      </c>
    </row>
    <row r="299" spans="1:6" x14ac:dyDescent="0.35">
      <c r="A299" s="1" t="s">
        <v>712</v>
      </c>
      <c r="B299" s="1" t="s">
        <v>173</v>
      </c>
      <c r="C299" s="1" t="s">
        <v>63</v>
      </c>
      <c r="D299" s="1" t="s">
        <v>143</v>
      </c>
      <c r="E299">
        <v>14</v>
      </c>
      <c r="F299" s="2">
        <v>45423</v>
      </c>
    </row>
    <row r="300" spans="1:6" x14ac:dyDescent="0.35">
      <c r="A300" s="1" t="s">
        <v>714</v>
      </c>
      <c r="B300" s="1" t="s">
        <v>173</v>
      </c>
      <c r="C300" s="1" t="s">
        <v>21</v>
      </c>
      <c r="D300" s="1" t="s">
        <v>143</v>
      </c>
      <c r="E300">
        <v>13</v>
      </c>
      <c r="F300" s="2">
        <v>45502</v>
      </c>
    </row>
    <row r="301" spans="1:6" x14ac:dyDescent="0.35">
      <c r="A301" s="1" t="s">
        <v>716</v>
      </c>
      <c r="B301" s="1" t="s">
        <v>240</v>
      </c>
      <c r="C301" s="1" t="s">
        <v>45</v>
      </c>
      <c r="D301" s="1" t="s">
        <v>121</v>
      </c>
      <c r="E301">
        <v>15</v>
      </c>
      <c r="F301" s="2">
        <v>45403</v>
      </c>
    </row>
    <row r="302" spans="1:6" x14ac:dyDescent="0.35">
      <c r="A302" s="1" t="s">
        <v>718</v>
      </c>
      <c r="B302" s="1" t="s">
        <v>173</v>
      </c>
      <c r="C302" s="1" t="s">
        <v>87</v>
      </c>
      <c r="D302" s="1" t="s">
        <v>128</v>
      </c>
      <c r="E302">
        <v>15</v>
      </c>
      <c r="F302" s="2">
        <v>45537</v>
      </c>
    </row>
    <row r="303" spans="1:6" x14ac:dyDescent="0.35">
      <c r="A303" s="1" t="s">
        <v>720</v>
      </c>
      <c r="B303" s="1" t="s">
        <v>116</v>
      </c>
      <c r="C303" s="1" t="s">
        <v>69</v>
      </c>
      <c r="D303" s="1" t="s">
        <v>121</v>
      </c>
      <c r="E303">
        <v>10</v>
      </c>
      <c r="F303" s="2">
        <v>45307</v>
      </c>
    </row>
    <row r="304" spans="1:6" x14ac:dyDescent="0.35">
      <c r="A304" s="1" t="s">
        <v>722</v>
      </c>
      <c r="B304" s="1" t="s">
        <v>168</v>
      </c>
      <c r="C304" s="1" t="s">
        <v>87</v>
      </c>
      <c r="D304" s="1" t="s">
        <v>121</v>
      </c>
      <c r="E304">
        <v>5</v>
      </c>
      <c r="F304" s="2">
        <v>45608</v>
      </c>
    </row>
    <row r="305" spans="1:6" x14ac:dyDescent="0.35">
      <c r="A305" s="1" t="s">
        <v>723</v>
      </c>
      <c r="B305" s="1" t="s">
        <v>141</v>
      </c>
      <c r="C305" s="1" t="s">
        <v>29</v>
      </c>
      <c r="D305" s="1" t="s">
        <v>121</v>
      </c>
      <c r="E305">
        <v>4</v>
      </c>
      <c r="F305" s="2">
        <v>45444</v>
      </c>
    </row>
    <row r="306" spans="1:6" x14ac:dyDescent="0.35">
      <c r="A306" s="1" t="s">
        <v>725</v>
      </c>
      <c r="B306" s="1" t="s">
        <v>173</v>
      </c>
      <c r="C306" s="1" t="s">
        <v>45</v>
      </c>
      <c r="D306" s="1" t="s">
        <v>124</v>
      </c>
      <c r="E306">
        <v>14</v>
      </c>
      <c r="F306" s="2">
        <v>45498</v>
      </c>
    </row>
    <row r="307" spans="1:6" x14ac:dyDescent="0.35">
      <c r="A307" s="1" t="s">
        <v>727</v>
      </c>
      <c r="B307" s="1" t="s">
        <v>149</v>
      </c>
      <c r="C307" s="1" t="s">
        <v>29</v>
      </c>
      <c r="D307" s="1" t="s">
        <v>121</v>
      </c>
      <c r="E307">
        <v>6</v>
      </c>
      <c r="F307" s="2">
        <v>45393</v>
      </c>
    </row>
    <row r="308" spans="1:6" x14ac:dyDescent="0.35">
      <c r="A308" s="1" t="s">
        <v>728</v>
      </c>
      <c r="B308" s="1" t="s">
        <v>176</v>
      </c>
      <c r="C308" s="1" t="s">
        <v>57</v>
      </c>
      <c r="D308" s="1" t="s">
        <v>143</v>
      </c>
      <c r="E308">
        <v>8</v>
      </c>
      <c r="F308" s="2">
        <v>45519</v>
      </c>
    </row>
    <row r="309" spans="1:6" x14ac:dyDescent="0.35">
      <c r="A309" s="1" t="s">
        <v>730</v>
      </c>
      <c r="B309" s="1" t="s">
        <v>168</v>
      </c>
      <c r="C309" s="1" t="s">
        <v>57</v>
      </c>
      <c r="D309" s="1" t="s">
        <v>124</v>
      </c>
      <c r="E309">
        <v>15</v>
      </c>
      <c r="F309" s="2">
        <v>45630</v>
      </c>
    </row>
    <row r="310" spans="1:6" x14ac:dyDescent="0.35">
      <c r="A310" s="1" t="s">
        <v>732</v>
      </c>
      <c r="B310" s="1" t="s">
        <v>109</v>
      </c>
      <c r="C310" s="1" t="s">
        <v>45</v>
      </c>
      <c r="D310" s="1" t="s">
        <v>157</v>
      </c>
      <c r="E310">
        <v>2</v>
      </c>
      <c r="F310" s="2">
        <v>45638</v>
      </c>
    </row>
    <row r="311" spans="1:6" x14ac:dyDescent="0.35">
      <c r="A311" s="1" t="s">
        <v>734</v>
      </c>
      <c r="B311" s="1" t="s">
        <v>188</v>
      </c>
      <c r="C311" s="1" t="s">
        <v>57</v>
      </c>
      <c r="D311" s="1" t="s">
        <v>157</v>
      </c>
      <c r="E311">
        <v>10</v>
      </c>
      <c r="F311" s="2">
        <v>45302</v>
      </c>
    </row>
    <row r="312" spans="1:6" x14ac:dyDescent="0.35">
      <c r="A312" s="1" t="s">
        <v>735</v>
      </c>
      <c r="B312" s="1" t="s">
        <v>149</v>
      </c>
      <c r="C312" s="1" t="s">
        <v>69</v>
      </c>
      <c r="D312" s="1" t="s">
        <v>128</v>
      </c>
      <c r="E312">
        <v>4</v>
      </c>
      <c r="F312" s="2">
        <v>45354</v>
      </c>
    </row>
    <row r="313" spans="1:6" x14ac:dyDescent="0.35">
      <c r="A313" s="1" t="s">
        <v>736</v>
      </c>
      <c r="B313" s="1" t="s">
        <v>188</v>
      </c>
      <c r="C313" s="1" t="s">
        <v>87</v>
      </c>
      <c r="D313" s="1" t="s">
        <v>143</v>
      </c>
      <c r="E313">
        <v>5</v>
      </c>
      <c r="F313" s="2">
        <v>45610</v>
      </c>
    </row>
    <row r="314" spans="1:6" x14ac:dyDescent="0.35">
      <c r="A314" s="1" t="s">
        <v>738</v>
      </c>
      <c r="B314" s="1" t="s">
        <v>176</v>
      </c>
      <c r="C314" s="1" t="s">
        <v>8</v>
      </c>
      <c r="D314" s="1" t="s">
        <v>171</v>
      </c>
      <c r="E314">
        <v>9</v>
      </c>
      <c r="F314" s="2">
        <v>45551</v>
      </c>
    </row>
    <row r="315" spans="1:6" x14ac:dyDescent="0.35">
      <c r="A315" s="1" t="s">
        <v>740</v>
      </c>
      <c r="B315" s="1" t="s">
        <v>149</v>
      </c>
      <c r="C315" s="1" t="s">
        <v>21</v>
      </c>
      <c r="D315" s="1" t="s">
        <v>143</v>
      </c>
      <c r="E315">
        <v>6</v>
      </c>
      <c r="F315" s="2">
        <v>45569</v>
      </c>
    </row>
    <row r="316" spans="1:6" x14ac:dyDescent="0.35">
      <c r="A316" s="1" t="s">
        <v>742</v>
      </c>
      <c r="B316" s="1" t="s">
        <v>141</v>
      </c>
      <c r="C316" s="1" t="s">
        <v>57</v>
      </c>
      <c r="D316" s="1" t="s">
        <v>171</v>
      </c>
      <c r="E316">
        <v>11</v>
      </c>
      <c r="F316" s="2">
        <v>45421</v>
      </c>
    </row>
    <row r="317" spans="1:6" x14ac:dyDescent="0.35">
      <c r="A317" s="1" t="s">
        <v>744</v>
      </c>
      <c r="B317" s="1" t="s">
        <v>188</v>
      </c>
      <c r="C317" s="1" t="s">
        <v>78</v>
      </c>
      <c r="D317" s="1" t="s">
        <v>171</v>
      </c>
      <c r="E317">
        <v>7</v>
      </c>
      <c r="F317" s="2">
        <v>45535</v>
      </c>
    </row>
    <row r="318" spans="1:6" x14ac:dyDescent="0.35">
      <c r="A318" s="1" t="s">
        <v>746</v>
      </c>
      <c r="B318" s="1" t="s">
        <v>113</v>
      </c>
      <c r="C318" s="1" t="s">
        <v>21</v>
      </c>
      <c r="D318" s="1" t="s">
        <v>124</v>
      </c>
      <c r="E318">
        <v>3</v>
      </c>
      <c r="F318" s="2">
        <v>45329</v>
      </c>
    </row>
    <row r="319" spans="1:6" x14ac:dyDescent="0.35">
      <c r="A319" s="1" t="s">
        <v>748</v>
      </c>
      <c r="B319" s="1" t="s">
        <v>149</v>
      </c>
      <c r="C319" s="1" t="s">
        <v>8</v>
      </c>
      <c r="D319" s="1" t="s">
        <v>157</v>
      </c>
      <c r="E319">
        <v>3</v>
      </c>
      <c r="F319" s="2">
        <v>45499</v>
      </c>
    </row>
    <row r="320" spans="1:6" x14ac:dyDescent="0.35">
      <c r="A320" s="1" t="s">
        <v>750</v>
      </c>
      <c r="B320" s="1" t="s">
        <v>240</v>
      </c>
      <c r="C320" s="1" t="s">
        <v>8</v>
      </c>
      <c r="D320" s="1" t="s">
        <v>121</v>
      </c>
      <c r="E320">
        <v>13</v>
      </c>
      <c r="F320" s="2">
        <v>45474</v>
      </c>
    </row>
    <row r="321" spans="1:6" x14ac:dyDescent="0.35">
      <c r="A321" s="1" t="s">
        <v>752</v>
      </c>
      <c r="B321" s="1" t="s">
        <v>248</v>
      </c>
      <c r="C321" s="1" t="s">
        <v>15</v>
      </c>
      <c r="D321" s="1" t="s">
        <v>143</v>
      </c>
      <c r="E321">
        <v>7</v>
      </c>
      <c r="F321" s="2">
        <v>45319</v>
      </c>
    </row>
    <row r="322" spans="1:6" x14ac:dyDescent="0.35">
      <c r="A322" s="1" t="s">
        <v>754</v>
      </c>
      <c r="B322" s="1" t="s">
        <v>240</v>
      </c>
      <c r="C322" s="1" t="s">
        <v>57</v>
      </c>
      <c r="D322" s="1" t="s">
        <v>121</v>
      </c>
      <c r="E322">
        <v>12</v>
      </c>
      <c r="F322" s="2">
        <v>45480</v>
      </c>
    </row>
    <row r="323" spans="1:6" x14ac:dyDescent="0.35">
      <c r="A323" s="1" t="s">
        <v>756</v>
      </c>
      <c r="B323" s="1" t="s">
        <v>248</v>
      </c>
      <c r="C323" s="1" t="s">
        <v>69</v>
      </c>
      <c r="D323" s="1" t="s">
        <v>171</v>
      </c>
      <c r="E323">
        <v>13</v>
      </c>
      <c r="F323" s="2">
        <v>45325</v>
      </c>
    </row>
    <row r="324" spans="1:6" x14ac:dyDescent="0.35">
      <c r="A324" s="1" t="s">
        <v>758</v>
      </c>
      <c r="B324" s="1" t="s">
        <v>240</v>
      </c>
      <c r="C324" s="1" t="s">
        <v>15</v>
      </c>
      <c r="D324" s="1" t="s">
        <v>121</v>
      </c>
      <c r="E324">
        <v>13</v>
      </c>
      <c r="F324" s="2">
        <v>45650</v>
      </c>
    </row>
    <row r="325" spans="1:6" x14ac:dyDescent="0.35">
      <c r="A325" s="1" t="s">
        <v>760</v>
      </c>
      <c r="B325" s="1" t="s">
        <v>173</v>
      </c>
      <c r="C325" s="1" t="s">
        <v>15</v>
      </c>
      <c r="D325" s="1" t="s">
        <v>121</v>
      </c>
      <c r="E325">
        <v>5</v>
      </c>
      <c r="F325" s="2">
        <v>45504</v>
      </c>
    </row>
    <row r="326" spans="1:6" x14ac:dyDescent="0.35">
      <c r="A326" s="1" t="s">
        <v>762</v>
      </c>
      <c r="B326" s="1" t="s">
        <v>176</v>
      </c>
      <c r="C326" s="1" t="s">
        <v>35</v>
      </c>
      <c r="D326" s="1" t="s">
        <v>157</v>
      </c>
      <c r="E326">
        <v>15</v>
      </c>
      <c r="F326" s="2">
        <v>45419</v>
      </c>
    </row>
    <row r="327" spans="1:6" x14ac:dyDescent="0.35">
      <c r="A327" s="1" t="s">
        <v>764</v>
      </c>
      <c r="B327" s="1" t="s">
        <v>168</v>
      </c>
      <c r="C327" s="1" t="s">
        <v>78</v>
      </c>
      <c r="D327" s="1" t="s">
        <v>128</v>
      </c>
      <c r="E327">
        <v>9</v>
      </c>
      <c r="F327" s="2">
        <v>45548</v>
      </c>
    </row>
    <row r="328" spans="1:6" x14ac:dyDescent="0.35">
      <c r="A328" s="1" t="s">
        <v>766</v>
      </c>
      <c r="B328" s="1" t="s">
        <v>111</v>
      </c>
      <c r="C328" s="1" t="s">
        <v>87</v>
      </c>
      <c r="D328" s="1" t="s">
        <v>143</v>
      </c>
      <c r="E328">
        <v>3</v>
      </c>
      <c r="F328" s="2">
        <v>45606</v>
      </c>
    </row>
    <row r="329" spans="1:6" x14ac:dyDescent="0.35">
      <c r="A329" s="1" t="s">
        <v>768</v>
      </c>
      <c r="B329" s="1" t="s">
        <v>113</v>
      </c>
      <c r="C329" s="1" t="s">
        <v>21</v>
      </c>
      <c r="D329" s="1" t="s">
        <v>143</v>
      </c>
      <c r="E329">
        <v>11</v>
      </c>
      <c r="F329" s="2">
        <v>45562</v>
      </c>
    </row>
    <row r="330" spans="1:6" x14ac:dyDescent="0.35">
      <c r="A330" s="1" t="s">
        <v>770</v>
      </c>
      <c r="B330" s="1" t="s">
        <v>272</v>
      </c>
      <c r="C330" s="1" t="s">
        <v>78</v>
      </c>
      <c r="D330" s="1" t="s">
        <v>124</v>
      </c>
      <c r="E330">
        <v>6</v>
      </c>
      <c r="F330" s="2">
        <v>45338</v>
      </c>
    </row>
    <row r="331" spans="1:6" x14ac:dyDescent="0.35">
      <c r="A331" s="1" t="s">
        <v>772</v>
      </c>
      <c r="B331" s="1" t="s">
        <v>248</v>
      </c>
      <c r="C331" s="1" t="s">
        <v>45</v>
      </c>
      <c r="D331" s="1" t="s">
        <v>171</v>
      </c>
      <c r="E331">
        <v>4</v>
      </c>
      <c r="F331" s="2">
        <v>45614</v>
      </c>
    </row>
    <row r="332" spans="1:6" x14ac:dyDescent="0.35">
      <c r="A332" s="1" t="s">
        <v>774</v>
      </c>
      <c r="B332" s="1" t="s">
        <v>168</v>
      </c>
      <c r="C332" s="1" t="s">
        <v>78</v>
      </c>
      <c r="D332" s="1" t="s">
        <v>121</v>
      </c>
      <c r="E332">
        <v>6</v>
      </c>
      <c r="F332" s="2">
        <v>45523</v>
      </c>
    </row>
    <row r="333" spans="1:6" x14ac:dyDescent="0.35">
      <c r="A333" s="1" t="s">
        <v>776</v>
      </c>
      <c r="B333" s="1" t="s">
        <v>106</v>
      </c>
      <c r="C333" s="1" t="s">
        <v>51</v>
      </c>
      <c r="D333" s="1" t="s">
        <v>143</v>
      </c>
      <c r="E333">
        <v>14</v>
      </c>
      <c r="F333" s="2">
        <v>45600</v>
      </c>
    </row>
    <row r="334" spans="1:6" x14ac:dyDescent="0.35">
      <c r="A334" s="1" t="s">
        <v>777</v>
      </c>
      <c r="B334" s="1" t="s">
        <v>111</v>
      </c>
      <c r="C334" s="1" t="s">
        <v>35</v>
      </c>
      <c r="D334" s="1" t="s">
        <v>171</v>
      </c>
      <c r="E334">
        <v>4</v>
      </c>
      <c r="F334" s="2">
        <v>45389</v>
      </c>
    </row>
    <row r="335" spans="1:6" x14ac:dyDescent="0.35">
      <c r="A335" s="1" t="s">
        <v>779</v>
      </c>
      <c r="B335" s="1" t="s">
        <v>164</v>
      </c>
      <c r="C335" s="1" t="s">
        <v>73</v>
      </c>
      <c r="D335" s="1" t="s">
        <v>157</v>
      </c>
      <c r="E335">
        <v>3</v>
      </c>
      <c r="F335" s="2">
        <v>45295</v>
      </c>
    </row>
    <row r="336" spans="1:6" x14ac:dyDescent="0.35">
      <c r="A336" s="1" t="s">
        <v>781</v>
      </c>
      <c r="B336" s="1" t="s">
        <v>137</v>
      </c>
      <c r="C336" s="1" t="s">
        <v>69</v>
      </c>
      <c r="D336" s="1" t="s">
        <v>121</v>
      </c>
      <c r="E336">
        <v>9</v>
      </c>
      <c r="F336" s="2">
        <v>45380</v>
      </c>
    </row>
    <row r="337" spans="1:6" x14ac:dyDescent="0.35">
      <c r="A337" s="1" t="s">
        <v>783</v>
      </c>
      <c r="B337" s="1" t="s">
        <v>188</v>
      </c>
      <c r="C337" s="1" t="s">
        <v>35</v>
      </c>
      <c r="D337" s="1" t="s">
        <v>121</v>
      </c>
      <c r="E337">
        <v>15</v>
      </c>
      <c r="F337" s="2">
        <v>45379</v>
      </c>
    </row>
    <row r="338" spans="1:6" x14ac:dyDescent="0.35">
      <c r="A338" s="1" t="s">
        <v>785</v>
      </c>
      <c r="B338" s="1" t="s">
        <v>172</v>
      </c>
      <c r="C338" s="1" t="s">
        <v>73</v>
      </c>
      <c r="D338" s="1" t="s">
        <v>143</v>
      </c>
      <c r="E338">
        <v>5</v>
      </c>
      <c r="F338" s="2">
        <v>45342</v>
      </c>
    </row>
    <row r="339" spans="1:6" x14ac:dyDescent="0.35">
      <c r="A339" s="1" t="s">
        <v>787</v>
      </c>
      <c r="B339" s="1" t="s">
        <v>188</v>
      </c>
      <c r="C339" s="1" t="s">
        <v>45</v>
      </c>
      <c r="D339" s="1" t="s">
        <v>124</v>
      </c>
      <c r="E339">
        <v>14</v>
      </c>
      <c r="F339" s="2">
        <v>45441</v>
      </c>
    </row>
    <row r="340" spans="1:6" x14ac:dyDescent="0.35">
      <c r="A340" s="1" t="s">
        <v>789</v>
      </c>
      <c r="B340" s="1" t="s">
        <v>141</v>
      </c>
      <c r="C340" s="1" t="s">
        <v>78</v>
      </c>
      <c r="D340" s="1" t="s">
        <v>121</v>
      </c>
      <c r="E340">
        <v>9</v>
      </c>
      <c r="F340" s="2">
        <v>45345</v>
      </c>
    </row>
    <row r="341" spans="1:6" x14ac:dyDescent="0.35">
      <c r="A341" s="1" t="s">
        <v>791</v>
      </c>
      <c r="B341" s="1" t="s">
        <v>116</v>
      </c>
      <c r="C341" s="1" t="s">
        <v>35</v>
      </c>
      <c r="D341" s="1" t="s">
        <v>124</v>
      </c>
      <c r="E341">
        <v>4</v>
      </c>
      <c r="F341" s="2">
        <v>45622</v>
      </c>
    </row>
    <row r="342" spans="1:6" x14ac:dyDescent="0.35">
      <c r="A342" s="1" t="s">
        <v>793</v>
      </c>
      <c r="B342" s="1" t="s">
        <v>191</v>
      </c>
      <c r="C342" s="1" t="s">
        <v>63</v>
      </c>
      <c r="D342" s="1" t="s">
        <v>143</v>
      </c>
      <c r="E342">
        <v>14</v>
      </c>
      <c r="F342" s="2">
        <v>45657</v>
      </c>
    </row>
    <row r="343" spans="1:6" x14ac:dyDescent="0.35">
      <c r="A343" s="1" t="s">
        <v>795</v>
      </c>
      <c r="B343" s="1" t="s">
        <v>141</v>
      </c>
      <c r="C343" s="1" t="s">
        <v>8</v>
      </c>
      <c r="D343" s="1" t="s">
        <v>124</v>
      </c>
      <c r="E343">
        <v>13</v>
      </c>
      <c r="F343" s="2">
        <v>45412</v>
      </c>
    </row>
    <row r="344" spans="1:6" x14ac:dyDescent="0.35">
      <c r="A344" s="1" t="s">
        <v>797</v>
      </c>
      <c r="B344" s="1" t="s">
        <v>109</v>
      </c>
      <c r="C344" s="1" t="s">
        <v>63</v>
      </c>
      <c r="D344" s="1" t="s">
        <v>128</v>
      </c>
      <c r="E344">
        <v>15</v>
      </c>
      <c r="F344" s="2">
        <v>45544</v>
      </c>
    </row>
    <row r="345" spans="1:6" x14ac:dyDescent="0.35">
      <c r="A345" s="1" t="s">
        <v>799</v>
      </c>
      <c r="B345" s="1" t="s">
        <v>113</v>
      </c>
      <c r="C345" s="1" t="s">
        <v>73</v>
      </c>
      <c r="D345" s="1" t="s">
        <v>128</v>
      </c>
      <c r="E345">
        <v>5</v>
      </c>
      <c r="F345" s="2">
        <v>45481</v>
      </c>
    </row>
    <row r="346" spans="1:6" x14ac:dyDescent="0.35">
      <c r="A346" s="1" t="s">
        <v>801</v>
      </c>
      <c r="B346" s="1" t="s">
        <v>111</v>
      </c>
      <c r="C346" s="1" t="s">
        <v>82</v>
      </c>
      <c r="D346" s="1" t="s">
        <v>121</v>
      </c>
      <c r="E346">
        <v>2</v>
      </c>
      <c r="F346" s="2">
        <v>45320</v>
      </c>
    </row>
    <row r="347" spans="1:6" x14ac:dyDescent="0.35">
      <c r="A347" s="1" t="s">
        <v>803</v>
      </c>
      <c r="B347" s="1" t="s">
        <v>149</v>
      </c>
      <c r="C347" s="1" t="s">
        <v>45</v>
      </c>
      <c r="D347" s="1" t="s">
        <v>124</v>
      </c>
      <c r="E347">
        <v>14</v>
      </c>
      <c r="F347" s="2">
        <v>45577</v>
      </c>
    </row>
    <row r="348" spans="1:6" x14ac:dyDescent="0.35">
      <c r="A348" s="1" t="s">
        <v>805</v>
      </c>
      <c r="B348" s="1" t="s">
        <v>116</v>
      </c>
      <c r="C348" s="1" t="s">
        <v>15</v>
      </c>
      <c r="D348" s="1" t="s">
        <v>128</v>
      </c>
      <c r="E348">
        <v>11</v>
      </c>
      <c r="F348" s="2">
        <v>45589</v>
      </c>
    </row>
    <row r="349" spans="1:6" x14ac:dyDescent="0.35">
      <c r="A349" s="1" t="s">
        <v>807</v>
      </c>
      <c r="B349" s="1" t="s">
        <v>191</v>
      </c>
      <c r="C349" s="1" t="s">
        <v>78</v>
      </c>
      <c r="D349" s="1" t="s">
        <v>121</v>
      </c>
      <c r="E349">
        <v>3</v>
      </c>
      <c r="F349" s="2">
        <v>45606</v>
      </c>
    </row>
    <row r="350" spans="1:6" x14ac:dyDescent="0.35">
      <c r="A350" s="1" t="s">
        <v>809</v>
      </c>
      <c r="B350" s="1" t="s">
        <v>149</v>
      </c>
      <c r="C350" s="1" t="s">
        <v>39</v>
      </c>
      <c r="D350" s="1" t="s">
        <v>128</v>
      </c>
      <c r="E350">
        <v>10</v>
      </c>
      <c r="F350" s="2">
        <v>45474</v>
      </c>
    </row>
    <row r="351" spans="1:6" x14ac:dyDescent="0.35">
      <c r="A351" s="1" t="s">
        <v>811</v>
      </c>
      <c r="B351" s="1" t="s">
        <v>188</v>
      </c>
      <c r="C351" s="1" t="s">
        <v>51</v>
      </c>
      <c r="D351" s="1" t="s">
        <v>171</v>
      </c>
      <c r="E351">
        <v>3</v>
      </c>
      <c r="F351" s="2">
        <v>45618</v>
      </c>
    </row>
    <row r="352" spans="1:6" x14ac:dyDescent="0.35">
      <c r="A352" s="1" t="s">
        <v>813</v>
      </c>
      <c r="B352" s="1" t="s">
        <v>164</v>
      </c>
      <c r="C352" s="1" t="s">
        <v>82</v>
      </c>
      <c r="D352" s="1" t="s">
        <v>171</v>
      </c>
      <c r="E352">
        <v>3</v>
      </c>
      <c r="F352" s="2">
        <v>45586</v>
      </c>
    </row>
    <row r="353" spans="1:6" x14ac:dyDescent="0.35">
      <c r="A353" s="1" t="s">
        <v>815</v>
      </c>
      <c r="B353" s="1" t="s">
        <v>113</v>
      </c>
      <c r="C353" s="1" t="s">
        <v>39</v>
      </c>
      <c r="D353" s="1" t="s">
        <v>124</v>
      </c>
      <c r="E353">
        <v>3</v>
      </c>
      <c r="F353" s="2">
        <v>45411</v>
      </c>
    </row>
    <row r="354" spans="1:6" x14ac:dyDescent="0.35">
      <c r="A354" s="1" t="s">
        <v>817</v>
      </c>
      <c r="B354" s="1" t="s">
        <v>133</v>
      </c>
      <c r="C354" s="1" t="s">
        <v>73</v>
      </c>
      <c r="D354" s="1" t="s">
        <v>157</v>
      </c>
      <c r="E354">
        <v>6</v>
      </c>
      <c r="F354" s="2">
        <v>45372</v>
      </c>
    </row>
    <row r="355" spans="1:6" x14ac:dyDescent="0.35">
      <c r="A355" s="1" t="s">
        <v>819</v>
      </c>
      <c r="B355" s="1" t="s">
        <v>172</v>
      </c>
      <c r="C355" s="1" t="s">
        <v>73</v>
      </c>
      <c r="D355" s="1" t="s">
        <v>124</v>
      </c>
      <c r="E355">
        <v>14</v>
      </c>
      <c r="F355" s="2">
        <v>45376</v>
      </c>
    </row>
    <row r="356" spans="1:6" x14ac:dyDescent="0.35">
      <c r="A356" s="1" t="s">
        <v>821</v>
      </c>
      <c r="B356" s="1" t="s">
        <v>197</v>
      </c>
      <c r="C356" s="1" t="s">
        <v>45</v>
      </c>
      <c r="D356" s="1" t="s">
        <v>128</v>
      </c>
      <c r="E356">
        <v>9</v>
      </c>
      <c r="F356" s="2">
        <v>45355</v>
      </c>
    </row>
    <row r="357" spans="1:6" x14ac:dyDescent="0.35">
      <c r="A357" s="1" t="s">
        <v>823</v>
      </c>
      <c r="B357" s="1" t="s">
        <v>141</v>
      </c>
      <c r="C357" s="1" t="s">
        <v>51</v>
      </c>
      <c r="D357" s="1" t="s">
        <v>121</v>
      </c>
      <c r="E357">
        <v>11</v>
      </c>
      <c r="F357" s="2">
        <v>45388</v>
      </c>
    </row>
    <row r="358" spans="1:6" x14ac:dyDescent="0.35">
      <c r="A358" s="1" t="s">
        <v>825</v>
      </c>
      <c r="B358" s="1" t="s">
        <v>106</v>
      </c>
      <c r="C358" s="1" t="s">
        <v>21</v>
      </c>
      <c r="D358" s="1" t="s">
        <v>143</v>
      </c>
      <c r="E358">
        <v>2</v>
      </c>
      <c r="F358" s="2">
        <v>45317</v>
      </c>
    </row>
    <row r="359" spans="1:6" x14ac:dyDescent="0.35">
      <c r="A359" s="1" t="s">
        <v>827</v>
      </c>
      <c r="B359" s="1" t="s">
        <v>137</v>
      </c>
      <c r="C359" s="1" t="s">
        <v>63</v>
      </c>
      <c r="D359" s="1" t="s">
        <v>121</v>
      </c>
      <c r="E359">
        <v>5</v>
      </c>
      <c r="F359" s="2">
        <v>45609</v>
      </c>
    </row>
    <row r="360" spans="1:6" x14ac:dyDescent="0.35">
      <c r="A360" s="1" t="s">
        <v>829</v>
      </c>
      <c r="B360" s="1" t="s">
        <v>109</v>
      </c>
      <c r="C360" s="1" t="s">
        <v>73</v>
      </c>
      <c r="D360" s="1" t="s">
        <v>171</v>
      </c>
      <c r="E360">
        <v>10</v>
      </c>
      <c r="F360" s="2">
        <v>45592</v>
      </c>
    </row>
    <row r="361" spans="1:6" x14ac:dyDescent="0.35">
      <c r="A361" s="1" t="s">
        <v>830</v>
      </c>
      <c r="B361" s="1" t="s">
        <v>240</v>
      </c>
      <c r="C361" s="1" t="s">
        <v>73</v>
      </c>
      <c r="D361" s="1" t="s">
        <v>171</v>
      </c>
      <c r="E361">
        <v>6</v>
      </c>
      <c r="F361" s="2">
        <v>45366</v>
      </c>
    </row>
    <row r="362" spans="1:6" x14ac:dyDescent="0.35">
      <c r="A362" s="1" t="s">
        <v>832</v>
      </c>
      <c r="B362" s="1" t="s">
        <v>172</v>
      </c>
      <c r="C362" s="1" t="s">
        <v>73</v>
      </c>
      <c r="D362" s="1" t="s">
        <v>157</v>
      </c>
      <c r="E362">
        <v>6</v>
      </c>
      <c r="F362" s="2">
        <v>45389</v>
      </c>
    </row>
    <row r="363" spans="1:6" x14ac:dyDescent="0.35">
      <c r="A363" s="1" t="s">
        <v>834</v>
      </c>
      <c r="B363" s="1" t="s">
        <v>176</v>
      </c>
      <c r="C363" s="1" t="s">
        <v>39</v>
      </c>
      <c r="D363" s="1" t="s">
        <v>171</v>
      </c>
      <c r="E363">
        <v>8</v>
      </c>
      <c r="F363" s="2">
        <v>45503</v>
      </c>
    </row>
    <row r="364" spans="1:6" x14ac:dyDescent="0.35">
      <c r="A364" s="1" t="s">
        <v>836</v>
      </c>
      <c r="B364" s="1" t="s">
        <v>133</v>
      </c>
      <c r="C364" s="1" t="s">
        <v>45</v>
      </c>
      <c r="D364" s="1" t="s">
        <v>128</v>
      </c>
      <c r="E364">
        <v>9</v>
      </c>
      <c r="F364" s="2">
        <v>45462</v>
      </c>
    </row>
    <row r="365" spans="1:6" x14ac:dyDescent="0.35">
      <c r="A365" s="1" t="s">
        <v>838</v>
      </c>
      <c r="B365" s="1" t="s">
        <v>188</v>
      </c>
      <c r="C365" s="1" t="s">
        <v>69</v>
      </c>
      <c r="D365" s="1" t="s">
        <v>171</v>
      </c>
      <c r="E365">
        <v>12</v>
      </c>
      <c r="F365" s="2">
        <v>45450</v>
      </c>
    </row>
    <row r="366" spans="1:6" x14ac:dyDescent="0.35">
      <c r="A366" s="1" t="s">
        <v>840</v>
      </c>
      <c r="B366" s="1" t="s">
        <v>240</v>
      </c>
      <c r="C366" s="1" t="s">
        <v>45</v>
      </c>
      <c r="D366" s="1" t="s">
        <v>157</v>
      </c>
      <c r="E366">
        <v>3</v>
      </c>
      <c r="F366" s="2">
        <v>45328</v>
      </c>
    </row>
    <row r="367" spans="1:6" x14ac:dyDescent="0.35">
      <c r="A367" s="1" t="s">
        <v>842</v>
      </c>
      <c r="B367" s="1" t="s">
        <v>141</v>
      </c>
      <c r="C367" s="1" t="s">
        <v>78</v>
      </c>
      <c r="D367" s="1" t="s">
        <v>121</v>
      </c>
      <c r="E367">
        <v>2</v>
      </c>
      <c r="F367" s="2">
        <v>45528</v>
      </c>
    </row>
    <row r="368" spans="1:6" x14ac:dyDescent="0.35">
      <c r="A368" s="1" t="s">
        <v>844</v>
      </c>
      <c r="B368" s="1" t="s">
        <v>109</v>
      </c>
      <c r="C368" s="1" t="s">
        <v>21</v>
      </c>
      <c r="D368" s="1" t="s">
        <v>171</v>
      </c>
      <c r="E368">
        <v>13</v>
      </c>
      <c r="F368" s="2">
        <v>45450</v>
      </c>
    </row>
    <row r="369" spans="1:6" x14ac:dyDescent="0.35">
      <c r="A369" s="1" t="s">
        <v>845</v>
      </c>
      <c r="B369" s="1" t="s">
        <v>197</v>
      </c>
      <c r="C369" s="1" t="s">
        <v>51</v>
      </c>
      <c r="D369" s="1" t="s">
        <v>143</v>
      </c>
      <c r="E369">
        <v>12</v>
      </c>
      <c r="F369" s="2">
        <v>45392</v>
      </c>
    </row>
    <row r="370" spans="1:6" x14ac:dyDescent="0.35">
      <c r="A370" s="1" t="s">
        <v>847</v>
      </c>
      <c r="B370" s="1" t="s">
        <v>149</v>
      </c>
      <c r="C370" s="1" t="s">
        <v>69</v>
      </c>
      <c r="D370" s="1" t="s">
        <v>121</v>
      </c>
      <c r="E370">
        <v>1</v>
      </c>
      <c r="F370" s="2">
        <v>45299</v>
      </c>
    </row>
    <row r="371" spans="1:6" x14ac:dyDescent="0.35">
      <c r="A371" s="1" t="s">
        <v>849</v>
      </c>
      <c r="B371" s="1" t="s">
        <v>240</v>
      </c>
      <c r="C371" s="1" t="s">
        <v>35</v>
      </c>
      <c r="D371" s="1" t="s">
        <v>143</v>
      </c>
      <c r="E371">
        <v>1</v>
      </c>
      <c r="F371" s="2">
        <v>45583</v>
      </c>
    </row>
    <row r="372" spans="1:6" x14ac:dyDescent="0.35">
      <c r="A372" s="1" t="s">
        <v>851</v>
      </c>
      <c r="B372" s="1" t="s">
        <v>133</v>
      </c>
      <c r="C372" s="1" t="s">
        <v>87</v>
      </c>
      <c r="D372" s="1" t="s">
        <v>157</v>
      </c>
      <c r="E372">
        <v>7</v>
      </c>
      <c r="F372" s="2">
        <v>45498</v>
      </c>
    </row>
    <row r="373" spans="1:6" x14ac:dyDescent="0.35">
      <c r="A373" s="1" t="s">
        <v>853</v>
      </c>
      <c r="B373" s="1" t="s">
        <v>164</v>
      </c>
      <c r="C373" s="1" t="s">
        <v>69</v>
      </c>
      <c r="D373" s="1" t="s">
        <v>171</v>
      </c>
      <c r="E373">
        <v>5</v>
      </c>
      <c r="F373" s="2">
        <v>45508</v>
      </c>
    </row>
    <row r="374" spans="1:6" x14ac:dyDescent="0.35">
      <c r="A374" s="1" t="s">
        <v>855</v>
      </c>
      <c r="B374" s="1" t="s">
        <v>197</v>
      </c>
      <c r="C374" s="1" t="s">
        <v>45</v>
      </c>
      <c r="D374" s="1" t="s">
        <v>171</v>
      </c>
      <c r="E374">
        <v>7</v>
      </c>
      <c r="F374" s="2">
        <v>45650</v>
      </c>
    </row>
    <row r="375" spans="1:6" x14ac:dyDescent="0.35">
      <c r="A375" s="1" t="s">
        <v>857</v>
      </c>
      <c r="B375" s="1" t="s">
        <v>191</v>
      </c>
      <c r="C375" s="1" t="s">
        <v>21</v>
      </c>
      <c r="D375" s="1" t="s">
        <v>171</v>
      </c>
      <c r="E375">
        <v>10</v>
      </c>
      <c r="F375" s="2">
        <v>45641</v>
      </c>
    </row>
    <row r="376" spans="1:6" x14ac:dyDescent="0.35">
      <c r="A376" s="1" t="s">
        <v>859</v>
      </c>
      <c r="B376" s="1" t="s">
        <v>172</v>
      </c>
      <c r="C376" s="1" t="s">
        <v>73</v>
      </c>
      <c r="D376" s="1" t="s">
        <v>124</v>
      </c>
      <c r="E376">
        <v>3</v>
      </c>
      <c r="F376" s="2">
        <v>45524</v>
      </c>
    </row>
    <row r="377" spans="1:6" x14ac:dyDescent="0.35">
      <c r="A377" s="1" t="s">
        <v>861</v>
      </c>
      <c r="B377" s="1" t="s">
        <v>149</v>
      </c>
      <c r="C377" s="1" t="s">
        <v>63</v>
      </c>
      <c r="D377" s="1" t="s">
        <v>157</v>
      </c>
      <c r="E377">
        <v>15</v>
      </c>
      <c r="F377" s="2">
        <v>45409</v>
      </c>
    </row>
    <row r="378" spans="1:6" x14ac:dyDescent="0.35">
      <c r="A378" s="1" t="s">
        <v>863</v>
      </c>
      <c r="B378" s="1" t="s">
        <v>176</v>
      </c>
      <c r="C378" s="1" t="s">
        <v>29</v>
      </c>
      <c r="D378" s="1" t="s">
        <v>157</v>
      </c>
      <c r="E378">
        <v>5</v>
      </c>
      <c r="F378" s="2">
        <v>45545</v>
      </c>
    </row>
    <row r="379" spans="1:6" x14ac:dyDescent="0.35">
      <c r="A379" s="1" t="s">
        <v>865</v>
      </c>
      <c r="B379" s="1" t="s">
        <v>149</v>
      </c>
      <c r="C379" s="1" t="s">
        <v>78</v>
      </c>
      <c r="D379" s="1" t="s">
        <v>143</v>
      </c>
      <c r="E379">
        <v>2</v>
      </c>
      <c r="F379" s="2">
        <v>45424</v>
      </c>
    </row>
    <row r="380" spans="1:6" x14ac:dyDescent="0.35">
      <c r="A380" s="1" t="s">
        <v>866</v>
      </c>
      <c r="B380" s="1" t="s">
        <v>197</v>
      </c>
      <c r="C380" s="1" t="s">
        <v>29</v>
      </c>
      <c r="D380" s="1" t="s">
        <v>121</v>
      </c>
      <c r="E380">
        <v>6</v>
      </c>
      <c r="F380" s="2">
        <v>45564</v>
      </c>
    </row>
    <row r="381" spans="1:6" x14ac:dyDescent="0.35">
      <c r="A381" s="1" t="s">
        <v>868</v>
      </c>
      <c r="B381" s="1" t="s">
        <v>133</v>
      </c>
      <c r="C381" s="1" t="s">
        <v>35</v>
      </c>
      <c r="D381" s="1" t="s">
        <v>143</v>
      </c>
      <c r="E381">
        <v>10</v>
      </c>
      <c r="F381" s="2">
        <v>45421</v>
      </c>
    </row>
    <row r="382" spans="1:6" x14ac:dyDescent="0.35">
      <c r="A382" s="1" t="s">
        <v>870</v>
      </c>
      <c r="B382" s="1" t="s">
        <v>176</v>
      </c>
      <c r="C382" s="1" t="s">
        <v>35</v>
      </c>
      <c r="D382" s="1" t="s">
        <v>143</v>
      </c>
      <c r="E382">
        <v>13</v>
      </c>
      <c r="F382" s="2">
        <v>45591</v>
      </c>
    </row>
    <row r="383" spans="1:6" x14ac:dyDescent="0.35">
      <c r="A383" s="1" t="s">
        <v>872</v>
      </c>
      <c r="B383" s="1" t="s">
        <v>164</v>
      </c>
      <c r="C383" s="1" t="s">
        <v>8</v>
      </c>
      <c r="D383" s="1" t="s">
        <v>143</v>
      </c>
      <c r="E383">
        <v>1</v>
      </c>
      <c r="F383" s="2">
        <v>45555</v>
      </c>
    </row>
    <row r="384" spans="1:6" x14ac:dyDescent="0.35">
      <c r="A384" s="1" t="s">
        <v>874</v>
      </c>
      <c r="B384" s="1" t="s">
        <v>188</v>
      </c>
      <c r="C384" s="1" t="s">
        <v>87</v>
      </c>
      <c r="D384" s="1" t="s">
        <v>128</v>
      </c>
      <c r="E384">
        <v>9</v>
      </c>
      <c r="F384" s="2">
        <v>45353</v>
      </c>
    </row>
    <row r="385" spans="1:6" x14ac:dyDescent="0.35">
      <c r="A385" s="1" t="s">
        <v>876</v>
      </c>
      <c r="B385" s="1" t="s">
        <v>111</v>
      </c>
      <c r="C385" s="1" t="s">
        <v>21</v>
      </c>
      <c r="D385" s="1" t="s">
        <v>124</v>
      </c>
      <c r="E385">
        <v>5</v>
      </c>
      <c r="F385" s="2">
        <v>45497</v>
      </c>
    </row>
    <row r="386" spans="1:6" x14ac:dyDescent="0.35">
      <c r="A386" s="1" t="s">
        <v>878</v>
      </c>
      <c r="B386" s="1" t="s">
        <v>188</v>
      </c>
      <c r="C386" s="1" t="s">
        <v>35</v>
      </c>
      <c r="D386" s="1" t="s">
        <v>157</v>
      </c>
      <c r="E386">
        <v>3</v>
      </c>
      <c r="F386" s="2">
        <v>45301</v>
      </c>
    </row>
    <row r="387" spans="1:6" x14ac:dyDescent="0.35">
      <c r="A387" s="1" t="s">
        <v>880</v>
      </c>
      <c r="B387" s="1" t="s">
        <v>133</v>
      </c>
      <c r="C387" s="1" t="s">
        <v>69</v>
      </c>
      <c r="D387" s="1" t="s">
        <v>121</v>
      </c>
      <c r="E387">
        <v>7</v>
      </c>
      <c r="F387" s="2">
        <v>45632</v>
      </c>
    </row>
    <row r="388" spans="1:6" x14ac:dyDescent="0.35">
      <c r="A388" s="1" t="s">
        <v>882</v>
      </c>
      <c r="B388" s="1" t="s">
        <v>164</v>
      </c>
      <c r="C388" s="1" t="s">
        <v>45</v>
      </c>
      <c r="D388" s="1" t="s">
        <v>128</v>
      </c>
      <c r="E388">
        <v>15</v>
      </c>
      <c r="F388" s="2">
        <v>45388</v>
      </c>
    </row>
    <row r="389" spans="1:6" x14ac:dyDescent="0.35">
      <c r="A389" s="1" t="s">
        <v>884</v>
      </c>
      <c r="B389" s="1" t="s">
        <v>106</v>
      </c>
      <c r="C389" s="1" t="s">
        <v>15</v>
      </c>
      <c r="D389" s="1" t="s">
        <v>171</v>
      </c>
      <c r="E389">
        <v>14</v>
      </c>
      <c r="F389" s="2">
        <v>45377</v>
      </c>
    </row>
    <row r="390" spans="1:6" x14ac:dyDescent="0.35">
      <c r="A390" s="1" t="s">
        <v>886</v>
      </c>
      <c r="B390" s="1" t="s">
        <v>106</v>
      </c>
      <c r="C390" s="1" t="s">
        <v>63</v>
      </c>
      <c r="D390" s="1" t="s">
        <v>128</v>
      </c>
      <c r="E390">
        <v>15</v>
      </c>
      <c r="F390" s="2">
        <v>45542</v>
      </c>
    </row>
    <row r="391" spans="1:6" x14ac:dyDescent="0.35">
      <c r="A391" s="1" t="s">
        <v>887</v>
      </c>
      <c r="B391" s="1" t="s">
        <v>111</v>
      </c>
      <c r="C391" s="1" t="s">
        <v>8</v>
      </c>
      <c r="D391" s="1" t="s">
        <v>143</v>
      </c>
      <c r="E391">
        <v>4</v>
      </c>
      <c r="F391" s="2">
        <v>45602</v>
      </c>
    </row>
    <row r="392" spans="1:6" x14ac:dyDescent="0.35">
      <c r="A392" s="1" t="s">
        <v>889</v>
      </c>
      <c r="B392" s="1" t="s">
        <v>173</v>
      </c>
      <c r="C392" s="1" t="s">
        <v>73</v>
      </c>
      <c r="D392" s="1" t="s">
        <v>171</v>
      </c>
      <c r="E392">
        <v>6</v>
      </c>
      <c r="F392" s="2">
        <v>45418</v>
      </c>
    </row>
    <row r="393" spans="1:6" x14ac:dyDescent="0.35">
      <c r="A393" s="1" t="s">
        <v>891</v>
      </c>
      <c r="B393" s="1" t="s">
        <v>191</v>
      </c>
      <c r="C393" s="1" t="s">
        <v>39</v>
      </c>
      <c r="D393" s="1" t="s">
        <v>143</v>
      </c>
      <c r="E393">
        <v>12</v>
      </c>
      <c r="F393" s="2">
        <v>45354</v>
      </c>
    </row>
    <row r="394" spans="1:6" x14ac:dyDescent="0.35">
      <c r="A394" s="1" t="s">
        <v>893</v>
      </c>
      <c r="B394" s="1" t="s">
        <v>149</v>
      </c>
      <c r="C394" s="1" t="s">
        <v>35</v>
      </c>
      <c r="D394" s="1" t="s">
        <v>128</v>
      </c>
      <c r="E394">
        <v>14</v>
      </c>
      <c r="F394" s="2">
        <v>45421</v>
      </c>
    </row>
    <row r="395" spans="1:6" x14ac:dyDescent="0.35">
      <c r="A395" s="1" t="s">
        <v>895</v>
      </c>
      <c r="B395" s="1" t="s">
        <v>240</v>
      </c>
      <c r="C395" s="1" t="s">
        <v>63</v>
      </c>
      <c r="D395" s="1" t="s">
        <v>124</v>
      </c>
      <c r="E395">
        <v>11</v>
      </c>
      <c r="F395" s="2">
        <v>45435</v>
      </c>
    </row>
    <row r="396" spans="1:6" x14ac:dyDescent="0.35">
      <c r="A396" s="1" t="s">
        <v>897</v>
      </c>
      <c r="B396" s="1" t="s">
        <v>191</v>
      </c>
      <c r="C396" s="1" t="s">
        <v>73</v>
      </c>
      <c r="D396" s="1" t="s">
        <v>171</v>
      </c>
      <c r="E396">
        <v>12</v>
      </c>
      <c r="F396" s="2">
        <v>45579</v>
      </c>
    </row>
    <row r="397" spans="1:6" x14ac:dyDescent="0.35">
      <c r="A397" s="1" t="s">
        <v>899</v>
      </c>
      <c r="B397" s="1" t="s">
        <v>191</v>
      </c>
      <c r="C397" s="1" t="s">
        <v>15</v>
      </c>
      <c r="D397" s="1" t="s">
        <v>157</v>
      </c>
      <c r="E397">
        <v>2</v>
      </c>
      <c r="F397" s="2">
        <v>45363</v>
      </c>
    </row>
    <row r="398" spans="1:6" x14ac:dyDescent="0.35">
      <c r="A398" s="1" t="s">
        <v>901</v>
      </c>
      <c r="B398" s="1" t="s">
        <v>109</v>
      </c>
      <c r="C398" s="1" t="s">
        <v>35</v>
      </c>
      <c r="D398" s="1" t="s">
        <v>157</v>
      </c>
      <c r="E398">
        <v>15</v>
      </c>
      <c r="F398" s="2">
        <v>45547</v>
      </c>
    </row>
    <row r="399" spans="1:6" x14ac:dyDescent="0.35">
      <c r="A399" s="1" t="s">
        <v>902</v>
      </c>
      <c r="B399" s="1" t="s">
        <v>164</v>
      </c>
      <c r="C399" s="1" t="s">
        <v>87</v>
      </c>
      <c r="D399" s="1" t="s">
        <v>121</v>
      </c>
      <c r="E399">
        <v>12</v>
      </c>
      <c r="F399" s="2">
        <v>45371</v>
      </c>
    </row>
    <row r="400" spans="1:6" x14ac:dyDescent="0.35">
      <c r="A400" s="1" t="s">
        <v>904</v>
      </c>
      <c r="B400" s="1" t="s">
        <v>272</v>
      </c>
      <c r="C400" s="1" t="s">
        <v>21</v>
      </c>
      <c r="D400" s="1" t="s">
        <v>124</v>
      </c>
      <c r="E400">
        <v>3</v>
      </c>
      <c r="F400" s="2">
        <v>45642</v>
      </c>
    </row>
    <row r="401" spans="1:6" x14ac:dyDescent="0.35">
      <c r="A401" s="1" t="s">
        <v>906</v>
      </c>
      <c r="B401" s="1" t="s">
        <v>272</v>
      </c>
      <c r="C401" s="1" t="s">
        <v>45</v>
      </c>
      <c r="D401" s="1" t="s">
        <v>124</v>
      </c>
      <c r="E401">
        <v>2</v>
      </c>
      <c r="F401" s="2">
        <v>45587</v>
      </c>
    </row>
    <row r="402" spans="1:6" x14ac:dyDescent="0.35">
      <c r="A402" s="1" t="s">
        <v>908</v>
      </c>
      <c r="B402" s="1" t="s">
        <v>272</v>
      </c>
      <c r="C402" s="1" t="s">
        <v>15</v>
      </c>
      <c r="D402" s="1" t="s">
        <v>128</v>
      </c>
      <c r="E402">
        <v>8</v>
      </c>
      <c r="F402" s="2">
        <v>45380</v>
      </c>
    </row>
    <row r="403" spans="1:6" x14ac:dyDescent="0.35">
      <c r="A403" s="1" t="s">
        <v>910</v>
      </c>
      <c r="B403" s="1" t="s">
        <v>137</v>
      </c>
      <c r="C403" s="1" t="s">
        <v>78</v>
      </c>
      <c r="D403" s="1" t="s">
        <v>124</v>
      </c>
      <c r="E403">
        <v>1</v>
      </c>
      <c r="F403" s="2">
        <v>45607</v>
      </c>
    </row>
    <row r="404" spans="1:6" x14ac:dyDescent="0.35">
      <c r="A404" s="1" t="s">
        <v>912</v>
      </c>
      <c r="B404" s="1" t="s">
        <v>113</v>
      </c>
      <c r="C404" s="1" t="s">
        <v>45</v>
      </c>
      <c r="D404" s="1" t="s">
        <v>143</v>
      </c>
      <c r="E404">
        <v>8</v>
      </c>
      <c r="F404" s="2">
        <v>45407</v>
      </c>
    </row>
    <row r="405" spans="1:6" x14ac:dyDescent="0.35">
      <c r="A405" s="1" t="s">
        <v>914</v>
      </c>
      <c r="B405" s="1" t="s">
        <v>248</v>
      </c>
      <c r="C405" s="1" t="s">
        <v>8</v>
      </c>
      <c r="D405" s="1" t="s">
        <v>128</v>
      </c>
      <c r="E405">
        <v>10</v>
      </c>
      <c r="F405" s="2">
        <v>45388</v>
      </c>
    </row>
    <row r="406" spans="1:6" x14ac:dyDescent="0.35">
      <c r="A406" s="1" t="s">
        <v>914</v>
      </c>
      <c r="B406" s="1" t="s">
        <v>168</v>
      </c>
      <c r="C406" s="1" t="s">
        <v>8</v>
      </c>
      <c r="D406" s="1" t="s">
        <v>128</v>
      </c>
      <c r="E406">
        <v>10</v>
      </c>
      <c r="F406" s="2">
        <v>45388</v>
      </c>
    </row>
    <row r="407" spans="1:6" x14ac:dyDescent="0.35">
      <c r="A407" s="1" t="s">
        <v>914</v>
      </c>
      <c r="B407" s="1" t="s">
        <v>172</v>
      </c>
      <c r="C407" s="1" t="s">
        <v>8</v>
      </c>
      <c r="D407" s="1" t="s">
        <v>128</v>
      </c>
      <c r="E407">
        <v>10</v>
      </c>
      <c r="F407" s="2">
        <v>45388</v>
      </c>
    </row>
    <row r="408" spans="1:6" x14ac:dyDescent="0.35">
      <c r="A408" s="1" t="s">
        <v>914</v>
      </c>
      <c r="B408" s="1" t="s">
        <v>173</v>
      </c>
      <c r="C408" s="1" t="s">
        <v>8</v>
      </c>
      <c r="D408" s="1" t="s">
        <v>128</v>
      </c>
      <c r="E408">
        <v>10</v>
      </c>
      <c r="F408" s="2">
        <v>45388</v>
      </c>
    </row>
    <row r="409" spans="1:6" x14ac:dyDescent="0.35">
      <c r="A409" s="1" t="s">
        <v>914</v>
      </c>
      <c r="B409" s="1" t="s">
        <v>111</v>
      </c>
      <c r="C409" s="1" t="s">
        <v>8</v>
      </c>
      <c r="D409" s="1" t="s">
        <v>128</v>
      </c>
      <c r="E409">
        <v>10</v>
      </c>
      <c r="F409" s="2">
        <v>45388</v>
      </c>
    </row>
    <row r="410" spans="1:6" x14ac:dyDescent="0.35">
      <c r="A410" s="1" t="s">
        <v>914</v>
      </c>
      <c r="B410" s="1" t="s">
        <v>113</v>
      </c>
      <c r="C410" s="1" t="s">
        <v>8</v>
      </c>
      <c r="D410" s="1" t="s">
        <v>128</v>
      </c>
      <c r="E410">
        <v>10</v>
      </c>
      <c r="F410" s="2">
        <v>45388</v>
      </c>
    </row>
    <row r="411" spans="1:6" x14ac:dyDescent="0.35">
      <c r="A411" s="1" t="s">
        <v>914</v>
      </c>
      <c r="B411" s="1" t="s">
        <v>106</v>
      </c>
      <c r="C411" s="1" t="s">
        <v>8</v>
      </c>
      <c r="D411" s="1" t="s">
        <v>128</v>
      </c>
      <c r="E411">
        <v>10</v>
      </c>
      <c r="F411" s="2">
        <v>45388</v>
      </c>
    </row>
    <row r="412" spans="1:6" x14ac:dyDescent="0.35">
      <c r="A412" s="1" t="s">
        <v>914</v>
      </c>
      <c r="B412" s="1" t="s">
        <v>197</v>
      </c>
      <c r="C412" s="1" t="s">
        <v>8</v>
      </c>
      <c r="D412" s="1" t="s">
        <v>128</v>
      </c>
      <c r="E412">
        <v>10</v>
      </c>
      <c r="F412" s="2">
        <v>45388</v>
      </c>
    </row>
    <row r="413" spans="1:6" x14ac:dyDescent="0.35">
      <c r="A413" s="1" t="s">
        <v>914</v>
      </c>
      <c r="B413" s="1" t="s">
        <v>116</v>
      </c>
      <c r="C413" s="1" t="s">
        <v>8</v>
      </c>
      <c r="D413" s="1" t="s">
        <v>128</v>
      </c>
      <c r="E413">
        <v>10</v>
      </c>
      <c r="F413" s="2">
        <v>45388</v>
      </c>
    </row>
    <row r="414" spans="1:6" x14ac:dyDescent="0.35">
      <c r="A414" s="1" t="s">
        <v>914</v>
      </c>
      <c r="B414" s="1" t="s">
        <v>133</v>
      </c>
      <c r="C414" s="1" t="s">
        <v>8</v>
      </c>
      <c r="D414" s="1" t="s">
        <v>128</v>
      </c>
      <c r="E414">
        <v>10</v>
      </c>
      <c r="F414" s="2">
        <v>45388</v>
      </c>
    </row>
    <row r="415" spans="1:6" x14ac:dyDescent="0.35">
      <c r="A415" s="1" t="s">
        <v>914</v>
      </c>
      <c r="B415" s="1" t="s">
        <v>141</v>
      </c>
      <c r="C415" s="1" t="s">
        <v>8</v>
      </c>
      <c r="D415" s="1" t="s">
        <v>128</v>
      </c>
      <c r="E415">
        <v>10</v>
      </c>
      <c r="F415" s="2">
        <v>45388</v>
      </c>
    </row>
    <row r="416" spans="1:6" x14ac:dyDescent="0.35">
      <c r="A416" s="1" t="s">
        <v>914</v>
      </c>
      <c r="B416" s="1" t="s">
        <v>109</v>
      </c>
      <c r="C416" s="1" t="s">
        <v>8</v>
      </c>
      <c r="D416" s="1" t="s">
        <v>128</v>
      </c>
      <c r="E416">
        <v>10</v>
      </c>
      <c r="F416" s="2">
        <v>45388</v>
      </c>
    </row>
    <row r="417" spans="1:6" x14ac:dyDescent="0.35">
      <c r="A417" s="1" t="s">
        <v>915</v>
      </c>
      <c r="B417" s="1" t="s">
        <v>141</v>
      </c>
      <c r="C417" s="1" t="s">
        <v>51</v>
      </c>
      <c r="D417" s="1" t="s">
        <v>128</v>
      </c>
      <c r="E417">
        <v>6</v>
      </c>
      <c r="F417" s="2">
        <v>45630</v>
      </c>
    </row>
    <row r="418" spans="1:6" x14ac:dyDescent="0.35">
      <c r="A418" s="1" t="s">
        <v>917</v>
      </c>
      <c r="B418" s="1" t="s">
        <v>109</v>
      </c>
      <c r="C418" s="1" t="s">
        <v>57</v>
      </c>
      <c r="D418" s="1" t="s">
        <v>143</v>
      </c>
      <c r="E418">
        <v>3</v>
      </c>
      <c r="F418" s="2">
        <v>45574</v>
      </c>
    </row>
    <row r="419" spans="1:6" x14ac:dyDescent="0.35">
      <c r="A419" s="1" t="s">
        <v>919</v>
      </c>
      <c r="B419" s="1" t="s">
        <v>109</v>
      </c>
      <c r="C419" s="1" t="s">
        <v>63</v>
      </c>
      <c r="D419" s="1" t="s">
        <v>171</v>
      </c>
      <c r="E419">
        <v>14</v>
      </c>
      <c r="F419" s="2">
        <v>45341</v>
      </c>
    </row>
    <row r="420" spans="1:6" x14ac:dyDescent="0.35">
      <c r="A420" s="1" t="s">
        <v>921</v>
      </c>
      <c r="B420" s="1" t="s">
        <v>106</v>
      </c>
      <c r="C420" s="1" t="s">
        <v>78</v>
      </c>
      <c r="D420" s="1" t="s">
        <v>157</v>
      </c>
      <c r="E420">
        <v>13</v>
      </c>
      <c r="F420" s="2">
        <v>45475</v>
      </c>
    </row>
    <row r="421" spans="1:6" x14ac:dyDescent="0.35">
      <c r="A421" s="1" t="s">
        <v>923</v>
      </c>
      <c r="B421" s="1" t="s">
        <v>173</v>
      </c>
      <c r="C421" s="1" t="s">
        <v>51</v>
      </c>
      <c r="D421" s="1" t="s">
        <v>121</v>
      </c>
      <c r="E421">
        <v>14</v>
      </c>
      <c r="F421" s="2">
        <v>45440</v>
      </c>
    </row>
    <row r="422" spans="1:6" x14ac:dyDescent="0.35">
      <c r="A422" s="1" t="s">
        <v>925</v>
      </c>
      <c r="B422" s="1" t="s">
        <v>106</v>
      </c>
      <c r="C422" s="1" t="s">
        <v>78</v>
      </c>
      <c r="D422" s="1" t="s">
        <v>128</v>
      </c>
      <c r="E422">
        <v>10</v>
      </c>
      <c r="F422" s="2">
        <v>45651</v>
      </c>
    </row>
    <row r="423" spans="1:6" x14ac:dyDescent="0.35">
      <c r="A423" s="1" t="s">
        <v>926</v>
      </c>
      <c r="B423" s="1" t="s">
        <v>133</v>
      </c>
      <c r="C423" s="1" t="s">
        <v>15</v>
      </c>
      <c r="D423" s="1" t="s">
        <v>128</v>
      </c>
      <c r="E423">
        <v>4</v>
      </c>
      <c r="F423" s="2">
        <v>45476</v>
      </c>
    </row>
    <row r="424" spans="1:6" x14ac:dyDescent="0.35">
      <c r="A424" s="1" t="s">
        <v>928</v>
      </c>
      <c r="B424" s="1" t="s">
        <v>141</v>
      </c>
      <c r="C424" s="1" t="s">
        <v>73</v>
      </c>
      <c r="D424" s="1" t="s">
        <v>124</v>
      </c>
      <c r="E424">
        <v>14</v>
      </c>
      <c r="F424" s="2">
        <v>45533</v>
      </c>
    </row>
    <row r="425" spans="1:6" x14ac:dyDescent="0.35">
      <c r="A425" s="1" t="s">
        <v>930</v>
      </c>
      <c r="B425" s="1" t="s">
        <v>191</v>
      </c>
      <c r="C425" s="1" t="s">
        <v>78</v>
      </c>
      <c r="D425" s="1" t="s">
        <v>157</v>
      </c>
      <c r="E425">
        <v>14</v>
      </c>
      <c r="F425" s="2">
        <v>45647</v>
      </c>
    </row>
    <row r="426" spans="1:6" x14ac:dyDescent="0.35">
      <c r="A426" s="1" t="s">
        <v>932</v>
      </c>
      <c r="B426" s="1" t="s">
        <v>173</v>
      </c>
      <c r="C426" s="1" t="s">
        <v>63</v>
      </c>
      <c r="D426" s="1" t="s">
        <v>157</v>
      </c>
      <c r="E426">
        <v>3</v>
      </c>
      <c r="F426" s="2">
        <v>45655</v>
      </c>
    </row>
    <row r="427" spans="1:6" x14ac:dyDescent="0.35">
      <c r="A427" s="1" t="s">
        <v>934</v>
      </c>
      <c r="B427" s="1" t="s">
        <v>137</v>
      </c>
      <c r="C427" s="1" t="s">
        <v>51</v>
      </c>
      <c r="D427" s="1" t="s">
        <v>157</v>
      </c>
      <c r="E427">
        <v>5</v>
      </c>
      <c r="F427" s="2">
        <v>45429</v>
      </c>
    </row>
    <row r="428" spans="1:6" x14ac:dyDescent="0.35">
      <c r="A428" s="1" t="s">
        <v>936</v>
      </c>
      <c r="B428" s="1" t="s">
        <v>106</v>
      </c>
      <c r="C428" s="1" t="s">
        <v>45</v>
      </c>
      <c r="D428" s="1" t="s">
        <v>171</v>
      </c>
      <c r="E428">
        <v>13</v>
      </c>
      <c r="F428" s="2">
        <v>45429</v>
      </c>
    </row>
    <row r="429" spans="1:6" x14ac:dyDescent="0.35">
      <c r="A429" s="1" t="s">
        <v>938</v>
      </c>
      <c r="B429" s="1" t="s">
        <v>164</v>
      </c>
      <c r="C429" s="1" t="s">
        <v>63</v>
      </c>
      <c r="D429" s="1" t="s">
        <v>121</v>
      </c>
      <c r="E429">
        <v>8</v>
      </c>
      <c r="F429" s="2">
        <v>45311</v>
      </c>
    </row>
    <row r="430" spans="1:6" x14ac:dyDescent="0.35">
      <c r="A430" s="1" t="s">
        <v>940</v>
      </c>
      <c r="B430" s="1" t="s">
        <v>176</v>
      </c>
      <c r="C430" s="1" t="s">
        <v>15</v>
      </c>
      <c r="D430" s="1" t="s">
        <v>157</v>
      </c>
      <c r="E430">
        <v>9</v>
      </c>
      <c r="F430" s="2">
        <v>45353</v>
      </c>
    </row>
    <row r="431" spans="1:6" x14ac:dyDescent="0.35">
      <c r="A431" s="1" t="s">
        <v>941</v>
      </c>
      <c r="B431" s="1" t="s">
        <v>272</v>
      </c>
      <c r="C431" s="1" t="s">
        <v>69</v>
      </c>
      <c r="D431" s="1" t="s">
        <v>121</v>
      </c>
      <c r="E431">
        <v>14</v>
      </c>
      <c r="F431" s="2">
        <v>45629</v>
      </c>
    </row>
    <row r="432" spans="1:6" x14ac:dyDescent="0.35">
      <c r="A432" s="1" t="s">
        <v>943</v>
      </c>
      <c r="B432" s="1" t="s">
        <v>197</v>
      </c>
      <c r="C432" s="1" t="s">
        <v>45</v>
      </c>
      <c r="D432" s="1" t="s">
        <v>143</v>
      </c>
      <c r="E432">
        <v>4</v>
      </c>
      <c r="F432" s="2">
        <v>45505</v>
      </c>
    </row>
    <row r="433" spans="1:6" x14ac:dyDescent="0.35">
      <c r="A433" s="1" t="s">
        <v>945</v>
      </c>
      <c r="B433" s="1" t="s">
        <v>149</v>
      </c>
      <c r="C433" s="1" t="s">
        <v>39</v>
      </c>
      <c r="D433" s="1" t="s">
        <v>143</v>
      </c>
      <c r="E433">
        <v>4</v>
      </c>
      <c r="F433" s="2">
        <v>45594</v>
      </c>
    </row>
    <row r="434" spans="1:6" x14ac:dyDescent="0.35">
      <c r="A434" s="1" t="s">
        <v>946</v>
      </c>
      <c r="B434" s="1" t="s">
        <v>188</v>
      </c>
      <c r="C434" s="1" t="s">
        <v>29</v>
      </c>
      <c r="D434" s="1" t="s">
        <v>128</v>
      </c>
      <c r="E434">
        <v>9</v>
      </c>
      <c r="F434" s="2">
        <v>45505</v>
      </c>
    </row>
    <row r="435" spans="1:6" x14ac:dyDescent="0.35">
      <c r="A435" s="1" t="s">
        <v>947</v>
      </c>
      <c r="B435" s="1" t="s">
        <v>168</v>
      </c>
      <c r="C435" s="1" t="s">
        <v>21</v>
      </c>
      <c r="D435" s="1" t="s">
        <v>157</v>
      </c>
      <c r="E435">
        <v>11</v>
      </c>
      <c r="F435" s="2">
        <v>45332</v>
      </c>
    </row>
    <row r="436" spans="1:6" x14ac:dyDescent="0.35">
      <c r="A436" s="1" t="s">
        <v>949</v>
      </c>
      <c r="B436" s="1" t="s">
        <v>172</v>
      </c>
      <c r="C436" s="1" t="s">
        <v>63</v>
      </c>
      <c r="D436" s="1" t="s">
        <v>128</v>
      </c>
      <c r="E436">
        <v>2</v>
      </c>
      <c r="F436" s="2">
        <v>45334</v>
      </c>
    </row>
    <row r="437" spans="1:6" x14ac:dyDescent="0.35">
      <c r="A437" s="1" t="s">
        <v>951</v>
      </c>
      <c r="B437" s="1" t="s">
        <v>172</v>
      </c>
      <c r="C437" s="1" t="s">
        <v>21</v>
      </c>
      <c r="D437" s="1" t="s">
        <v>143</v>
      </c>
      <c r="E437">
        <v>7</v>
      </c>
      <c r="F437" s="2">
        <v>45653</v>
      </c>
    </row>
    <row r="438" spans="1:6" x14ac:dyDescent="0.35">
      <c r="A438" s="1" t="s">
        <v>953</v>
      </c>
      <c r="B438" s="1" t="s">
        <v>173</v>
      </c>
      <c r="C438" s="1" t="s">
        <v>78</v>
      </c>
      <c r="D438" s="1" t="s">
        <v>128</v>
      </c>
      <c r="E438">
        <v>6</v>
      </c>
      <c r="F438" s="2">
        <v>45554</v>
      </c>
    </row>
    <row r="439" spans="1:6" x14ac:dyDescent="0.35">
      <c r="A439" s="1" t="s">
        <v>955</v>
      </c>
      <c r="B439" s="1" t="s">
        <v>141</v>
      </c>
      <c r="C439" s="1" t="s">
        <v>21</v>
      </c>
      <c r="D439" s="1" t="s">
        <v>124</v>
      </c>
      <c r="E439">
        <v>1</v>
      </c>
      <c r="F439" s="2">
        <v>45389</v>
      </c>
    </row>
    <row r="440" spans="1:6" x14ac:dyDescent="0.35">
      <c r="A440" s="1" t="s">
        <v>957</v>
      </c>
      <c r="B440" s="1" t="s">
        <v>106</v>
      </c>
      <c r="C440" s="1" t="s">
        <v>8</v>
      </c>
      <c r="D440" s="1" t="s">
        <v>143</v>
      </c>
      <c r="E440">
        <v>1</v>
      </c>
      <c r="F440" s="2">
        <v>45324</v>
      </c>
    </row>
    <row r="441" spans="1:6" x14ac:dyDescent="0.35">
      <c r="A441" s="1" t="s">
        <v>959</v>
      </c>
      <c r="B441" s="1" t="s">
        <v>248</v>
      </c>
      <c r="C441" s="1" t="s">
        <v>87</v>
      </c>
      <c r="D441" s="1" t="s">
        <v>124</v>
      </c>
      <c r="E441">
        <v>6</v>
      </c>
      <c r="F441" s="2">
        <v>45490</v>
      </c>
    </row>
    <row r="442" spans="1:6" x14ac:dyDescent="0.35">
      <c r="A442" s="1" t="s">
        <v>961</v>
      </c>
      <c r="B442" s="1" t="s">
        <v>172</v>
      </c>
      <c r="C442" s="1" t="s">
        <v>39</v>
      </c>
      <c r="D442" s="1" t="s">
        <v>143</v>
      </c>
      <c r="E442">
        <v>8</v>
      </c>
      <c r="F442" s="2">
        <v>45333</v>
      </c>
    </row>
    <row r="443" spans="1:6" x14ac:dyDescent="0.35">
      <c r="A443" s="1" t="s">
        <v>962</v>
      </c>
      <c r="B443" s="1" t="s">
        <v>113</v>
      </c>
      <c r="C443" s="1" t="s">
        <v>39</v>
      </c>
      <c r="D443" s="1" t="s">
        <v>171</v>
      </c>
      <c r="E443">
        <v>15</v>
      </c>
      <c r="F443" s="2">
        <v>45351</v>
      </c>
    </row>
    <row r="444" spans="1:6" x14ac:dyDescent="0.35">
      <c r="A444" s="1" t="s">
        <v>964</v>
      </c>
      <c r="B444" s="1" t="s">
        <v>113</v>
      </c>
      <c r="C444" s="1" t="s">
        <v>21</v>
      </c>
      <c r="D444" s="1" t="s">
        <v>171</v>
      </c>
      <c r="E444">
        <v>15</v>
      </c>
      <c r="F444" s="2">
        <v>45384</v>
      </c>
    </row>
    <row r="445" spans="1:6" x14ac:dyDescent="0.35">
      <c r="A445" s="1" t="s">
        <v>966</v>
      </c>
      <c r="B445" s="1" t="s">
        <v>168</v>
      </c>
      <c r="C445" s="1" t="s">
        <v>78</v>
      </c>
      <c r="D445" s="1" t="s">
        <v>157</v>
      </c>
      <c r="E445">
        <v>10</v>
      </c>
      <c r="F445" s="2">
        <v>45512</v>
      </c>
    </row>
    <row r="446" spans="1:6" x14ac:dyDescent="0.35">
      <c r="A446" s="1" t="s">
        <v>968</v>
      </c>
      <c r="B446" s="1" t="s">
        <v>172</v>
      </c>
      <c r="C446" s="1" t="s">
        <v>29</v>
      </c>
      <c r="D446" s="1" t="s">
        <v>128</v>
      </c>
      <c r="E446">
        <v>12</v>
      </c>
      <c r="F446" s="2">
        <v>45370</v>
      </c>
    </row>
    <row r="447" spans="1:6" x14ac:dyDescent="0.35">
      <c r="A447" s="1" t="s">
        <v>970</v>
      </c>
      <c r="B447" s="1" t="s">
        <v>106</v>
      </c>
      <c r="C447" s="1" t="s">
        <v>69</v>
      </c>
      <c r="D447" s="1" t="s">
        <v>171</v>
      </c>
      <c r="E447">
        <v>6</v>
      </c>
      <c r="F447" s="2">
        <v>45446</v>
      </c>
    </row>
    <row r="448" spans="1:6" x14ac:dyDescent="0.35">
      <c r="A448" s="1" t="s">
        <v>972</v>
      </c>
      <c r="B448" s="1" t="s">
        <v>106</v>
      </c>
      <c r="C448" s="1" t="s">
        <v>15</v>
      </c>
      <c r="D448" s="1" t="s">
        <v>157</v>
      </c>
      <c r="E448">
        <v>12</v>
      </c>
      <c r="F448" s="2">
        <v>45590</v>
      </c>
    </row>
    <row r="449" spans="1:6" x14ac:dyDescent="0.35">
      <c r="A449" s="1" t="s">
        <v>974</v>
      </c>
      <c r="B449" s="1" t="s">
        <v>248</v>
      </c>
      <c r="C449" s="1" t="s">
        <v>29</v>
      </c>
      <c r="D449" s="1" t="s">
        <v>171</v>
      </c>
      <c r="E449">
        <v>15</v>
      </c>
      <c r="F449" s="2">
        <v>45521</v>
      </c>
    </row>
    <row r="450" spans="1:6" x14ac:dyDescent="0.35">
      <c r="A450" s="1" t="s">
        <v>976</v>
      </c>
      <c r="B450" s="1" t="s">
        <v>141</v>
      </c>
      <c r="C450" s="1" t="s">
        <v>51</v>
      </c>
      <c r="D450" s="1" t="s">
        <v>128</v>
      </c>
      <c r="E450">
        <v>5</v>
      </c>
      <c r="F450" s="2">
        <v>45619</v>
      </c>
    </row>
    <row r="451" spans="1:6" x14ac:dyDescent="0.35">
      <c r="A451" s="1" t="s">
        <v>978</v>
      </c>
      <c r="B451" s="1" t="s">
        <v>133</v>
      </c>
      <c r="C451" s="1" t="s">
        <v>69</v>
      </c>
      <c r="D451" s="1" t="s">
        <v>171</v>
      </c>
      <c r="E451">
        <v>6</v>
      </c>
      <c r="F451" s="2">
        <v>45320</v>
      </c>
    </row>
    <row r="452" spans="1:6" x14ac:dyDescent="0.35">
      <c r="A452" s="1" t="s">
        <v>979</v>
      </c>
      <c r="B452" s="1" t="s">
        <v>111</v>
      </c>
      <c r="C452" s="1" t="s">
        <v>21</v>
      </c>
      <c r="D452" s="1" t="s">
        <v>128</v>
      </c>
      <c r="E452">
        <v>15</v>
      </c>
      <c r="F452" s="2">
        <v>45349</v>
      </c>
    </row>
    <row r="453" spans="1:6" x14ac:dyDescent="0.35">
      <c r="A453" s="1" t="s">
        <v>981</v>
      </c>
      <c r="B453" s="1" t="s">
        <v>109</v>
      </c>
      <c r="C453" s="1" t="s">
        <v>69</v>
      </c>
      <c r="D453" s="1" t="s">
        <v>121</v>
      </c>
      <c r="E453">
        <v>12</v>
      </c>
      <c r="F453" s="2">
        <v>45371</v>
      </c>
    </row>
    <row r="454" spans="1:6" x14ac:dyDescent="0.35">
      <c r="A454" s="1" t="s">
        <v>983</v>
      </c>
      <c r="B454" s="1" t="s">
        <v>191</v>
      </c>
      <c r="C454" s="1" t="s">
        <v>73</v>
      </c>
      <c r="D454" s="1" t="s">
        <v>157</v>
      </c>
      <c r="E454">
        <v>4</v>
      </c>
      <c r="F454" s="2">
        <v>45544</v>
      </c>
    </row>
    <row r="455" spans="1:6" x14ac:dyDescent="0.35">
      <c r="A455" s="1" t="s">
        <v>985</v>
      </c>
      <c r="B455" s="1" t="s">
        <v>106</v>
      </c>
      <c r="C455" s="1" t="s">
        <v>39</v>
      </c>
      <c r="D455" s="1" t="s">
        <v>128</v>
      </c>
      <c r="E455">
        <v>9</v>
      </c>
      <c r="F455" s="2">
        <v>45460</v>
      </c>
    </row>
    <row r="456" spans="1:6" x14ac:dyDescent="0.35">
      <c r="A456" s="1" t="s">
        <v>987</v>
      </c>
      <c r="B456" s="1" t="s">
        <v>176</v>
      </c>
      <c r="C456" s="1" t="s">
        <v>69</v>
      </c>
      <c r="D456" s="1" t="s">
        <v>143</v>
      </c>
      <c r="E456">
        <v>10</v>
      </c>
      <c r="F456" s="2">
        <v>45361</v>
      </c>
    </row>
    <row r="457" spans="1:6" x14ac:dyDescent="0.35">
      <c r="A457" s="1" t="s">
        <v>989</v>
      </c>
      <c r="B457" s="1" t="s">
        <v>172</v>
      </c>
      <c r="C457" s="1" t="s">
        <v>15</v>
      </c>
      <c r="D457" s="1" t="s">
        <v>124</v>
      </c>
      <c r="E457">
        <v>10</v>
      </c>
      <c r="F457" s="2">
        <v>45432</v>
      </c>
    </row>
    <row r="458" spans="1:6" x14ac:dyDescent="0.35">
      <c r="A458" s="1" t="s">
        <v>991</v>
      </c>
      <c r="B458" s="1" t="s">
        <v>116</v>
      </c>
      <c r="C458" s="1" t="s">
        <v>82</v>
      </c>
      <c r="D458" s="1" t="s">
        <v>171</v>
      </c>
      <c r="E458">
        <v>8</v>
      </c>
      <c r="F458" s="2">
        <v>45619</v>
      </c>
    </row>
    <row r="459" spans="1:6" x14ac:dyDescent="0.35">
      <c r="A459" s="1" t="s">
        <v>993</v>
      </c>
      <c r="B459" s="1" t="s">
        <v>191</v>
      </c>
      <c r="C459" s="1" t="s">
        <v>45</v>
      </c>
      <c r="D459" s="1" t="s">
        <v>128</v>
      </c>
      <c r="E459">
        <v>2</v>
      </c>
      <c r="F459" s="2">
        <v>45370</v>
      </c>
    </row>
    <row r="460" spans="1:6" x14ac:dyDescent="0.35">
      <c r="A460" s="1" t="s">
        <v>995</v>
      </c>
      <c r="B460" s="1" t="s">
        <v>176</v>
      </c>
      <c r="C460" s="1" t="s">
        <v>82</v>
      </c>
      <c r="D460" s="1" t="s">
        <v>128</v>
      </c>
      <c r="E460">
        <v>6</v>
      </c>
      <c r="F460" s="2">
        <v>45399</v>
      </c>
    </row>
    <row r="461" spans="1:6" x14ac:dyDescent="0.35">
      <c r="A461" s="1" t="s">
        <v>997</v>
      </c>
      <c r="B461" s="1" t="s">
        <v>133</v>
      </c>
      <c r="C461" s="1" t="s">
        <v>57</v>
      </c>
      <c r="D461" s="1" t="s">
        <v>124</v>
      </c>
      <c r="E461">
        <v>9</v>
      </c>
      <c r="F461" s="2">
        <v>45365</v>
      </c>
    </row>
    <row r="462" spans="1:6" x14ac:dyDescent="0.35">
      <c r="A462" s="1" t="s">
        <v>999</v>
      </c>
      <c r="B462" s="1" t="s">
        <v>168</v>
      </c>
      <c r="C462" s="1" t="s">
        <v>35</v>
      </c>
      <c r="D462" s="1" t="s">
        <v>124</v>
      </c>
      <c r="E462">
        <v>8</v>
      </c>
      <c r="F462" s="2">
        <v>45621</v>
      </c>
    </row>
    <row r="463" spans="1:6" x14ac:dyDescent="0.35">
      <c r="A463" s="1" t="s">
        <v>1001</v>
      </c>
      <c r="B463" s="1" t="s">
        <v>137</v>
      </c>
      <c r="C463" s="1" t="s">
        <v>63</v>
      </c>
      <c r="D463" s="1" t="s">
        <v>128</v>
      </c>
      <c r="E463">
        <v>14</v>
      </c>
      <c r="F463" s="2">
        <v>45325</v>
      </c>
    </row>
    <row r="464" spans="1:6" x14ac:dyDescent="0.35">
      <c r="A464" s="1" t="s">
        <v>1003</v>
      </c>
      <c r="B464" s="1" t="s">
        <v>149</v>
      </c>
      <c r="C464" s="1" t="s">
        <v>57</v>
      </c>
      <c r="D464" s="1" t="s">
        <v>157</v>
      </c>
      <c r="E464">
        <v>12</v>
      </c>
      <c r="F464" s="2">
        <v>45453</v>
      </c>
    </row>
    <row r="465" spans="1:6" x14ac:dyDescent="0.35">
      <c r="A465" s="1" t="s">
        <v>1005</v>
      </c>
      <c r="B465" s="1" t="s">
        <v>191</v>
      </c>
      <c r="C465" s="1" t="s">
        <v>87</v>
      </c>
      <c r="D465" s="1" t="s">
        <v>143</v>
      </c>
      <c r="E465">
        <v>1</v>
      </c>
      <c r="F465" s="2">
        <v>45415</v>
      </c>
    </row>
    <row r="466" spans="1:6" x14ac:dyDescent="0.35">
      <c r="A466" s="1" t="s">
        <v>1007</v>
      </c>
      <c r="B466" s="1" t="s">
        <v>111</v>
      </c>
      <c r="C466" s="1" t="s">
        <v>15</v>
      </c>
      <c r="D466" s="1" t="s">
        <v>157</v>
      </c>
      <c r="E466">
        <v>5</v>
      </c>
      <c r="F466" s="2">
        <v>45477</v>
      </c>
    </row>
    <row r="467" spans="1:6" x14ac:dyDescent="0.35">
      <c r="A467" s="1" t="s">
        <v>1009</v>
      </c>
      <c r="B467" s="1" t="s">
        <v>116</v>
      </c>
      <c r="C467" s="1" t="s">
        <v>82</v>
      </c>
      <c r="D467" s="1" t="s">
        <v>128</v>
      </c>
      <c r="E467">
        <v>13</v>
      </c>
      <c r="F467" s="2">
        <v>45581</v>
      </c>
    </row>
    <row r="468" spans="1:6" x14ac:dyDescent="0.35">
      <c r="A468" s="1" t="s">
        <v>1011</v>
      </c>
      <c r="B468" s="1" t="s">
        <v>164</v>
      </c>
      <c r="C468" s="1" t="s">
        <v>15</v>
      </c>
      <c r="D468" s="1" t="s">
        <v>143</v>
      </c>
      <c r="E468">
        <v>5</v>
      </c>
      <c r="F468" s="2">
        <v>45486</v>
      </c>
    </row>
    <row r="469" spans="1:6" x14ac:dyDescent="0.35">
      <c r="A469" s="1" t="s">
        <v>1013</v>
      </c>
      <c r="B469" s="1" t="s">
        <v>172</v>
      </c>
      <c r="C469" s="1" t="s">
        <v>15</v>
      </c>
      <c r="D469" s="1" t="s">
        <v>157</v>
      </c>
      <c r="E469">
        <v>5</v>
      </c>
      <c r="F469" s="2">
        <v>45323</v>
      </c>
    </row>
    <row r="470" spans="1:6" x14ac:dyDescent="0.35">
      <c r="A470" s="1" t="s">
        <v>1014</v>
      </c>
      <c r="B470" s="1" t="s">
        <v>240</v>
      </c>
      <c r="C470" s="1" t="s">
        <v>73</v>
      </c>
      <c r="D470" s="1" t="s">
        <v>171</v>
      </c>
      <c r="E470">
        <v>1</v>
      </c>
      <c r="F470" s="2">
        <v>45439</v>
      </c>
    </row>
    <row r="471" spans="1:6" x14ac:dyDescent="0.35">
      <c r="A471" s="1" t="s">
        <v>1016</v>
      </c>
      <c r="B471" s="1" t="s">
        <v>109</v>
      </c>
      <c r="C471" s="1" t="s">
        <v>8</v>
      </c>
      <c r="D471" s="1" t="s">
        <v>157</v>
      </c>
      <c r="E471">
        <v>7</v>
      </c>
      <c r="F471" s="2">
        <v>45615</v>
      </c>
    </row>
    <row r="472" spans="1:6" x14ac:dyDescent="0.35">
      <c r="A472" s="1" t="s">
        <v>1018</v>
      </c>
      <c r="B472" s="1" t="s">
        <v>197</v>
      </c>
      <c r="C472" s="1" t="s">
        <v>63</v>
      </c>
      <c r="D472" s="1" t="s">
        <v>121</v>
      </c>
      <c r="E472">
        <v>15</v>
      </c>
      <c r="F472" s="2">
        <v>45303</v>
      </c>
    </row>
    <row r="473" spans="1:6" x14ac:dyDescent="0.35">
      <c r="A473" s="1" t="s">
        <v>1020</v>
      </c>
      <c r="B473" s="1" t="s">
        <v>111</v>
      </c>
      <c r="C473" s="1" t="s">
        <v>35</v>
      </c>
      <c r="D473" s="1" t="s">
        <v>124</v>
      </c>
      <c r="E473">
        <v>5</v>
      </c>
      <c r="F473" s="2">
        <v>45326</v>
      </c>
    </row>
    <row r="474" spans="1:6" x14ac:dyDescent="0.35">
      <c r="A474" s="1" t="s">
        <v>1022</v>
      </c>
      <c r="B474" s="1" t="s">
        <v>109</v>
      </c>
      <c r="C474" s="1" t="s">
        <v>57</v>
      </c>
      <c r="D474" s="1" t="s">
        <v>124</v>
      </c>
      <c r="E474">
        <v>6</v>
      </c>
      <c r="F474" s="2">
        <v>45555</v>
      </c>
    </row>
    <row r="475" spans="1:6" x14ac:dyDescent="0.35">
      <c r="A475" s="1" t="s">
        <v>1024</v>
      </c>
      <c r="B475" s="1" t="s">
        <v>149</v>
      </c>
      <c r="C475" s="1" t="s">
        <v>63</v>
      </c>
      <c r="D475" s="1" t="s">
        <v>157</v>
      </c>
      <c r="E475">
        <v>3</v>
      </c>
      <c r="F475" s="2">
        <v>45614</v>
      </c>
    </row>
    <row r="476" spans="1:6" x14ac:dyDescent="0.35">
      <c r="A476" s="1" t="s">
        <v>1026</v>
      </c>
      <c r="B476" s="1" t="s">
        <v>168</v>
      </c>
      <c r="C476" s="1" t="s">
        <v>69</v>
      </c>
      <c r="D476" s="1" t="s">
        <v>124</v>
      </c>
      <c r="E476">
        <v>3</v>
      </c>
      <c r="F476" s="2">
        <v>45430</v>
      </c>
    </row>
    <row r="477" spans="1:6" x14ac:dyDescent="0.35">
      <c r="A477" s="1" t="s">
        <v>1028</v>
      </c>
      <c r="B477" s="1" t="s">
        <v>197</v>
      </c>
      <c r="C477" s="1" t="s">
        <v>21</v>
      </c>
      <c r="D477" s="1" t="s">
        <v>157</v>
      </c>
      <c r="E477">
        <v>1</v>
      </c>
      <c r="F477" s="2">
        <v>45439</v>
      </c>
    </row>
    <row r="478" spans="1:6" x14ac:dyDescent="0.35">
      <c r="A478" s="1" t="s">
        <v>1030</v>
      </c>
      <c r="B478" s="1" t="s">
        <v>137</v>
      </c>
      <c r="C478" s="1" t="s">
        <v>39</v>
      </c>
      <c r="D478" s="1" t="s">
        <v>128</v>
      </c>
      <c r="E478">
        <v>15</v>
      </c>
      <c r="F478" s="2">
        <v>45637</v>
      </c>
    </row>
    <row r="479" spans="1:6" x14ac:dyDescent="0.35">
      <c r="A479" s="1" t="s">
        <v>1032</v>
      </c>
      <c r="B479" s="1" t="s">
        <v>272</v>
      </c>
      <c r="C479" s="1" t="s">
        <v>15</v>
      </c>
      <c r="D479" s="1" t="s">
        <v>171</v>
      </c>
      <c r="E479">
        <v>5</v>
      </c>
      <c r="F479" s="2">
        <v>45644</v>
      </c>
    </row>
    <row r="480" spans="1:6" x14ac:dyDescent="0.35">
      <c r="A480" s="1" t="s">
        <v>1034</v>
      </c>
      <c r="B480" s="1" t="s">
        <v>137</v>
      </c>
      <c r="C480" s="1" t="s">
        <v>51</v>
      </c>
      <c r="D480" s="1" t="s">
        <v>171</v>
      </c>
      <c r="E480">
        <v>3</v>
      </c>
      <c r="F480" s="2">
        <v>45368</v>
      </c>
    </row>
    <row r="481" spans="1:6" x14ac:dyDescent="0.35">
      <c r="A481" s="1" t="s">
        <v>1036</v>
      </c>
      <c r="B481" s="1" t="s">
        <v>272</v>
      </c>
      <c r="C481" s="1" t="s">
        <v>8</v>
      </c>
      <c r="D481" s="1" t="s">
        <v>124</v>
      </c>
      <c r="E481">
        <v>15</v>
      </c>
      <c r="F481" s="2">
        <v>45329</v>
      </c>
    </row>
    <row r="482" spans="1:6" x14ac:dyDescent="0.35">
      <c r="A482" s="1" t="s">
        <v>1036</v>
      </c>
      <c r="B482" s="1" t="s">
        <v>137</v>
      </c>
      <c r="C482" s="1" t="s">
        <v>8</v>
      </c>
      <c r="D482" s="1" t="s">
        <v>124</v>
      </c>
      <c r="E482">
        <v>15</v>
      </c>
      <c r="F482" s="2">
        <v>45329</v>
      </c>
    </row>
    <row r="483" spans="1:6" x14ac:dyDescent="0.35">
      <c r="A483" s="1" t="s">
        <v>1036</v>
      </c>
      <c r="B483" s="1" t="s">
        <v>240</v>
      </c>
      <c r="C483" s="1" t="s">
        <v>8</v>
      </c>
      <c r="D483" s="1" t="s">
        <v>124</v>
      </c>
      <c r="E483">
        <v>15</v>
      </c>
      <c r="F483" s="2">
        <v>45329</v>
      </c>
    </row>
    <row r="484" spans="1:6" x14ac:dyDescent="0.35">
      <c r="A484" s="1" t="s">
        <v>1038</v>
      </c>
      <c r="B484" s="1" t="s">
        <v>111</v>
      </c>
      <c r="C484" s="1" t="s">
        <v>45</v>
      </c>
      <c r="D484" s="1" t="s">
        <v>157</v>
      </c>
      <c r="E484">
        <v>8</v>
      </c>
      <c r="F484" s="2">
        <v>45295</v>
      </c>
    </row>
    <row r="485" spans="1:6" x14ac:dyDescent="0.35">
      <c r="A485" s="1" t="s">
        <v>1039</v>
      </c>
      <c r="B485" s="1" t="s">
        <v>111</v>
      </c>
      <c r="C485" s="1" t="s">
        <v>39</v>
      </c>
      <c r="D485" s="1" t="s">
        <v>157</v>
      </c>
      <c r="E485">
        <v>3</v>
      </c>
      <c r="F485" s="2">
        <v>45531</v>
      </c>
    </row>
    <row r="486" spans="1:6" x14ac:dyDescent="0.35">
      <c r="A486" s="1" t="s">
        <v>1041</v>
      </c>
      <c r="B486" s="1" t="s">
        <v>188</v>
      </c>
      <c r="C486" s="1" t="s">
        <v>87</v>
      </c>
      <c r="D486" s="1" t="s">
        <v>143</v>
      </c>
      <c r="E486">
        <v>3</v>
      </c>
      <c r="F486" s="2">
        <v>45525</v>
      </c>
    </row>
    <row r="487" spans="1:6" x14ac:dyDescent="0.35">
      <c r="A487" s="1" t="s">
        <v>1043</v>
      </c>
      <c r="B487" s="1" t="s">
        <v>173</v>
      </c>
      <c r="C487" s="1" t="s">
        <v>35</v>
      </c>
      <c r="D487" s="1" t="s">
        <v>124</v>
      </c>
      <c r="E487">
        <v>10</v>
      </c>
      <c r="F487" s="2">
        <v>45648</v>
      </c>
    </row>
    <row r="488" spans="1:6" x14ac:dyDescent="0.35">
      <c r="A488" s="1" t="s">
        <v>1044</v>
      </c>
      <c r="B488" s="1" t="s">
        <v>240</v>
      </c>
      <c r="C488" s="1" t="s">
        <v>29</v>
      </c>
      <c r="D488" s="1" t="s">
        <v>171</v>
      </c>
      <c r="E488">
        <v>1</v>
      </c>
      <c r="F488" s="2">
        <v>45469</v>
      </c>
    </row>
    <row r="489" spans="1:6" x14ac:dyDescent="0.35">
      <c r="A489" s="1" t="s">
        <v>1046</v>
      </c>
      <c r="B489" s="1" t="s">
        <v>149</v>
      </c>
      <c r="C489" s="1" t="s">
        <v>8</v>
      </c>
      <c r="D489" s="1" t="s">
        <v>121</v>
      </c>
      <c r="E489">
        <v>8</v>
      </c>
      <c r="F489" s="2">
        <v>45476</v>
      </c>
    </row>
    <row r="490" spans="1:6" x14ac:dyDescent="0.35">
      <c r="A490" s="1" t="s">
        <v>1048</v>
      </c>
      <c r="B490" s="1" t="s">
        <v>240</v>
      </c>
      <c r="C490" s="1" t="s">
        <v>57</v>
      </c>
      <c r="D490" s="1" t="s">
        <v>157</v>
      </c>
      <c r="E490">
        <v>13</v>
      </c>
      <c r="F490" s="2">
        <v>45639</v>
      </c>
    </row>
    <row r="491" spans="1:6" x14ac:dyDescent="0.35">
      <c r="A491" s="1" t="s">
        <v>1050</v>
      </c>
      <c r="B491" s="1" t="s">
        <v>116</v>
      </c>
      <c r="C491" s="1" t="s">
        <v>45</v>
      </c>
      <c r="D491" s="1" t="s">
        <v>157</v>
      </c>
      <c r="E491">
        <v>5</v>
      </c>
      <c r="F491" s="2">
        <v>45476</v>
      </c>
    </row>
    <row r="492" spans="1:6" x14ac:dyDescent="0.35">
      <c r="A492" s="1" t="s">
        <v>1052</v>
      </c>
      <c r="B492" s="1" t="s">
        <v>172</v>
      </c>
      <c r="C492" s="1" t="s">
        <v>73</v>
      </c>
      <c r="D492" s="1" t="s">
        <v>128</v>
      </c>
      <c r="E492">
        <v>3</v>
      </c>
      <c r="F492" s="2">
        <v>45298</v>
      </c>
    </row>
    <row r="493" spans="1:6" x14ac:dyDescent="0.35">
      <c r="A493" s="1" t="s">
        <v>1054</v>
      </c>
      <c r="B493" s="1" t="s">
        <v>164</v>
      </c>
      <c r="C493" s="1" t="s">
        <v>69</v>
      </c>
      <c r="D493" s="1" t="s">
        <v>124</v>
      </c>
      <c r="E493">
        <v>12</v>
      </c>
      <c r="F493" s="2">
        <v>45503</v>
      </c>
    </row>
    <row r="494" spans="1:6" x14ac:dyDescent="0.35">
      <c r="A494" s="1" t="s">
        <v>1055</v>
      </c>
      <c r="B494" s="1" t="s">
        <v>133</v>
      </c>
      <c r="C494" s="1" t="s">
        <v>29</v>
      </c>
      <c r="D494" s="1" t="s">
        <v>128</v>
      </c>
      <c r="E494">
        <v>3</v>
      </c>
      <c r="F494" s="2">
        <v>45639</v>
      </c>
    </row>
    <row r="495" spans="1:6" x14ac:dyDescent="0.35">
      <c r="A495" s="1" t="s">
        <v>1057</v>
      </c>
      <c r="B495" s="1" t="s">
        <v>172</v>
      </c>
      <c r="C495" s="1" t="s">
        <v>8</v>
      </c>
      <c r="D495" s="1" t="s">
        <v>143</v>
      </c>
      <c r="E495">
        <v>7</v>
      </c>
      <c r="F495" s="2">
        <v>45651</v>
      </c>
    </row>
    <row r="496" spans="1:6" x14ac:dyDescent="0.35">
      <c r="A496" s="1" t="s">
        <v>1059</v>
      </c>
      <c r="B496" s="1" t="s">
        <v>141</v>
      </c>
      <c r="C496" s="1" t="s">
        <v>15</v>
      </c>
      <c r="D496" s="1" t="s">
        <v>157</v>
      </c>
      <c r="E496">
        <v>3</v>
      </c>
      <c r="F496" s="2">
        <v>45646</v>
      </c>
    </row>
    <row r="497" spans="1:6" x14ac:dyDescent="0.35">
      <c r="A497" s="1" t="s">
        <v>1061</v>
      </c>
      <c r="B497" s="1" t="s">
        <v>106</v>
      </c>
      <c r="C497" s="1" t="s">
        <v>21</v>
      </c>
      <c r="D497" s="1" t="s">
        <v>143</v>
      </c>
      <c r="E497">
        <v>11</v>
      </c>
      <c r="F497" s="2">
        <v>45590</v>
      </c>
    </row>
    <row r="498" spans="1:6" x14ac:dyDescent="0.35">
      <c r="A498" s="1" t="s">
        <v>1063</v>
      </c>
      <c r="B498" s="1" t="s">
        <v>168</v>
      </c>
      <c r="C498" s="1" t="s">
        <v>69</v>
      </c>
      <c r="D498" s="1" t="s">
        <v>128</v>
      </c>
      <c r="E498">
        <v>7</v>
      </c>
      <c r="F498" s="2">
        <v>45617</v>
      </c>
    </row>
    <row r="499" spans="1:6" x14ac:dyDescent="0.35">
      <c r="A499" s="1" t="s">
        <v>1065</v>
      </c>
      <c r="B499" s="1" t="s">
        <v>137</v>
      </c>
      <c r="C499" s="1" t="s">
        <v>51</v>
      </c>
      <c r="D499" s="1" t="s">
        <v>157</v>
      </c>
      <c r="E499">
        <v>1</v>
      </c>
      <c r="F499" s="2">
        <v>45442</v>
      </c>
    </row>
    <row r="500" spans="1:6" x14ac:dyDescent="0.35">
      <c r="A500" s="1" t="s">
        <v>1067</v>
      </c>
      <c r="B500" s="1" t="s">
        <v>176</v>
      </c>
      <c r="C500" s="1" t="s">
        <v>69</v>
      </c>
      <c r="D500" s="1" t="s">
        <v>121</v>
      </c>
      <c r="E500">
        <v>4</v>
      </c>
      <c r="F500" s="2">
        <v>45318</v>
      </c>
    </row>
    <row r="501" spans="1:6" x14ac:dyDescent="0.35">
      <c r="A501" s="1" t="s">
        <v>1069</v>
      </c>
      <c r="B501" s="1" t="s">
        <v>188</v>
      </c>
      <c r="C501" s="1" t="s">
        <v>15</v>
      </c>
      <c r="D501" s="1" t="s">
        <v>121</v>
      </c>
      <c r="E501">
        <v>11</v>
      </c>
      <c r="F501" s="2">
        <v>45637</v>
      </c>
    </row>
    <row r="502" spans="1:6" x14ac:dyDescent="0.35">
      <c r="A502" s="1" t="s">
        <v>1070</v>
      </c>
      <c r="B502" s="1" t="s">
        <v>172</v>
      </c>
      <c r="C502" s="1" t="s">
        <v>69</v>
      </c>
      <c r="D502" s="1" t="s">
        <v>171</v>
      </c>
      <c r="E502">
        <v>11</v>
      </c>
      <c r="F502" s="2">
        <v>45403</v>
      </c>
    </row>
    <row r="503" spans="1:6" x14ac:dyDescent="0.35">
      <c r="A503" s="1" t="s">
        <v>1072</v>
      </c>
      <c r="B503" s="1" t="s">
        <v>272</v>
      </c>
      <c r="C503" s="1" t="s">
        <v>8</v>
      </c>
      <c r="D503" s="1" t="s">
        <v>124</v>
      </c>
      <c r="E503">
        <v>2</v>
      </c>
      <c r="F503" s="2">
        <v>45434</v>
      </c>
    </row>
    <row r="504" spans="1:6" x14ac:dyDescent="0.35">
      <c r="A504" s="1" t="s">
        <v>1073</v>
      </c>
      <c r="B504" s="1" t="s">
        <v>133</v>
      </c>
      <c r="C504" s="1" t="s">
        <v>15</v>
      </c>
      <c r="D504" s="1" t="s">
        <v>143</v>
      </c>
      <c r="E504">
        <v>11</v>
      </c>
      <c r="F504" s="2">
        <v>45557</v>
      </c>
    </row>
    <row r="505" spans="1:6" x14ac:dyDescent="0.35">
      <c r="A505" s="1" t="s">
        <v>1075</v>
      </c>
      <c r="B505" s="1" t="s">
        <v>141</v>
      </c>
      <c r="C505" s="1" t="s">
        <v>51</v>
      </c>
      <c r="D505" s="1" t="s">
        <v>157</v>
      </c>
      <c r="E505">
        <v>3</v>
      </c>
      <c r="F505" s="2">
        <v>45586</v>
      </c>
    </row>
    <row r="506" spans="1:6" x14ac:dyDescent="0.35">
      <c r="A506" s="1" t="s">
        <v>1077</v>
      </c>
      <c r="B506" s="1" t="s">
        <v>109</v>
      </c>
      <c r="C506" s="1" t="s">
        <v>29</v>
      </c>
      <c r="D506" s="1" t="s">
        <v>143</v>
      </c>
      <c r="E506">
        <v>9</v>
      </c>
      <c r="F506" s="2">
        <v>45580</v>
      </c>
    </row>
    <row r="507" spans="1:6" x14ac:dyDescent="0.35">
      <c r="A507" s="1" t="s">
        <v>1079</v>
      </c>
      <c r="B507" s="1" t="s">
        <v>240</v>
      </c>
      <c r="C507" s="1" t="s">
        <v>63</v>
      </c>
      <c r="D507" s="1" t="s">
        <v>124</v>
      </c>
      <c r="E507">
        <v>9</v>
      </c>
      <c r="F507" s="2">
        <v>45643</v>
      </c>
    </row>
    <row r="508" spans="1:6" x14ac:dyDescent="0.35">
      <c r="A508" s="1" t="s">
        <v>1081</v>
      </c>
      <c r="B508" s="1" t="s">
        <v>137</v>
      </c>
      <c r="C508" s="1" t="s">
        <v>15</v>
      </c>
      <c r="D508" s="1" t="s">
        <v>171</v>
      </c>
      <c r="E508">
        <v>7</v>
      </c>
      <c r="F508" s="2">
        <v>45590</v>
      </c>
    </row>
    <row r="509" spans="1:6" x14ac:dyDescent="0.35">
      <c r="A509" s="1" t="s">
        <v>1083</v>
      </c>
      <c r="B509" s="1" t="s">
        <v>240</v>
      </c>
      <c r="C509" s="1" t="s">
        <v>21</v>
      </c>
      <c r="D509" s="1" t="s">
        <v>121</v>
      </c>
      <c r="E509">
        <v>1</v>
      </c>
      <c r="F509" s="2">
        <v>45348</v>
      </c>
    </row>
    <row r="510" spans="1:6" x14ac:dyDescent="0.35">
      <c r="A510" s="1" t="s">
        <v>1084</v>
      </c>
      <c r="B510" s="1" t="s">
        <v>106</v>
      </c>
      <c r="C510" s="1" t="s">
        <v>21</v>
      </c>
      <c r="D510" s="1" t="s">
        <v>121</v>
      </c>
      <c r="E510">
        <v>14</v>
      </c>
      <c r="F510" s="2">
        <v>45534</v>
      </c>
    </row>
    <row r="511" spans="1:6" x14ac:dyDescent="0.35">
      <c r="A511" s="1" t="s">
        <v>1086</v>
      </c>
      <c r="B511" s="1" t="s">
        <v>141</v>
      </c>
      <c r="C511" s="1" t="s">
        <v>51</v>
      </c>
      <c r="D511" s="1" t="s">
        <v>143</v>
      </c>
      <c r="E511">
        <v>15</v>
      </c>
      <c r="F511" s="2">
        <v>45538</v>
      </c>
    </row>
    <row r="512" spans="1:6" x14ac:dyDescent="0.35">
      <c r="A512" s="1" t="s">
        <v>1088</v>
      </c>
      <c r="B512" s="1" t="s">
        <v>116</v>
      </c>
      <c r="C512" s="1" t="s">
        <v>73</v>
      </c>
      <c r="D512" s="1" t="s">
        <v>143</v>
      </c>
      <c r="E512">
        <v>2</v>
      </c>
      <c r="F512" s="2">
        <v>45360</v>
      </c>
    </row>
    <row r="513" spans="1:6" x14ac:dyDescent="0.35">
      <c r="A513" s="1" t="s">
        <v>1090</v>
      </c>
      <c r="B513" s="1" t="s">
        <v>109</v>
      </c>
      <c r="C513" s="1" t="s">
        <v>15</v>
      </c>
      <c r="D513" s="1" t="s">
        <v>128</v>
      </c>
      <c r="E513">
        <v>3</v>
      </c>
      <c r="F513" s="2">
        <v>45572</v>
      </c>
    </row>
    <row r="514" spans="1:6" x14ac:dyDescent="0.35">
      <c r="A514" s="1" t="s">
        <v>1092</v>
      </c>
      <c r="B514" s="1" t="s">
        <v>172</v>
      </c>
      <c r="C514" s="1" t="s">
        <v>35</v>
      </c>
      <c r="D514" s="1" t="s">
        <v>121</v>
      </c>
      <c r="E514">
        <v>11</v>
      </c>
      <c r="F514" s="2">
        <v>45627</v>
      </c>
    </row>
    <row r="515" spans="1:6" x14ac:dyDescent="0.35">
      <c r="A515" s="1" t="s">
        <v>1093</v>
      </c>
      <c r="B515" s="1" t="s">
        <v>173</v>
      </c>
      <c r="C515" s="1" t="s">
        <v>45</v>
      </c>
      <c r="D515" s="1" t="s">
        <v>124</v>
      </c>
      <c r="E515">
        <v>8</v>
      </c>
      <c r="F515" s="2">
        <v>45504</v>
      </c>
    </row>
    <row r="516" spans="1:6" x14ac:dyDescent="0.35">
      <c r="A516" s="1" t="s">
        <v>1094</v>
      </c>
      <c r="B516" s="1" t="s">
        <v>248</v>
      </c>
      <c r="C516" s="1" t="s">
        <v>82</v>
      </c>
      <c r="D516" s="1" t="s">
        <v>171</v>
      </c>
      <c r="E516">
        <v>7</v>
      </c>
      <c r="F516" s="2">
        <v>45385</v>
      </c>
    </row>
    <row r="517" spans="1:6" x14ac:dyDescent="0.35">
      <c r="A517" s="1" t="s">
        <v>1096</v>
      </c>
      <c r="B517" s="1" t="s">
        <v>191</v>
      </c>
      <c r="C517" s="1" t="s">
        <v>63</v>
      </c>
      <c r="D517" s="1" t="s">
        <v>171</v>
      </c>
      <c r="E517">
        <v>5</v>
      </c>
      <c r="F517" s="2">
        <v>45570</v>
      </c>
    </row>
    <row r="518" spans="1:6" x14ac:dyDescent="0.35">
      <c r="A518" s="1" t="s">
        <v>1098</v>
      </c>
      <c r="B518" s="1" t="s">
        <v>141</v>
      </c>
      <c r="C518" s="1" t="s">
        <v>39</v>
      </c>
      <c r="D518" s="1" t="s">
        <v>171</v>
      </c>
      <c r="E518">
        <v>15</v>
      </c>
      <c r="F518" s="2">
        <v>45509</v>
      </c>
    </row>
    <row r="519" spans="1:6" x14ac:dyDescent="0.35">
      <c r="A519" s="1" t="s">
        <v>1100</v>
      </c>
      <c r="B519" s="1" t="s">
        <v>133</v>
      </c>
      <c r="C519" s="1" t="s">
        <v>51</v>
      </c>
      <c r="D519" s="1" t="s">
        <v>124</v>
      </c>
      <c r="E519">
        <v>4</v>
      </c>
      <c r="F519" s="2">
        <v>45312</v>
      </c>
    </row>
    <row r="520" spans="1:6" x14ac:dyDescent="0.35">
      <c r="A520" s="1" t="s">
        <v>1102</v>
      </c>
      <c r="B520" s="1" t="s">
        <v>173</v>
      </c>
      <c r="C520" s="1" t="s">
        <v>82</v>
      </c>
      <c r="D520" s="1" t="s">
        <v>121</v>
      </c>
      <c r="E520">
        <v>15</v>
      </c>
      <c r="F520" s="2">
        <v>45385</v>
      </c>
    </row>
    <row r="521" spans="1:6" x14ac:dyDescent="0.35">
      <c r="A521" s="1" t="s">
        <v>1104</v>
      </c>
      <c r="B521" s="1" t="s">
        <v>164</v>
      </c>
      <c r="C521" s="1" t="s">
        <v>21</v>
      </c>
      <c r="D521" s="1" t="s">
        <v>171</v>
      </c>
      <c r="E521">
        <v>6</v>
      </c>
      <c r="F521" s="2">
        <v>45517</v>
      </c>
    </row>
    <row r="522" spans="1:6" x14ac:dyDescent="0.35">
      <c r="A522" s="1" t="s">
        <v>1106</v>
      </c>
      <c r="B522" s="1" t="s">
        <v>106</v>
      </c>
      <c r="C522" s="1" t="s">
        <v>21</v>
      </c>
      <c r="D522" s="1" t="s">
        <v>171</v>
      </c>
      <c r="E522">
        <v>2</v>
      </c>
      <c r="F522" s="2">
        <v>45503</v>
      </c>
    </row>
    <row r="523" spans="1:6" x14ac:dyDescent="0.35">
      <c r="A523" s="1" t="s">
        <v>1108</v>
      </c>
      <c r="B523" s="1" t="s">
        <v>197</v>
      </c>
      <c r="C523" s="1" t="s">
        <v>82</v>
      </c>
      <c r="D523" s="1" t="s">
        <v>157</v>
      </c>
      <c r="E523">
        <v>1</v>
      </c>
      <c r="F523" s="2">
        <v>45413</v>
      </c>
    </row>
    <row r="524" spans="1:6" x14ac:dyDescent="0.35">
      <c r="A524" s="1" t="s">
        <v>1110</v>
      </c>
      <c r="B524" s="1" t="s">
        <v>248</v>
      </c>
      <c r="C524" s="1" t="s">
        <v>87</v>
      </c>
      <c r="D524" s="1" t="s">
        <v>157</v>
      </c>
      <c r="E524">
        <v>14</v>
      </c>
      <c r="F524" s="2">
        <v>45313</v>
      </c>
    </row>
    <row r="525" spans="1:6" x14ac:dyDescent="0.35">
      <c r="A525" s="1" t="s">
        <v>1112</v>
      </c>
      <c r="B525" s="1" t="s">
        <v>173</v>
      </c>
      <c r="C525" s="1" t="s">
        <v>63</v>
      </c>
      <c r="D525" s="1" t="s">
        <v>121</v>
      </c>
      <c r="E525">
        <v>4</v>
      </c>
      <c r="F525" s="2">
        <v>45642</v>
      </c>
    </row>
    <row r="526" spans="1:6" x14ac:dyDescent="0.35">
      <c r="A526" s="1" t="s">
        <v>1114</v>
      </c>
      <c r="B526" s="1" t="s">
        <v>111</v>
      </c>
      <c r="C526" s="1" t="s">
        <v>45</v>
      </c>
      <c r="D526" s="1" t="s">
        <v>157</v>
      </c>
      <c r="E526">
        <v>15</v>
      </c>
      <c r="F526" s="2">
        <v>45575</v>
      </c>
    </row>
    <row r="527" spans="1:6" x14ac:dyDescent="0.35">
      <c r="A527" s="1" t="s">
        <v>1116</v>
      </c>
      <c r="B527" s="1" t="s">
        <v>176</v>
      </c>
      <c r="C527" s="1" t="s">
        <v>63</v>
      </c>
      <c r="D527" s="1" t="s">
        <v>143</v>
      </c>
      <c r="E527">
        <v>9</v>
      </c>
      <c r="F527" s="2">
        <v>45515</v>
      </c>
    </row>
    <row r="528" spans="1:6" x14ac:dyDescent="0.35">
      <c r="A528" s="1" t="s">
        <v>1118</v>
      </c>
      <c r="B528" s="1" t="s">
        <v>106</v>
      </c>
      <c r="C528" s="1" t="s">
        <v>15</v>
      </c>
      <c r="D528" s="1" t="s">
        <v>171</v>
      </c>
      <c r="E528">
        <v>12</v>
      </c>
      <c r="F528" s="2">
        <v>45616</v>
      </c>
    </row>
    <row r="529" spans="1:6" x14ac:dyDescent="0.35">
      <c r="A529" s="1" t="s">
        <v>1120</v>
      </c>
      <c r="B529" s="1" t="s">
        <v>168</v>
      </c>
      <c r="C529" s="1" t="s">
        <v>39</v>
      </c>
      <c r="D529" s="1" t="s">
        <v>171</v>
      </c>
      <c r="E529">
        <v>8</v>
      </c>
      <c r="F529" s="2">
        <v>45396</v>
      </c>
    </row>
    <row r="530" spans="1:6" x14ac:dyDescent="0.35">
      <c r="A530" s="1" t="s">
        <v>1122</v>
      </c>
      <c r="B530" s="1" t="s">
        <v>106</v>
      </c>
      <c r="C530" s="1" t="s">
        <v>82</v>
      </c>
      <c r="D530" s="1" t="s">
        <v>124</v>
      </c>
      <c r="E530">
        <v>15</v>
      </c>
      <c r="F530" s="2">
        <v>45383</v>
      </c>
    </row>
    <row r="531" spans="1:6" x14ac:dyDescent="0.35">
      <c r="A531" s="1" t="s">
        <v>1124</v>
      </c>
      <c r="B531" s="1" t="s">
        <v>109</v>
      </c>
      <c r="C531" s="1" t="s">
        <v>69</v>
      </c>
      <c r="D531" s="1" t="s">
        <v>121</v>
      </c>
      <c r="E531">
        <v>1</v>
      </c>
      <c r="F531" s="2">
        <v>45636</v>
      </c>
    </row>
    <row r="532" spans="1:6" x14ac:dyDescent="0.35">
      <c r="A532" s="1" t="s">
        <v>1126</v>
      </c>
      <c r="B532" s="1" t="s">
        <v>191</v>
      </c>
      <c r="C532" s="1" t="s">
        <v>78</v>
      </c>
      <c r="D532" s="1" t="s">
        <v>128</v>
      </c>
      <c r="E532">
        <v>15</v>
      </c>
      <c r="F532" s="2">
        <v>45327</v>
      </c>
    </row>
    <row r="533" spans="1:6" x14ac:dyDescent="0.35">
      <c r="A533" s="1" t="s">
        <v>1128</v>
      </c>
      <c r="B533" s="1" t="s">
        <v>141</v>
      </c>
      <c r="C533" s="1" t="s">
        <v>45</v>
      </c>
      <c r="D533" s="1" t="s">
        <v>157</v>
      </c>
      <c r="E533">
        <v>4</v>
      </c>
      <c r="F533" s="2">
        <v>45648</v>
      </c>
    </row>
    <row r="534" spans="1:6" x14ac:dyDescent="0.35">
      <c r="A534" s="1" t="s">
        <v>1130</v>
      </c>
      <c r="B534" s="1" t="s">
        <v>176</v>
      </c>
      <c r="C534" s="1" t="s">
        <v>21</v>
      </c>
      <c r="D534" s="1" t="s">
        <v>121</v>
      </c>
      <c r="E534">
        <v>14</v>
      </c>
      <c r="F534" s="2">
        <v>45530</v>
      </c>
    </row>
    <row r="535" spans="1:6" x14ac:dyDescent="0.35">
      <c r="A535" s="1" t="s">
        <v>1132</v>
      </c>
      <c r="B535" s="1" t="s">
        <v>109</v>
      </c>
      <c r="C535" s="1" t="s">
        <v>21</v>
      </c>
      <c r="D535" s="1" t="s">
        <v>128</v>
      </c>
      <c r="E535">
        <v>15</v>
      </c>
      <c r="F535" s="2">
        <v>45331</v>
      </c>
    </row>
    <row r="536" spans="1:6" x14ac:dyDescent="0.35">
      <c r="A536" s="1" t="s">
        <v>1134</v>
      </c>
      <c r="B536" s="1" t="s">
        <v>197</v>
      </c>
      <c r="C536" s="1" t="s">
        <v>45</v>
      </c>
      <c r="D536" s="1" t="s">
        <v>121</v>
      </c>
      <c r="E536">
        <v>11</v>
      </c>
      <c r="F536" s="2">
        <v>45394</v>
      </c>
    </row>
    <row r="537" spans="1:6" x14ac:dyDescent="0.35">
      <c r="A537" s="1" t="s">
        <v>1135</v>
      </c>
      <c r="B537" s="1" t="s">
        <v>272</v>
      </c>
      <c r="C537" s="1" t="s">
        <v>45</v>
      </c>
      <c r="D537" s="1" t="s">
        <v>143</v>
      </c>
      <c r="E537">
        <v>5</v>
      </c>
      <c r="F537" s="2">
        <v>45434</v>
      </c>
    </row>
    <row r="538" spans="1:6" x14ac:dyDescent="0.35">
      <c r="A538" s="1" t="s">
        <v>1137</v>
      </c>
      <c r="B538" s="1" t="s">
        <v>272</v>
      </c>
      <c r="C538" s="1" t="s">
        <v>78</v>
      </c>
      <c r="D538" s="1" t="s">
        <v>157</v>
      </c>
      <c r="E538">
        <v>9</v>
      </c>
      <c r="F538" s="2">
        <v>45557</v>
      </c>
    </row>
    <row r="539" spans="1:6" x14ac:dyDescent="0.35">
      <c r="A539" s="1" t="s">
        <v>1138</v>
      </c>
      <c r="B539" s="1" t="s">
        <v>248</v>
      </c>
      <c r="C539" s="1" t="s">
        <v>82</v>
      </c>
      <c r="D539" s="1" t="s">
        <v>143</v>
      </c>
      <c r="E539">
        <v>2</v>
      </c>
      <c r="F539" s="2">
        <v>45581</v>
      </c>
    </row>
    <row r="540" spans="1:6" x14ac:dyDescent="0.35">
      <c r="A540" s="1" t="s">
        <v>1140</v>
      </c>
      <c r="B540" s="1" t="s">
        <v>172</v>
      </c>
      <c r="C540" s="1" t="s">
        <v>39</v>
      </c>
      <c r="D540" s="1" t="s">
        <v>128</v>
      </c>
      <c r="E540">
        <v>1</v>
      </c>
      <c r="F540" s="2">
        <v>45352</v>
      </c>
    </row>
    <row r="541" spans="1:6" x14ac:dyDescent="0.35">
      <c r="A541" s="1" t="s">
        <v>1142</v>
      </c>
      <c r="B541" s="1" t="s">
        <v>133</v>
      </c>
      <c r="C541" s="1" t="s">
        <v>82</v>
      </c>
      <c r="D541" s="1" t="s">
        <v>128</v>
      </c>
      <c r="E541">
        <v>11</v>
      </c>
      <c r="F541" s="2">
        <v>45456</v>
      </c>
    </row>
    <row r="542" spans="1:6" x14ac:dyDescent="0.35">
      <c r="A542" s="1" t="s">
        <v>1144</v>
      </c>
      <c r="B542" s="1" t="s">
        <v>272</v>
      </c>
      <c r="C542" s="1" t="s">
        <v>39</v>
      </c>
      <c r="D542" s="1" t="s">
        <v>157</v>
      </c>
      <c r="E542">
        <v>2</v>
      </c>
      <c r="F542" s="2">
        <v>45419</v>
      </c>
    </row>
    <row r="543" spans="1:6" x14ac:dyDescent="0.35">
      <c r="A543" s="1" t="s">
        <v>1146</v>
      </c>
      <c r="B543" s="1" t="s">
        <v>197</v>
      </c>
      <c r="C543" s="1" t="s">
        <v>69</v>
      </c>
      <c r="D543" s="1" t="s">
        <v>157</v>
      </c>
      <c r="E543">
        <v>4</v>
      </c>
      <c r="F543" s="2">
        <v>45494</v>
      </c>
    </row>
    <row r="544" spans="1:6" x14ac:dyDescent="0.35">
      <c r="A544" s="1" t="s">
        <v>1148</v>
      </c>
      <c r="B544" s="1" t="s">
        <v>106</v>
      </c>
      <c r="C544" s="1" t="s">
        <v>69</v>
      </c>
      <c r="D544" s="1" t="s">
        <v>171</v>
      </c>
      <c r="E544">
        <v>3</v>
      </c>
      <c r="F544" s="2">
        <v>45505</v>
      </c>
    </row>
    <row r="545" spans="1:6" x14ac:dyDescent="0.35">
      <c r="A545" s="1" t="s">
        <v>1149</v>
      </c>
      <c r="B545" s="1" t="s">
        <v>149</v>
      </c>
      <c r="C545" s="1" t="s">
        <v>39</v>
      </c>
      <c r="D545" s="1" t="s">
        <v>157</v>
      </c>
      <c r="E545">
        <v>14</v>
      </c>
      <c r="F545" s="2">
        <v>45611</v>
      </c>
    </row>
    <row r="546" spans="1:6" x14ac:dyDescent="0.35">
      <c r="A546" s="1" t="s">
        <v>1151</v>
      </c>
      <c r="B546" s="1" t="s">
        <v>188</v>
      </c>
      <c r="C546" s="1" t="s">
        <v>35</v>
      </c>
      <c r="D546" s="1" t="s">
        <v>128</v>
      </c>
      <c r="E546">
        <v>10</v>
      </c>
      <c r="F546" s="2">
        <v>45566</v>
      </c>
    </row>
    <row r="547" spans="1:6" x14ac:dyDescent="0.35">
      <c r="A547" s="1" t="s">
        <v>1153</v>
      </c>
      <c r="B547" s="1" t="s">
        <v>173</v>
      </c>
      <c r="C547" s="1" t="s">
        <v>45</v>
      </c>
      <c r="D547" s="1" t="s">
        <v>157</v>
      </c>
      <c r="E547">
        <v>13</v>
      </c>
      <c r="F547" s="2">
        <v>45570</v>
      </c>
    </row>
    <row r="548" spans="1:6" x14ac:dyDescent="0.35">
      <c r="A548" s="1" t="s">
        <v>1155</v>
      </c>
      <c r="B548" s="1" t="s">
        <v>176</v>
      </c>
      <c r="C548" s="1" t="s">
        <v>45</v>
      </c>
      <c r="D548" s="1" t="s">
        <v>171</v>
      </c>
      <c r="E548">
        <v>10</v>
      </c>
      <c r="F548" s="2">
        <v>45582</v>
      </c>
    </row>
    <row r="549" spans="1:6" x14ac:dyDescent="0.35">
      <c r="A549" s="1" t="s">
        <v>1157</v>
      </c>
      <c r="B549" s="1" t="s">
        <v>188</v>
      </c>
      <c r="C549" s="1" t="s">
        <v>57</v>
      </c>
      <c r="D549" s="1" t="s">
        <v>157</v>
      </c>
      <c r="E549">
        <v>1</v>
      </c>
      <c r="F549" s="2">
        <v>45611</v>
      </c>
    </row>
    <row r="550" spans="1:6" x14ac:dyDescent="0.35">
      <c r="A550" s="1" t="s">
        <v>1159</v>
      </c>
      <c r="B550" s="1" t="s">
        <v>116</v>
      </c>
      <c r="C550" s="1" t="s">
        <v>73</v>
      </c>
      <c r="D550" s="1" t="s">
        <v>121</v>
      </c>
      <c r="E550">
        <v>9</v>
      </c>
      <c r="F550" s="2">
        <v>45496</v>
      </c>
    </row>
    <row r="551" spans="1:6" x14ac:dyDescent="0.35">
      <c r="A551" s="1" t="s">
        <v>1161</v>
      </c>
      <c r="B551" s="1" t="s">
        <v>141</v>
      </c>
      <c r="C551" s="1" t="s">
        <v>39</v>
      </c>
      <c r="D551" s="1" t="s">
        <v>124</v>
      </c>
      <c r="E551">
        <v>5</v>
      </c>
      <c r="F551" s="2">
        <v>45532</v>
      </c>
    </row>
    <row r="552" spans="1:6" x14ac:dyDescent="0.35">
      <c r="A552" s="1" t="s">
        <v>1163</v>
      </c>
      <c r="B552" s="1" t="s">
        <v>176</v>
      </c>
      <c r="C552" s="1" t="s">
        <v>82</v>
      </c>
      <c r="D552" s="1" t="s">
        <v>143</v>
      </c>
      <c r="E552">
        <v>8</v>
      </c>
      <c r="F552" s="2">
        <v>45475</v>
      </c>
    </row>
    <row r="553" spans="1:6" x14ac:dyDescent="0.35">
      <c r="A553" s="1" t="s">
        <v>1163</v>
      </c>
      <c r="B553" s="1" t="s">
        <v>164</v>
      </c>
      <c r="C553" s="1" t="s">
        <v>82</v>
      </c>
      <c r="D553" s="1" t="s">
        <v>143</v>
      </c>
      <c r="E553">
        <v>8</v>
      </c>
      <c r="F553" s="2">
        <v>45475</v>
      </c>
    </row>
    <row r="554" spans="1:6" x14ac:dyDescent="0.35">
      <c r="A554" s="1" t="s">
        <v>1163</v>
      </c>
      <c r="B554" s="1" t="s">
        <v>113</v>
      </c>
      <c r="C554" s="1" t="s">
        <v>82</v>
      </c>
      <c r="D554" s="1" t="s">
        <v>143</v>
      </c>
      <c r="E554">
        <v>16</v>
      </c>
      <c r="F554" s="2">
        <v>45475</v>
      </c>
    </row>
    <row r="555" spans="1:6" x14ac:dyDescent="0.35">
      <c r="A555" s="1" t="s">
        <v>1163</v>
      </c>
      <c r="B555" s="1" t="s">
        <v>106</v>
      </c>
      <c r="C555" s="1" t="s">
        <v>82</v>
      </c>
      <c r="D555" s="1" t="s">
        <v>143</v>
      </c>
      <c r="E555">
        <v>8</v>
      </c>
      <c r="F555" s="2">
        <v>45475</v>
      </c>
    </row>
    <row r="556" spans="1:6" x14ac:dyDescent="0.35">
      <c r="A556" s="1" t="s">
        <v>1165</v>
      </c>
      <c r="B556" s="1" t="s">
        <v>141</v>
      </c>
      <c r="C556" s="1" t="s">
        <v>87</v>
      </c>
      <c r="D556" s="1" t="s">
        <v>124</v>
      </c>
      <c r="E556">
        <v>11</v>
      </c>
      <c r="F556" s="2">
        <v>45640</v>
      </c>
    </row>
    <row r="557" spans="1:6" x14ac:dyDescent="0.35">
      <c r="A557" s="1" t="s">
        <v>1167</v>
      </c>
      <c r="B557" s="1" t="s">
        <v>109</v>
      </c>
      <c r="C557" s="1" t="s">
        <v>63</v>
      </c>
      <c r="D557" s="1" t="s">
        <v>121</v>
      </c>
      <c r="E557">
        <v>15</v>
      </c>
      <c r="F557" s="2">
        <v>45517</v>
      </c>
    </row>
    <row r="558" spans="1:6" x14ac:dyDescent="0.35">
      <c r="A558" s="1" t="s">
        <v>1169</v>
      </c>
      <c r="B558" s="1" t="s">
        <v>248</v>
      </c>
      <c r="C558" s="1" t="s">
        <v>21</v>
      </c>
      <c r="D558" s="1" t="s">
        <v>124</v>
      </c>
      <c r="E558">
        <v>14</v>
      </c>
      <c r="F558" s="2">
        <v>45373</v>
      </c>
    </row>
    <row r="559" spans="1:6" x14ac:dyDescent="0.35">
      <c r="A559" s="1" t="s">
        <v>1171</v>
      </c>
      <c r="B559" s="1" t="s">
        <v>141</v>
      </c>
      <c r="C559" s="1" t="s">
        <v>15</v>
      </c>
      <c r="D559" s="1" t="s">
        <v>157</v>
      </c>
      <c r="E559">
        <v>6</v>
      </c>
      <c r="F559" s="2">
        <v>45642</v>
      </c>
    </row>
    <row r="560" spans="1:6" x14ac:dyDescent="0.35">
      <c r="A560" s="1" t="s">
        <v>1173</v>
      </c>
      <c r="B560" s="1" t="s">
        <v>188</v>
      </c>
      <c r="C560" s="1" t="s">
        <v>8</v>
      </c>
      <c r="D560" s="1" t="s">
        <v>157</v>
      </c>
      <c r="E560">
        <v>1</v>
      </c>
      <c r="F560" s="2">
        <v>45444</v>
      </c>
    </row>
    <row r="561" spans="1:6" x14ac:dyDescent="0.35">
      <c r="A561" s="1" t="s">
        <v>1175</v>
      </c>
      <c r="B561" s="1" t="s">
        <v>197</v>
      </c>
      <c r="C561" s="1" t="s">
        <v>87</v>
      </c>
      <c r="D561" s="1" t="s">
        <v>171</v>
      </c>
      <c r="E561">
        <v>12</v>
      </c>
      <c r="F561" s="2">
        <v>45631</v>
      </c>
    </row>
    <row r="562" spans="1:6" x14ac:dyDescent="0.35">
      <c r="A562" s="1" t="s">
        <v>1177</v>
      </c>
      <c r="B562" s="1" t="s">
        <v>116</v>
      </c>
      <c r="C562" s="1" t="s">
        <v>8</v>
      </c>
      <c r="D562" s="1" t="s">
        <v>143</v>
      </c>
      <c r="E562">
        <v>8</v>
      </c>
      <c r="F562" s="2">
        <v>45482</v>
      </c>
    </row>
    <row r="563" spans="1:6" x14ac:dyDescent="0.35">
      <c r="A563" s="1" t="s">
        <v>1179</v>
      </c>
      <c r="B563" s="1" t="s">
        <v>172</v>
      </c>
      <c r="C563" s="1" t="s">
        <v>45</v>
      </c>
      <c r="D563" s="1" t="s">
        <v>128</v>
      </c>
      <c r="E563">
        <v>15</v>
      </c>
      <c r="F563" s="2">
        <v>45605</v>
      </c>
    </row>
    <row r="564" spans="1:6" x14ac:dyDescent="0.35">
      <c r="A564" s="1" t="s">
        <v>1181</v>
      </c>
      <c r="B564" s="1" t="s">
        <v>133</v>
      </c>
      <c r="C564" s="1" t="s">
        <v>63</v>
      </c>
      <c r="D564" s="1" t="s">
        <v>157</v>
      </c>
      <c r="E564">
        <v>11</v>
      </c>
      <c r="F564" s="2">
        <v>45293</v>
      </c>
    </row>
    <row r="565" spans="1:6" x14ac:dyDescent="0.35">
      <c r="A565" s="1" t="s">
        <v>1183</v>
      </c>
      <c r="B565" s="1" t="s">
        <v>133</v>
      </c>
      <c r="C565" s="1" t="s">
        <v>78</v>
      </c>
      <c r="D565" s="1" t="s">
        <v>171</v>
      </c>
      <c r="E565">
        <v>10</v>
      </c>
      <c r="F565" s="2">
        <v>45451</v>
      </c>
    </row>
    <row r="566" spans="1:6" x14ac:dyDescent="0.35">
      <c r="A566" s="1" t="s">
        <v>1184</v>
      </c>
      <c r="B566" s="1" t="s">
        <v>272</v>
      </c>
      <c r="C566" s="1" t="s">
        <v>8</v>
      </c>
      <c r="D566" s="1" t="s">
        <v>171</v>
      </c>
      <c r="E566">
        <v>12</v>
      </c>
      <c r="F566" s="2">
        <v>45396</v>
      </c>
    </row>
    <row r="567" spans="1:6" x14ac:dyDescent="0.35">
      <c r="A567" s="1" t="s">
        <v>1185</v>
      </c>
      <c r="B567" s="1" t="s">
        <v>164</v>
      </c>
      <c r="C567" s="1" t="s">
        <v>39</v>
      </c>
      <c r="D567" s="1" t="s">
        <v>157</v>
      </c>
      <c r="E567">
        <v>10</v>
      </c>
      <c r="F567" s="2">
        <v>45331</v>
      </c>
    </row>
    <row r="568" spans="1:6" x14ac:dyDescent="0.35">
      <c r="A568" s="1" t="s">
        <v>1187</v>
      </c>
      <c r="B568" s="1" t="s">
        <v>168</v>
      </c>
      <c r="C568" s="1" t="s">
        <v>29</v>
      </c>
      <c r="D568" s="1" t="s">
        <v>121</v>
      </c>
      <c r="E568">
        <v>4</v>
      </c>
      <c r="F568" s="2">
        <v>45481</v>
      </c>
    </row>
    <row r="569" spans="1:6" x14ac:dyDescent="0.35">
      <c r="A569" s="1" t="s">
        <v>1188</v>
      </c>
      <c r="B569" s="1" t="s">
        <v>164</v>
      </c>
      <c r="C569" s="1" t="s">
        <v>73</v>
      </c>
      <c r="D569" s="1" t="s">
        <v>124</v>
      </c>
      <c r="E569">
        <v>13</v>
      </c>
      <c r="F569" s="2">
        <v>45424</v>
      </c>
    </row>
    <row r="570" spans="1:6" x14ac:dyDescent="0.35">
      <c r="A570" s="1" t="s">
        <v>1190</v>
      </c>
      <c r="B570" s="1" t="s">
        <v>248</v>
      </c>
      <c r="C570" s="1" t="s">
        <v>73</v>
      </c>
      <c r="D570" s="1" t="s">
        <v>121</v>
      </c>
      <c r="E570">
        <v>12</v>
      </c>
      <c r="F570" s="2">
        <v>45458</v>
      </c>
    </row>
    <row r="571" spans="1:6" x14ac:dyDescent="0.35">
      <c r="A571" s="1" t="s">
        <v>1192</v>
      </c>
      <c r="B571" s="1" t="s">
        <v>272</v>
      </c>
      <c r="C571" s="1" t="s">
        <v>73</v>
      </c>
      <c r="D571" s="1" t="s">
        <v>128</v>
      </c>
      <c r="E571">
        <v>14</v>
      </c>
      <c r="F571" s="2">
        <v>45412</v>
      </c>
    </row>
    <row r="572" spans="1:6" x14ac:dyDescent="0.35">
      <c r="A572" s="1" t="s">
        <v>1194</v>
      </c>
      <c r="B572" s="1" t="s">
        <v>191</v>
      </c>
      <c r="C572" s="1" t="s">
        <v>57</v>
      </c>
      <c r="D572" s="1" t="s">
        <v>171</v>
      </c>
      <c r="E572">
        <v>11</v>
      </c>
      <c r="F572" s="2">
        <v>45371</v>
      </c>
    </row>
    <row r="573" spans="1:6" x14ac:dyDescent="0.35">
      <c r="A573" s="1" t="s">
        <v>1195</v>
      </c>
      <c r="B573" s="1" t="s">
        <v>176</v>
      </c>
      <c r="C573" s="1" t="s">
        <v>8</v>
      </c>
      <c r="D573" s="1" t="s">
        <v>124</v>
      </c>
      <c r="E573">
        <v>12</v>
      </c>
      <c r="F573" s="2">
        <v>45523</v>
      </c>
    </row>
    <row r="574" spans="1:6" x14ac:dyDescent="0.35">
      <c r="A574" s="1" t="s">
        <v>1196</v>
      </c>
      <c r="B574" s="1" t="s">
        <v>111</v>
      </c>
      <c r="C574" s="1" t="s">
        <v>69</v>
      </c>
      <c r="D574" s="1" t="s">
        <v>157</v>
      </c>
      <c r="E574">
        <v>3</v>
      </c>
      <c r="F574" s="2">
        <v>45352</v>
      </c>
    </row>
    <row r="575" spans="1:6" x14ac:dyDescent="0.35">
      <c r="A575" s="1" t="s">
        <v>1198</v>
      </c>
      <c r="B575" s="1" t="s">
        <v>116</v>
      </c>
      <c r="C575" s="1" t="s">
        <v>29</v>
      </c>
      <c r="D575" s="1" t="s">
        <v>171</v>
      </c>
      <c r="E575">
        <v>14</v>
      </c>
      <c r="F575" s="2">
        <v>45482</v>
      </c>
    </row>
    <row r="576" spans="1:6" x14ac:dyDescent="0.35">
      <c r="A576" s="1" t="s">
        <v>1200</v>
      </c>
      <c r="B576" s="1" t="s">
        <v>272</v>
      </c>
      <c r="C576" s="1" t="s">
        <v>8</v>
      </c>
      <c r="D576" s="1" t="s">
        <v>124</v>
      </c>
      <c r="E576">
        <v>12</v>
      </c>
      <c r="F576" s="2">
        <v>45429</v>
      </c>
    </row>
    <row r="577" spans="1:6" x14ac:dyDescent="0.35">
      <c r="A577" s="1" t="s">
        <v>1201</v>
      </c>
      <c r="B577" s="1" t="s">
        <v>149</v>
      </c>
      <c r="C577" s="1" t="s">
        <v>51</v>
      </c>
      <c r="D577" s="1" t="s">
        <v>124</v>
      </c>
      <c r="E577">
        <v>10</v>
      </c>
      <c r="F577" s="2">
        <v>45380</v>
      </c>
    </row>
    <row r="578" spans="1:6" x14ac:dyDescent="0.35">
      <c r="A578" s="1" t="s">
        <v>1203</v>
      </c>
      <c r="B578" s="1" t="s">
        <v>188</v>
      </c>
      <c r="C578" s="1" t="s">
        <v>87</v>
      </c>
      <c r="D578" s="1" t="s">
        <v>157</v>
      </c>
      <c r="E578">
        <v>3</v>
      </c>
      <c r="F578" s="2">
        <v>45346</v>
      </c>
    </row>
    <row r="579" spans="1:6" x14ac:dyDescent="0.35">
      <c r="A579" s="1" t="s">
        <v>1205</v>
      </c>
      <c r="B579" s="1" t="s">
        <v>137</v>
      </c>
      <c r="C579" s="1" t="s">
        <v>35</v>
      </c>
      <c r="D579" s="1" t="s">
        <v>128</v>
      </c>
      <c r="E579">
        <v>2</v>
      </c>
      <c r="F579" s="2">
        <v>45391</v>
      </c>
    </row>
    <row r="580" spans="1:6" x14ac:dyDescent="0.35">
      <c r="A580" s="1" t="s">
        <v>1207</v>
      </c>
      <c r="B580" s="1" t="s">
        <v>188</v>
      </c>
      <c r="C580" s="1" t="s">
        <v>21</v>
      </c>
      <c r="D580" s="1" t="s">
        <v>121</v>
      </c>
      <c r="E580">
        <v>1</v>
      </c>
      <c r="F580" s="2">
        <v>45624</v>
      </c>
    </row>
    <row r="581" spans="1:6" x14ac:dyDescent="0.35">
      <c r="A581" s="1" t="s">
        <v>1208</v>
      </c>
      <c r="B581" s="1" t="s">
        <v>113</v>
      </c>
      <c r="C581" s="1" t="s">
        <v>73</v>
      </c>
      <c r="D581" s="1" t="s">
        <v>157</v>
      </c>
      <c r="E581">
        <v>6</v>
      </c>
      <c r="F581" s="2">
        <v>45529</v>
      </c>
    </row>
    <row r="582" spans="1:6" x14ac:dyDescent="0.35">
      <c r="A582" s="1" t="s">
        <v>1209</v>
      </c>
      <c r="B582" s="1" t="s">
        <v>106</v>
      </c>
      <c r="C582" s="1" t="s">
        <v>35</v>
      </c>
      <c r="D582" s="1" t="s">
        <v>171</v>
      </c>
      <c r="E582">
        <v>4</v>
      </c>
      <c r="F582" s="2">
        <v>45491</v>
      </c>
    </row>
    <row r="583" spans="1:6" x14ac:dyDescent="0.35">
      <c r="A583" s="1" t="s">
        <v>1211</v>
      </c>
      <c r="B583" s="1" t="s">
        <v>172</v>
      </c>
      <c r="C583" s="1" t="s">
        <v>45</v>
      </c>
      <c r="D583" s="1" t="s">
        <v>128</v>
      </c>
      <c r="E583">
        <v>1</v>
      </c>
      <c r="F583" s="2">
        <v>45418</v>
      </c>
    </row>
    <row r="584" spans="1:6" x14ac:dyDescent="0.35">
      <c r="A584" s="1" t="s">
        <v>1213</v>
      </c>
      <c r="B584" s="1" t="s">
        <v>113</v>
      </c>
      <c r="C584" s="1" t="s">
        <v>39</v>
      </c>
      <c r="D584" s="1" t="s">
        <v>143</v>
      </c>
      <c r="E584">
        <v>7</v>
      </c>
      <c r="F584" s="2">
        <v>45427</v>
      </c>
    </row>
    <row r="585" spans="1:6" x14ac:dyDescent="0.35">
      <c r="A585" s="1" t="s">
        <v>1215</v>
      </c>
      <c r="B585" s="1" t="s">
        <v>173</v>
      </c>
      <c r="C585" s="1" t="s">
        <v>63</v>
      </c>
      <c r="D585" s="1" t="s">
        <v>157</v>
      </c>
      <c r="E585">
        <v>2</v>
      </c>
      <c r="F585" s="2">
        <v>45494</v>
      </c>
    </row>
    <row r="586" spans="1:6" x14ac:dyDescent="0.35">
      <c r="A586" s="1" t="s">
        <v>1217</v>
      </c>
      <c r="B586" s="1" t="s">
        <v>248</v>
      </c>
      <c r="C586" s="1" t="s">
        <v>29</v>
      </c>
      <c r="D586" s="1" t="s">
        <v>121</v>
      </c>
      <c r="E586">
        <v>9</v>
      </c>
      <c r="F586" s="2">
        <v>45431</v>
      </c>
    </row>
    <row r="587" spans="1:6" x14ac:dyDescent="0.35">
      <c r="A587" s="1" t="s">
        <v>1219</v>
      </c>
      <c r="B587" s="1" t="s">
        <v>188</v>
      </c>
      <c r="C587" s="1" t="s">
        <v>8</v>
      </c>
      <c r="D587" s="1" t="s">
        <v>143</v>
      </c>
      <c r="E587">
        <v>3</v>
      </c>
      <c r="F587" s="2">
        <v>45307</v>
      </c>
    </row>
    <row r="588" spans="1:6" x14ac:dyDescent="0.35">
      <c r="A588" s="1" t="s">
        <v>1221</v>
      </c>
      <c r="B588" s="1" t="s">
        <v>141</v>
      </c>
      <c r="C588" s="1" t="s">
        <v>82</v>
      </c>
      <c r="D588" s="1" t="s">
        <v>143</v>
      </c>
      <c r="E588">
        <v>8</v>
      </c>
      <c r="F588" s="2">
        <v>45534</v>
      </c>
    </row>
    <row r="589" spans="1:6" x14ac:dyDescent="0.35">
      <c r="A589" s="1" t="s">
        <v>1223</v>
      </c>
      <c r="B589" s="1" t="s">
        <v>188</v>
      </c>
      <c r="C589" s="1" t="s">
        <v>45</v>
      </c>
      <c r="D589" s="1" t="s">
        <v>157</v>
      </c>
      <c r="E589">
        <v>10</v>
      </c>
      <c r="F589" s="2">
        <v>45511</v>
      </c>
    </row>
    <row r="590" spans="1:6" x14ac:dyDescent="0.35">
      <c r="A590" s="1" t="s">
        <v>1225</v>
      </c>
      <c r="B590" s="1" t="s">
        <v>141</v>
      </c>
      <c r="C590" s="1" t="s">
        <v>45</v>
      </c>
      <c r="D590" s="1" t="s">
        <v>171</v>
      </c>
      <c r="E590">
        <v>6</v>
      </c>
      <c r="F590" s="2">
        <v>45386</v>
      </c>
    </row>
    <row r="591" spans="1:6" x14ac:dyDescent="0.35">
      <c r="A591" s="1" t="s">
        <v>1227</v>
      </c>
      <c r="B591" s="1" t="s">
        <v>149</v>
      </c>
      <c r="C591" s="1" t="s">
        <v>69</v>
      </c>
      <c r="D591" s="1" t="s">
        <v>128</v>
      </c>
      <c r="E591">
        <v>13</v>
      </c>
      <c r="F591" s="2">
        <v>45499</v>
      </c>
    </row>
    <row r="592" spans="1:6" x14ac:dyDescent="0.35">
      <c r="A592" s="1" t="s">
        <v>1229</v>
      </c>
      <c r="B592" s="1" t="s">
        <v>272</v>
      </c>
      <c r="C592" s="1" t="s">
        <v>63</v>
      </c>
      <c r="D592" s="1" t="s">
        <v>124</v>
      </c>
      <c r="E592">
        <v>8</v>
      </c>
      <c r="F592" s="2">
        <v>45527</v>
      </c>
    </row>
    <row r="593" spans="1:6" x14ac:dyDescent="0.35">
      <c r="A593" s="1" t="s">
        <v>1231</v>
      </c>
      <c r="B593" s="1" t="s">
        <v>191</v>
      </c>
      <c r="C593" s="1" t="s">
        <v>82</v>
      </c>
      <c r="D593" s="1" t="s">
        <v>124</v>
      </c>
      <c r="E593">
        <v>3</v>
      </c>
      <c r="F593" s="2">
        <v>45398</v>
      </c>
    </row>
    <row r="594" spans="1:6" x14ac:dyDescent="0.35">
      <c r="A594" s="1" t="s">
        <v>1233</v>
      </c>
      <c r="B594" s="1" t="s">
        <v>168</v>
      </c>
      <c r="C594" s="1" t="s">
        <v>69</v>
      </c>
      <c r="D594" s="1" t="s">
        <v>157</v>
      </c>
      <c r="E594">
        <v>7</v>
      </c>
      <c r="F594" s="2">
        <v>45434</v>
      </c>
    </row>
    <row r="595" spans="1:6" x14ac:dyDescent="0.35">
      <c r="A595" s="1" t="s">
        <v>1235</v>
      </c>
      <c r="B595" s="1" t="s">
        <v>137</v>
      </c>
      <c r="C595" s="1" t="s">
        <v>73</v>
      </c>
      <c r="D595" s="1" t="s">
        <v>124</v>
      </c>
      <c r="E595">
        <v>15</v>
      </c>
      <c r="F595" s="2">
        <v>45442</v>
      </c>
    </row>
    <row r="596" spans="1:6" x14ac:dyDescent="0.35">
      <c r="A596" s="1" t="s">
        <v>1237</v>
      </c>
      <c r="B596" s="1" t="s">
        <v>141</v>
      </c>
      <c r="C596" s="1" t="s">
        <v>57</v>
      </c>
      <c r="D596" s="1" t="s">
        <v>124</v>
      </c>
      <c r="E596">
        <v>12</v>
      </c>
      <c r="F596" s="2">
        <v>45300</v>
      </c>
    </row>
    <row r="597" spans="1:6" x14ac:dyDescent="0.35">
      <c r="A597" s="1" t="s">
        <v>1239</v>
      </c>
      <c r="B597" s="1" t="s">
        <v>168</v>
      </c>
      <c r="C597" s="1" t="s">
        <v>73</v>
      </c>
      <c r="D597" s="1" t="s">
        <v>171</v>
      </c>
      <c r="E597">
        <v>7</v>
      </c>
      <c r="F597" s="2">
        <v>45625</v>
      </c>
    </row>
    <row r="598" spans="1:6" x14ac:dyDescent="0.35">
      <c r="A598" s="1" t="s">
        <v>1241</v>
      </c>
      <c r="B598" s="1" t="s">
        <v>106</v>
      </c>
      <c r="C598" s="1" t="s">
        <v>63</v>
      </c>
      <c r="D598" s="1" t="s">
        <v>171</v>
      </c>
      <c r="E598">
        <v>13</v>
      </c>
      <c r="F598" s="2">
        <v>45537</v>
      </c>
    </row>
    <row r="599" spans="1:6" x14ac:dyDescent="0.35">
      <c r="A599" s="1" t="s">
        <v>1243</v>
      </c>
      <c r="B599" s="1" t="s">
        <v>173</v>
      </c>
      <c r="C599" s="1" t="s">
        <v>21</v>
      </c>
      <c r="D599" s="1" t="s">
        <v>128</v>
      </c>
      <c r="E599">
        <v>3</v>
      </c>
      <c r="F599" s="2">
        <v>45477</v>
      </c>
    </row>
    <row r="600" spans="1:6" x14ac:dyDescent="0.35">
      <c r="A600" s="1" t="s">
        <v>1245</v>
      </c>
      <c r="B600" s="1" t="s">
        <v>111</v>
      </c>
      <c r="C600" s="1" t="s">
        <v>78</v>
      </c>
      <c r="D600" s="1" t="s">
        <v>121</v>
      </c>
      <c r="E600">
        <v>8</v>
      </c>
      <c r="F600" s="2">
        <v>45587</v>
      </c>
    </row>
    <row r="601" spans="1:6" x14ac:dyDescent="0.35">
      <c r="A601" s="1" t="s">
        <v>1247</v>
      </c>
      <c r="B601" s="1" t="s">
        <v>164</v>
      </c>
      <c r="C601" s="1" t="s">
        <v>87</v>
      </c>
      <c r="D601" s="1" t="s">
        <v>124</v>
      </c>
      <c r="E601">
        <v>15</v>
      </c>
      <c r="F601" s="2">
        <v>45496</v>
      </c>
    </row>
    <row r="602" spans="1:6" x14ac:dyDescent="0.35">
      <c r="A602" s="1" t="s">
        <v>1248</v>
      </c>
      <c r="B602" s="1" t="s">
        <v>109</v>
      </c>
      <c r="C602" s="1" t="s">
        <v>8</v>
      </c>
      <c r="D602" s="1" t="s">
        <v>171</v>
      </c>
      <c r="E602">
        <v>3</v>
      </c>
      <c r="F602" s="2">
        <v>45314</v>
      </c>
    </row>
    <row r="603" spans="1:6" x14ac:dyDescent="0.35">
      <c r="A603" s="1" t="s">
        <v>1250</v>
      </c>
      <c r="B603" s="1" t="s">
        <v>137</v>
      </c>
      <c r="C603" s="1" t="s">
        <v>39</v>
      </c>
      <c r="D603" s="1" t="s">
        <v>171</v>
      </c>
      <c r="E603">
        <v>6</v>
      </c>
      <c r="F603" s="2">
        <v>45327</v>
      </c>
    </row>
    <row r="604" spans="1:6" x14ac:dyDescent="0.35">
      <c r="A604" s="1" t="s">
        <v>1252</v>
      </c>
      <c r="B604" s="1" t="s">
        <v>164</v>
      </c>
      <c r="C604" s="1" t="s">
        <v>51</v>
      </c>
      <c r="D604" s="1" t="s">
        <v>121</v>
      </c>
      <c r="E604">
        <v>4</v>
      </c>
      <c r="F604" s="2">
        <v>45314</v>
      </c>
    </row>
    <row r="605" spans="1:6" x14ac:dyDescent="0.35">
      <c r="A605" s="1" t="s">
        <v>1254</v>
      </c>
      <c r="B605" s="1" t="s">
        <v>116</v>
      </c>
      <c r="C605" s="1" t="s">
        <v>57</v>
      </c>
      <c r="D605" s="1" t="s">
        <v>143</v>
      </c>
      <c r="E605">
        <v>7</v>
      </c>
      <c r="F605" s="2">
        <v>45304</v>
      </c>
    </row>
    <row r="606" spans="1:6" x14ac:dyDescent="0.35">
      <c r="A606" s="1" t="s">
        <v>1256</v>
      </c>
      <c r="B606" s="1" t="s">
        <v>141</v>
      </c>
      <c r="C606" s="1" t="s">
        <v>35</v>
      </c>
      <c r="D606" s="1" t="s">
        <v>124</v>
      </c>
      <c r="E606">
        <v>6</v>
      </c>
      <c r="F606" s="2">
        <v>45324</v>
      </c>
    </row>
    <row r="607" spans="1:6" x14ac:dyDescent="0.35">
      <c r="A607" s="1" t="s">
        <v>1258</v>
      </c>
      <c r="B607" s="1" t="s">
        <v>172</v>
      </c>
      <c r="C607" s="1" t="s">
        <v>69</v>
      </c>
      <c r="D607" s="1" t="s">
        <v>157</v>
      </c>
      <c r="E607">
        <v>13</v>
      </c>
      <c r="F607" s="2">
        <v>45469</v>
      </c>
    </row>
    <row r="608" spans="1:6" x14ac:dyDescent="0.35">
      <c r="A608" s="1" t="s">
        <v>1260</v>
      </c>
      <c r="B608" s="1" t="s">
        <v>197</v>
      </c>
      <c r="C608" s="1" t="s">
        <v>45</v>
      </c>
      <c r="D608" s="1" t="s">
        <v>171</v>
      </c>
      <c r="E608">
        <v>13</v>
      </c>
      <c r="F608" s="2">
        <v>45519</v>
      </c>
    </row>
    <row r="609" spans="1:6" x14ac:dyDescent="0.35">
      <c r="A609" s="1" t="s">
        <v>1261</v>
      </c>
      <c r="B609" s="1" t="s">
        <v>168</v>
      </c>
      <c r="C609" s="1" t="s">
        <v>51</v>
      </c>
      <c r="D609" s="1" t="s">
        <v>143</v>
      </c>
      <c r="E609">
        <v>5</v>
      </c>
      <c r="F609" s="2">
        <v>45515</v>
      </c>
    </row>
    <row r="610" spans="1:6" x14ac:dyDescent="0.35">
      <c r="A610" s="1" t="s">
        <v>1262</v>
      </c>
      <c r="B610" s="1" t="s">
        <v>113</v>
      </c>
      <c r="C610" s="1" t="s">
        <v>57</v>
      </c>
      <c r="D610" s="1" t="s">
        <v>171</v>
      </c>
      <c r="E610">
        <v>3</v>
      </c>
      <c r="F610" s="2">
        <v>45642</v>
      </c>
    </row>
    <row r="611" spans="1:6" x14ac:dyDescent="0.35">
      <c r="A611" s="1" t="s">
        <v>1264</v>
      </c>
      <c r="B611" s="1" t="s">
        <v>176</v>
      </c>
      <c r="C611" s="1" t="s">
        <v>8</v>
      </c>
      <c r="D611" s="1" t="s">
        <v>128</v>
      </c>
      <c r="E611">
        <v>14</v>
      </c>
      <c r="F611" s="2">
        <v>45582</v>
      </c>
    </row>
    <row r="612" spans="1:6" x14ac:dyDescent="0.35">
      <c r="A612" s="1" t="s">
        <v>1266</v>
      </c>
      <c r="B612" s="1" t="s">
        <v>240</v>
      </c>
      <c r="C612" s="1" t="s">
        <v>57</v>
      </c>
      <c r="D612" s="1" t="s">
        <v>121</v>
      </c>
      <c r="E612">
        <v>7</v>
      </c>
      <c r="F612" s="2">
        <v>45453</v>
      </c>
    </row>
    <row r="613" spans="1:6" x14ac:dyDescent="0.35">
      <c r="A613" s="1" t="s">
        <v>1268</v>
      </c>
      <c r="B613" s="1" t="s">
        <v>164</v>
      </c>
      <c r="C613" s="1" t="s">
        <v>15</v>
      </c>
      <c r="D613" s="1" t="s">
        <v>121</v>
      </c>
      <c r="E613">
        <v>1</v>
      </c>
      <c r="F613" s="2">
        <v>45582</v>
      </c>
    </row>
    <row r="614" spans="1:6" x14ac:dyDescent="0.35">
      <c r="A614" s="1" t="s">
        <v>1270</v>
      </c>
      <c r="B614" s="1" t="s">
        <v>168</v>
      </c>
      <c r="C614" s="1" t="s">
        <v>57</v>
      </c>
      <c r="D614" s="1" t="s">
        <v>171</v>
      </c>
      <c r="E614">
        <v>4</v>
      </c>
      <c r="F614" s="2">
        <v>45409</v>
      </c>
    </row>
    <row r="615" spans="1:6" x14ac:dyDescent="0.35">
      <c r="A615" s="1" t="s">
        <v>1272</v>
      </c>
      <c r="B615" s="1" t="s">
        <v>141</v>
      </c>
      <c r="C615" s="1" t="s">
        <v>63</v>
      </c>
      <c r="D615" s="1" t="s">
        <v>128</v>
      </c>
      <c r="E615">
        <v>2</v>
      </c>
      <c r="F615" s="2">
        <v>45526</v>
      </c>
    </row>
    <row r="616" spans="1:6" x14ac:dyDescent="0.35">
      <c r="A616" s="1" t="s">
        <v>1274</v>
      </c>
      <c r="B616" s="1" t="s">
        <v>116</v>
      </c>
      <c r="C616" s="1" t="s">
        <v>82</v>
      </c>
      <c r="D616" s="1" t="s">
        <v>128</v>
      </c>
      <c r="E616">
        <v>9</v>
      </c>
      <c r="F616" s="2">
        <v>45462</v>
      </c>
    </row>
    <row r="617" spans="1:6" x14ac:dyDescent="0.35">
      <c r="A617" s="1" t="s">
        <v>1276</v>
      </c>
      <c r="B617" s="1" t="s">
        <v>197</v>
      </c>
      <c r="C617" s="1" t="s">
        <v>63</v>
      </c>
      <c r="D617" s="1" t="s">
        <v>128</v>
      </c>
      <c r="E617">
        <v>6</v>
      </c>
      <c r="F617" s="2">
        <v>45410</v>
      </c>
    </row>
    <row r="618" spans="1:6" x14ac:dyDescent="0.35">
      <c r="A618" s="1" t="s">
        <v>1278</v>
      </c>
      <c r="B618" s="1" t="s">
        <v>137</v>
      </c>
      <c r="C618" s="1" t="s">
        <v>69</v>
      </c>
      <c r="D618" s="1" t="s">
        <v>157</v>
      </c>
      <c r="E618">
        <v>8</v>
      </c>
      <c r="F618" s="2">
        <v>45584</v>
      </c>
    </row>
    <row r="619" spans="1:6" x14ac:dyDescent="0.35">
      <c r="A619" s="1" t="s">
        <v>1280</v>
      </c>
      <c r="B619" s="1" t="s">
        <v>172</v>
      </c>
      <c r="C619" s="1" t="s">
        <v>57</v>
      </c>
      <c r="D619" s="1" t="s">
        <v>128</v>
      </c>
      <c r="E619">
        <v>10</v>
      </c>
      <c r="F619" s="2">
        <v>45652</v>
      </c>
    </row>
    <row r="620" spans="1:6" x14ac:dyDescent="0.35">
      <c r="A620" s="1" t="s">
        <v>1282</v>
      </c>
      <c r="B620" s="1" t="s">
        <v>106</v>
      </c>
      <c r="C620" s="1" t="s">
        <v>78</v>
      </c>
      <c r="D620" s="1" t="s">
        <v>157</v>
      </c>
      <c r="E620">
        <v>5</v>
      </c>
      <c r="F620" s="2">
        <v>45326</v>
      </c>
    </row>
    <row r="621" spans="1:6" x14ac:dyDescent="0.35">
      <c r="A621" s="1" t="s">
        <v>1282</v>
      </c>
      <c r="B621" s="1" t="s">
        <v>197</v>
      </c>
      <c r="C621" s="1" t="s">
        <v>78</v>
      </c>
      <c r="D621" s="1" t="s">
        <v>157</v>
      </c>
      <c r="E621">
        <v>5</v>
      </c>
      <c r="F621" s="2">
        <v>45326</v>
      </c>
    </row>
    <row r="622" spans="1:6" x14ac:dyDescent="0.35">
      <c r="A622" s="1" t="s">
        <v>1282</v>
      </c>
      <c r="B622" s="1" t="s">
        <v>116</v>
      </c>
      <c r="C622" s="1" t="s">
        <v>78</v>
      </c>
      <c r="D622" s="1" t="s">
        <v>157</v>
      </c>
      <c r="E622">
        <v>5</v>
      </c>
      <c r="F622" s="2">
        <v>45326</v>
      </c>
    </row>
    <row r="623" spans="1:6" x14ac:dyDescent="0.35">
      <c r="A623" s="1" t="s">
        <v>1284</v>
      </c>
      <c r="B623" s="1" t="s">
        <v>172</v>
      </c>
      <c r="C623" s="1" t="s">
        <v>21</v>
      </c>
      <c r="D623" s="1" t="s">
        <v>171</v>
      </c>
      <c r="E623">
        <v>13</v>
      </c>
      <c r="F623" s="2">
        <v>45513</v>
      </c>
    </row>
    <row r="624" spans="1:6" x14ac:dyDescent="0.35">
      <c r="A624" s="1" t="s">
        <v>1286</v>
      </c>
      <c r="B624" s="1" t="s">
        <v>168</v>
      </c>
      <c r="C624" s="1" t="s">
        <v>21</v>
      </c>
      <c r="D624" s="1" t="s">
        <v>171</v>
      </c>
      <c r="E624">
        <v>7</v>
      </c>
      <c r="F624" s="2">
        <v>45341</v>
      </c>
    </row>
    <row r="625" spans="1:6" x14ac:dyDescent="0.35">
      <c r="A625" s="1" t="s">
        <v>1288</v>
      </c>
      <c r="B625" s="1" t="s">
        <v>106</v>
      </c>
      <c r="C625" s="1" t="s">
        <v>29</v>
      </c>
      <c r="D625" s="1" t="s">
        <v>121</v>
      </c>
      <c r="E625">
        <v>2</v>
      </c>
      <c r="F625" s="2">
        <v>45405</v>
      </c>
    </row>
    <row r="626" spans="1:6" x14ac:dyDescent="0.35">
      <c r="A626" s="1" t="s">
        <v>1290</v>
      </c>
      <c r="B626" s="1" t="s">
        <v>137</v>
      </c>
      <c r="C626" s="1" t="s">
        <v>82</v>
      </c>
      <c r="D626" s="1" t="s">
        <v>128</v>
      </c>
      <c r="E626">
        <v>3</v>
      </c>
      <c r="F626" s="2">
        <v>45621</v>
      </c>
    </row>
    <row r="627" spans="1:6" x14ac:dyDescent="0.35">
      <c r="A627" s="1" t="s">
        <v>1291</v>
      </c>
      <c r="B627" s="1" t="s">
        <v>113</v>
      </c>
      <c r="C627" s="1" t="s">
        <v>78</v>
      </c>
      <c r="D627" s="1" t="s">
        <v>171</v>
      </c>
      <c r="E627">
        <v>1</v>
      </c>
      <c r="F627" s="2">
        <v>45650</v>
      </c>
    </row>
    <row r="628" spans="1:6" x14ac:dyDescent="0.35">
      <c r="A628" s="1" t="s">
        <v>1292</v>
      </c>
      <c r="B628" s="1" t="s">
        <v>149</v>
      </c>
      <c r="C628" s="1" t="s">
        <v>8</v>
      </c>
      <c r="D628" s="1" t="s">
        <v>171</v>
      </c>
      <c r="E628">
        <v>1</v>
      </c>
      <c r="F628" s="2">
        <v>45636</v>
      </c>
    </row>
    <row r="629" spans="1:6" x14ac:dyDescent="0.35">
      <c r="A629" s="1" t="s">
        <v>1293</v>
      </c>
      <c r="B629" s="1" t="s">
        <v>116</v>
      </c>
      <c r="C629" s="1" t="s">
        <v>69</v>
      </c>
      <c r="D629" s="1" t="s">
        <v>143</v>
      </c>
      <c r="E629">
        <v>5</v>
      </c>
      <c r="F629" s="2">
        <v>45520</v>
      </c>
    </row>
    <row r="630" spans="1:6" x14ac:dyDescent="0.35">
      <c r="A630" s="1" t="s">
        <v>1294</v>
      </c>
      <c r="B630" s="1" t="s">
        <v>172</v>
      </c>
      <c r="C630" s="1" t="s">
        <v>73</v>
      </c>
      <c r="D630" s="1" t="s">
        <v>121</v>
      </c>
      <c r="E630">
        <v>9</v>
      </c>
      <c r="F630" s="2">
        <v>45496</v>
      </c>
    </row>
    <row r="631" spans="1:6" x14ac:dyDescent="0.35">
      <c r="A631" s="1" t="s">
        <v>1295</v>
      </c>
      <c r="B631" s="1" t="s">
        <v>168</v>
      </c>
      <c r="C631" s="1" t="s">
        <v>8</v>
      </c>
      <c r="D631" s="1" t="s">
        <v>143</v>
      </c>
      <c r="E631">
        <v>10</v>
      </c>
      <c r="F631" s="2">
        <v>45424</v>
      </c>
    </row>
    <row r="632" spans="1:6" x14ac:dyDescent="0.35">
      <c r="A632" s="1" t="s">
        <v>1296</v>
      </c>
      <c r="B632" s="1" t="s">
        <v>106</v>
      </c>
      <c r="C632" s="1" t="s">
        <v>78</v>
      </c>
      <c r="D632" s="1" t="s">
        <v>128</v>
      </c>
      <c r="E632">
        <v>6</v>
      </c>
      <c r="F632" s="2">
        <v>45296</v>
      </c>
    </row>
  </sheetData>
  <phoneticPr fontId="2"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1C1D5-9A77-4263-BE49-5D1EDBF6176C}">
  <dimension ref="A1:C28"/>
  <sheetViews>
    <sheetView topLeftCell="A2" workbookViewId="0">
      <selection activeCell="B13" sqref="B13"/>
    </sheetView>
  </sheetViews>
  <sheetFormatPr defaultRowHeight="14.5" x14ac:dyDescent="0.35"/>
  <cols>
    <col min="1" max="1" width="20.7265625" bestFit="1" customWidth="1"/>
    <col min="2" max="2" width="10.7265625" bestFit="1" customWidth="1"/>
    <col min="3" max="3" width="14.7265625" bestFit="1" customWidth="1"/>
  </cols>
  <sheetData>
    <row r="1" spans="1:3" x14ac:dyDescent="0.35">
      <c r="A1" s="12" t="s">
        <v>1309</v>
      </c>
      <c r="B1" t="s">
        <v>1398</v>
      </c>
    </row>
    <row r="3" spans="1:3" x14ac:dyDescent="0.35">
      <c r="A3" s="12" t="s">
        <v>1378</v>
      </c>
      <c r="B3" t="s">
        <v>1396</v>
      </c>
      <c r="C3" t="s">
        <v>1397</v>
      </c>
    </row>
    <row r="4" spans="1:3" x14ac:dyDescent="0.35">
      <c r="A4" s="13" t="s">
        <v>1355</v>
      </c>
      <c r="B4" s="1">
        <v>37</v>
      </c>
      <c r="C4" s="1">
        <v>22</v>
      </c>
    </row>
    <row r="5" spans="1:3" x14ac:dyDescent="0.35">
      <c r="A5" s="13" t="s">
        <v>1340</v>
      </c>
      <c r="B5" s="1">
        <v>61</v>
      </c>
      <c r="C5" s="1">
        <v>8</v>
      </c>
    </row>
    <row r="6" spans="1:3" x14ac:dyDescent="0.35">
      <c r="A6" s="13" t="s">
        <v>1357</v>
      </c>
      <c r="B6" s="1">
        <v>56</v>
      </c>
      <c r="C6" s="1">
        <v>24</v>
      </c>
    </row>
    <row r="7" spans="1:3" x14ac:dyDescent="0.35">
      <c r="A7" s="13" t="s">
        <v>1352</v>
      </c>
      <c r="B7" s="1">
        <v>29</v>
      </c>
      <c r="C7" s="1">
        <v>13</v>
      </c>
    </row>
    <row r="8" spans="1:3" x14ac:dyDescent="0.35">
      <c r="A8" s="13" t="s">
        <v>1338</v>
      </c>
      <c r="B8" s="1">
        <v>26</v>
      </c>
      <c r="C8" s="1">
        <v>18</v>
      </c>
    </row>
    <row r="9" spans="1:3" x14ac:dyDescent="0.35">
      <c r="A9" s="13" t="s">
        <v>1369</v>
      </c>
      <c r="B9" s="1">
        <v>20</v>
      </c>
      <c r="C9" s="1">
        <v>3</v>
      </c>
    </row>
    <row r="10" spans="1:3" x14ac:dyDescent="0.35">
      <c r="A10" s="13" t="s">
        <v>1367</v>
      </c>
      <c r="B10" s="1">
        <v>0</v>
      </c>
      <c r="C10" s="1">
        <v>3</v>
      </c>
    </row>
    <row r="11" spans="1:3" x14ac:dyDescent="0.35">
      <c r="A11" s="13" t="s">
        <v>1365</v>
      </c>
      <c r="B11" s="1">
        <v>0</v>
      </c>
      <c r="C11" s="1">
        <v>15</v>
      </c>
    </row>
    <row r="12" spans="1:3" x14ac:dyDescent="0.35">
      <c r="A12" s="13" t="s">
        <v>1320</v>
      </c>
      <c r="B12" s="1">
        <v>86</v>
      </c>
      <c r="C12" s="1">
        <v>21</v>
      </c>
    </row>
    <row r="13" spans="1:3" x14ac:dyDescent="0.35">
      <c r="A13" s="13" t="s">
        <v>1344</v>
      </c>
      <c r="B13" s="1">
        <v>103</v>
      </c>
      <c r="C13" s="1">
        <v>22</v>
      </c>
    </row>
    <row r="14" spans="1:3" x14ac:dyDescent="0.35">
      <c r="A14" s="13" t="s">
        <v>1310</v>
      </c>
      <c r="B14" s="1">
        <v>82</v>
      </c>
      <c r="C14" s="1">
        <v>50</v>
      </c>
    </row>
    <row r="15" spans="1:3" x14ac:dyDescent="0.35">
      <c r="A15" s="13" t="s">
        <v>1360</v>
      </c>
      <c r="B15" s="1">
        <v>0</v>
      </c>
      <c r="C15" s="1">
        <v>5</v>
      </c>
    </row>
    <row r="16" spans="1:3" x14ac:dyDescent="0.35">
      <c r="A16" s="13" t="s">
        <v>1350</v>
      </c>
      <c r="B16" s="1">
        <v>13</v>
      </c>
      <c r="C16" s="1">
        <v>17</v>
      </c>
    </row>
    <row r="17" spans="1:3" x14ac:dyDescent="0.35">
      <c r="A17" s="13" t="s">
        <v>1324</v>
      </c>
      <c r="B17" s="1">
        <v>36</v>
      </c>
      <c r="C17" s="1">
        <v>17</v>
      </c>
    </row>
    <row r="18" spans="1:3" x14ac:dyDescent="0.35">
      <c r="A18" s="13" t="s">
        <v>1354</v>
      </c>
      <c r="B18" s="1">
        <v>55</v>
      </c>
      <c r="C18" s="1">
        <v>5</v>
      </c>
    </row>
    <row r="19" spans="1:3" x14ac:dyDescent="0.35">
      <c r="A19" s="13" t="s">
        <v>1316</v>
      </c>
      <c r="B19" s="1">
        <v>100</v>
      </c>
      <c r="C19" s="1">
        <v>9</v>
      </c>
    </row>
    <row r="20" spans="1:3" x14ac:dyDescent="0.35">
      <c r="A20" s="13" t="s">
        <v>1348</v>
      </c>
      <c r="B20" s="1">
        <v>87</v>
      </c>
      <c r="C20" s="1">
        <v>15</v>
      </c>
    </row>
    <row r="21" spans="1:3" x14ac:dyDescent="0.35">
      <c r="A21" s="13" t="s">
        <v>1327</v>
      </c>
      <c r="B21" s="1">
        <v>100</v>
      </c>
      <c r="C21" s="1">
        <v>23</v>
      </c>
    </row>
    <row r="22" spans="1:3" x14ac:dyDescent="0.35">
      <c r="A22" s="13" t="s">
        <v>1332</v>
      </c>
      <c r="B22" s="1">
        <v>24</v>
      </c>
      <c r="C22" s="1">
        <v>17</v>
      </c>
    </row>
    <row r="23" spans="1:3" x14ac:dyDescent="0.35">
      <c r="A23" s="13" t="s">
        <v>1335</v>
      </c>
      <c r="B23" s="1">
        <v>73</v>
      </c>
      <c r="C23" s="1">
        <v>24</v>
      </c>
    </row>
    <row r="24" spans="1:3" x14ac:dyDescent="0.35">
      <c r="A24" s="13" t="s">
        <v>1329</v>
      </c>
      <c r="B24" s="1">
        <v>83</v>
      </c>
      <c r="C24" s="1">
        <v>24</v>
      </c>
    </row>
    <row r="25" spans="1:3" x14ac:dyDescent="0.35">
      <c r="A25" s="13" t="s">
        <v>1346</v>
      </c>
      <c r="B25" s="1">
        <v>31</v>
      </c>
      <c r="C25" s="1">
        <v>35</v>
      </c>
    </row>
    <row r="26" spans="1:3" x14ac:dyDescent="0.35">
      <c r="A26" s="13" t="s">
        <v>1342</v>
      </c>
      <c r="B26" s="1">
        <v>95</v>
      </c>
      <c r="C26" s="1">
        <v>9</v>
      </c>
    </row>
    <row r="27" spans="1:3" x14ac:dyDescent="0.35">
      <c r="A27" s="13" t="s">
        <v>1326</v>
      </c>
      <c r="B27" s="1">
        <v>83</v>
      </c>
      <c r="C27" s="1">
        <v>8</v>
      </c>
    </row>
    <row r="28" spans="1:3" x14ac:dyDescent="0.35">
      <c r="A28" s="13" t="s">
        <v>1379</v>
      </c>
      <c r="B28" s="1">
        <v>1280</v>
      </c>
      <c r="C28" s="1">
        <v>407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5D295-D3EF-416C-83F9-82E3796E3268}">
  <dimension ref="A1:L25"/>
  <sheetViews>
    <sheetView topLeftCell="A2" workbookViewId="0">
      <selection sqref="A1:L25"/>
    </sheetView>
  </sheetViews>
  <sheetFormatPr defaultRowHeight="14.5" x14ac:dyDescent="0.35"/>
  <cols>
    <col min="1" max="1" width="11.6328125" bestFit="1" customWidth="1"/>
    <col min="2" max="2" width="20.7265625" bestFit="1" customWidth="1"/>
    <col min="3" max="3" width="9.90625" bestFit="1" customWidth="1"/>
    <col min="4" max="4" width="13.6328125" bestFit="1" customWidth="1"/>
    <col min="5" max="5" width="15.1796875" bestFit="1" customWidth="1"/>
    <col min="6" max="6" width="13.6328125" bestFit="1" customWidth="1"/>
    <col min="7" max="7" width="11.90625" bestFit="1" customWidth="1"/>
    <col min="8" max="8" width="11.54296875" bestFit="1" customWidth="1"/>
    <col min="9" max="9" width="6.81640625" bestFit="1" customWidth="1"/>
    <col min="10" max="10" width="10.7265625" bestFit="1" customWidth="1"/>
    <col min="11" max="11" width="9.08984375" bestFit="1" customWidth="1"/>
    <col min="12" max="12" width="15.7265625" bestFit="1" customWidth="1"/>
  </cols>
  <sheetData>
    <row r="1" spans="1:12" x14ac:dyDescent="0.35">
      <c r="A1" t="s">
        <v>101</v>
      </c>
      <c r="B1" t="s">
        <v>1299</v>
      </c>
      <c r="C1" t="s">
        <v>1300</v>
      </c>
      <c r="D1" t="s">
        <v>1301</v>
      </c>
      <c r="E1" t="s">
        <v>1302</v>
      </c>
      <c r="F1" t="s">
        <v>1303</v>
      </c>
      <c r="G1" t="s">
        <v>1304</v>
      </c>
      <c r="H1" t="s">
        <v>1305</v>
      </c>
      <c r="I1" t="s">
        <v>1306</v>
      </c>
      <c r="J1" t="s">
        <v>1307</v>
      </c>
      <c r="K1" t="s">
        <v>1308</v>
      </c>
      <c r="L1" t="s">
        <v>1309</v>
      </c>
    </row>
    <row r="2" spans="1:12" x14ac:dyDescent="0.35">
      <c r="A2" s="1" t="s">
        <v>191</v>
      </c>
      <c r="B2" s="1" t="s">
        <v>1310</v>
      </c>
      <c r="C2" s="1" t="s">
        <v>1311</v>
      </c>
      <c r="D2" s="1" t="s">
        <v>1312</v>
      </c>
      <c r="E2" s="1" t="s">
        <v>1313</v>
      </c>
      <c r="F2" s="1" t="s">
        <v>11</v>
      </c>
      <c r="G2">
        <v>12000000</v>
      </c>
      <c r="H2">
        <v>13963000</v>
      </c>
      <c r="I2">
        <v>82</v>
      </c>
      <c r="J2">
        <v>50</v>
      </c>
      <c r="K2" s="1" t="s">
        <v>1314</v>
      </c>
      <c r="L2" t="s">
        <v>1315</v>
      </c>
    </row>
    <row r="3" spans="1:12" x14ac:dyDescent="0.35">
      <c r="A3" s="1" t="s">
        <v>149</v>
      </c>
      <c r="B3" s="1" t="s">
        <v>1316</v>
      </c>
      <c r="C3" s="1" t="s">
        <v>1317</v>
      </c>
      <c r="D3" s="1" t="s">
        <v>1318</v>
      </c>
      <c r="E3" s="1" t="s">
        <v>1319</v>
      </c>
      <c r="F3" s="1" t="s">
        <v>41</v>
      </c>
      <c r="G3">
        <v>100000</v>
      </c>
      <c r="H3">
        <v>169000</v>
      </c>
      <c r="I3">
        <v>100</v>
      </c>
      <c r="J3">
        <v>9</v>
      </c>
      <c r="K3" s="1" t="s">
        <v>1314</v>
      </c>
      <c r="L3" t="s">
        <v>1315</v>
      </c>
    </row>
    <row r="4" spans="1:12" x14ac:dyDescent="0.35">
      <c r="A4" s="1" t="s">
        <v>272</v>
      </c>
      <c r="B4" s="1" t="s">
        <v>1320</v>
      </c>
      <c r="C4" s="1" t="s">
        <v>1317</v>
      </c>
      <c r="D4" s="1" t="s">
        <v>1321</v>
      </c>
      <c r="E4" s="1" t="s">
        <v>1322</v>
      </c>
      <c r="F4" s="1" t="s">
        <v>1323</v>
      </c>
      <c r="G4">
        <v>650000</v>
      </c>
      <c r="H4">
        <v>741000</v>
      </c>
      <c r="I4">
        <v>86</v>
      </c>
      <c r="J4">
        <v>21</v>
      </c>
      <c r="K4" s="1" t="s">
        <v>1314</v>
      </c>
      <c r="L4" t="s">
        <v>1315</v>
      </c>
    </row>
    <row r="5" spans="1:12" x14ac:dyDescent="0.35">
      <c r="A5" s="1" t="s">
        <v>137</v>
      </c>
      <c r="B5" s="1" t="s">
        <v>1324</v>
      </c>
      <c r="C5" s="1" t="s">
        <v>1311</v>
      </c>
      <c r="D5" s="1" t="s">
        <v>1325</v>
      </c>
      <c r="E5" s="1" t="s">
        <v>1313</v>
      </c>
      <c r="F5" s="1" t="s">
        <v>11</v>
      </c>
      <c r="G5">
        <v>2000000</v>
      </c>
      <c r="H5">
        <v>2533000</v>
      </c>
      <c r="I5">
        <v>36</v>
      </c>
      <c r="J5">
        <v>17</v>
      </c>
      <c r="K5" s="1" t="s">
        <v>1314</v>
      </c>
      <c r="L5" t="s">
        <v>1315</v>
      </c>
    </row>
    <row r="6" spans="1:12" x14ac:dyDescent="0.35">
      <c r="A6" s="1" t="s">
        <v>240</v>
      </c>
      <c r="B6" s="1" t="s">
        <v>1326</v>
      </c>
      <c r="C6" s="1" t="s">
        <v>1317</v>
      </c>
      <c r="D6" s="1" t="s">
        <v>1318</v>
      </c>
      <c r="E6" s="1" t="s">
        <v>1319</v>
      </c>
      <c r="F6" s="1" t="s">
        <v>41</v>
      </c>
      <c r="G6">
        <v>350000</v>
      </c>
      <c r="H6">
        <v>626000</v>
      </c>
      <c r="I6">
        <v>83</v>
      </c>
      <c r="J6">
        <v>8</v>
      </c>
      <c r="K6" s="1" t="s">
        <v>1314</v>
      </c>
      <c r="L6" t="s">
        <v>1315</v>
      </c>
    </row>
    <row r="7" spans="1:12" x14ac:dyDescent="0.35">
      <c r="A7" s="1" t="s">
        <v>188</v>
      </c>
      <c r="B7" s="1" t="s">
        <v>1327</v>
      </c>
      <c r="C7" s="1" t="s">
        <v>1311</v>
      </c>
      <c r="D7" s="1" t="s">
        <v>1328</v>
      </c>
      <c r="E7" s="1" t="s">
        <v>1319</v>
      </c>
      <c r="F7" s="1" t="s">
        <v>41</v>
      </c>
      <c r="G7">
        <v>2800000</v>
      </c>
      <c r="H7">
        <v>4747000</v>
      </c>
      <c r="I7">
        <v>100</v>
      </c>
      <c r="J7">
        <v>23</v>
      </c>
      <c r="K7" s="1" t="s">
        <v>1314</v>
      </c>
      <c r="L7" t="s">
        <v>1315</v>
      </c>
    </row>
    <row r="8" spans="1:12" x14ac:dyDescent="0.35">
      <c r="A8" s="1" t="s">
        <v>176</v>
      </c>
      <c r="B8" s="1" t="s">
        <v>1329</v>
      </c>
      <c r="C8" s="1" t="s">
        <v>1330</v>
      </c>
      <c r="D8" s="1" t="s">
        <v>1331</v>
      </c>
      <c r="E8" s="1" t="s">
        <v>1322</v>
      </c>
      <c r="F8" s="1" t="s">
        <v>1323</v>
      </c>
      <c r="G8">
        <v>1500000</v>
      </c>
      <c r="H8">
        <v>1772000</v>
      </c>
      <c r="I8">
        <v>83</v>
      </c>
      <c r="J8">
        <v>24</v>
      </c>
      <c r="K8" s="1" t="s">
        <v>1314</v>
      </c>
      <c r="L8" t="s">
        <v>1315</v>
      </c>
    </row>
    <row r="9" spans="1:12" x14ac:dyDescent="0.35">
      <c r="A9" s="1" t="s">
        <v>164</v>
      </c>
      <c r="B9" s="1" t="s">
        <v>1332</v>
      </c>
      <c r="C9" s="1" t="s">
        <v>1330</v>
      </c>
      <c r="D9" s="1" t="s">
        <v>1333</v>
      </c>
      <c r="E9" s="1" t="s">
        <v>1313</v>
      </c>
      <c r="F9" s="1" t="s">
        <v>11</v>
      </c>
      <c r="G9">
        <v>750000</v>
      </c>
      <c r="H9">
        <v>971000</v>
      </c>
      <c r="I9">
        <v>24</v>
      </c>
      <c r="J9">
        <v>17</v>
      </c>
      <c r="K9" s="1" t="s">
        <v>1314</v>
      </c>
      <c r="L9" t="s">
        <v>1334</v>
      </c>
    </row>
    <row r="10" spans="1:12" x14ac:dyDescent="0.35">
      <c r="A10" s="1" t="s">
        <v>248</v>
      </c>
      <c r="B10" s="1" t="s">
        <v>1335</v>
      </c>
      <c r="C10" s="1" t="s">
        <v>1336</v>
      </c>
      <c r="D10" s="1" t="s">
        <v>1337</v>
      </c>
      <c r="E10" s="1" t="s">
        <v>1319</v>
      </c>
      <c r="F10" s="1" t="s">
        <v>41</v>
      </c>
      <c r="G10">
        <v>250000</v>
      </c>
      <c r="H10">
        <v>354000</v>
      </c>
      <c r="I10">
        <v>73</v>
      </c>
      <c r="J10">
        <v>24</v>
      </c>
      <c r="K10" s="1" t="s">
        <v>1314</v>
      </c>
      <c r="L10" t="s">
        <v>1315</v>
      </c>
    </row>
    <row r="11" spans="1:12" x14ac:dyDescent="0.35">
      <c r="A11" s="1" t="s">
        <v>168</v>
      </c>
      <c r="B11" s="1" t="s">
        <v>1338</v>
      </c>
      <c r="C11" s="1" t="s">
        <v>1336</v>
      </c>
      <c r="D11" s="1" t="s">
        <v>1339</v>
      </c>
      <c r="E11" s="1" t="s">
        <v>1319</v>
      </c>
      <c r="F11" s="1" t="s">
        <v>41</v>
      </c>
      <c r="G11">
        <v>500000</v>
      </c>
      <c r="H11">
        <v>844000</v>
      </c>
      <c r="I11">
        <v>26</v>
      </c>
      <c r="J11">
        <v>18</v>
      </c>
      <c r="K11" s="1" t="s">
        <v>1314</v>
      </c>
      <c r="L11" t="s">
        <v>1334</v>
      </c>
    </row>
    <row r="12" spans="1:12" x14ac:dyDescent="0.35">
      <c r="A12" s="1" t="s">
        <v>172</v>
      </c>
      <c r="B12" s="1" t="s">
        <v>1340</v>
      </c>
      <c r="C12" s="1" t="s">
        <v>1330</v>
      </c>
      <c r="D12" s="1" t="s">
        <v>1341</v>
      </c>
      <c r="E12" s="1" t="s">
        <v>1319</v>
      </c>
      <c r="F12" s="1" t="s">
        <v>41</v>
      </c>
      <c r="G12">
        <v>950000</v>
      </c>
      <c r="H12">
        <v>1649000</v>
      </c>
      <c r="I12">
        <v>61</v>
      </c>
      <c r="J12">
        <v>8</v>
      </c>
      <c r="K12" s="1" t="s">
        <v>1314</v>
      </c>
      <c r="L12" t="s">
        <v>1315</v>
      </c>
    </row>
    <row r="13" spans="1:12" x14ac:dyDescent="0.35">
      <c r="A13" s="1" t="s">
        <v>173</v>
      </c>
      <c r="B13" s="1" t="s">
        <v>1342</v>
      </c>
      <c r="C13" s="1" t="s">
        <v>1317</v>
      </c>
      <c r="D13" s="1" t="s">
        <v>1343</v>
      </c>
      <c r="E13" s="1" t="s">
        <v>1322</v>
      </c>
      <c r="F13" s="1" t="s">
        <v>1323</v>
      </c>
      <c r="G13">
        <v>80000</v>
      </c>
      <c r="H13">
        <v>92000</v>
      </c>
      <c r="I13">
        <v>95</v>
      </c>
      <c r="J13">
        <v>9</v>
      </c>
      <c r="K13" s="1" t="s">
        <v>1314</v>
      </c>
      <c r="L13" t="s">
        <v>1315</v>
      </c>
    </row>
    <row r="14" spans="1:12" x14ac:dyDescent="0.35">
      <c r="A14" s="1" t="s">
        <v>111</v>
      </c>
      <c r="B14" s="1" t="s">
        <v>1344</v>
      </c>
      <c r="C14" s="1" t="s">
        <v>1311</v>
      </c>
      <c r="D14" s="1" t="s">
        <v>1345</v>
      </c>
      <c r="E14" s="1" t="s">
        <v>1322</v>
      </c>
      <c r="F14" s="1" t="s">
        <v>1323</v>
      </c>
      <c r="G14">
        <v>18000000</v>
      </c>
      <c r="H14">
        <v>27603000</v>
      </c>
      <c r="I14">
        <v>103</v>
      </c>
      <c r="J14">
        <v>22</v>
      </c>
      <c r="K14" s="1" t="s">
        <v>1314</v>
      </c>
      <c r="L14" t="s">
        <v>1315</v>
      </c>
    </row>
    <row r="15" spans="1:12" x14ac:dyDescent="0.35">
      <c r="A15" s="1" t="s">
        <v>113</v>
      </c>
      <c r="B15" s="1" t="s">
        <v>1346</v>
      </c>
      <c r="C15" s="1" t="s">
        <v>1311</v>
      </c>
      <c r="D15" s="1" t="s">
        <v>1331</v>
      </c>
      <c r="E15" s="1" t="s">
        <v>1322</v>
      </c>
      <c r="F15" s="1" t="s">
        <v>1323</v>
      </c>
      <c r="G15">
        <v>4500000</v>
      </c>
      <c r="H15">
        <v>5522000</v>
      </c>
      <c r="I15">
        <v>31</v>
      </c>
      <c r="J15">
        <v>35</v>
      </c>
      <c r="K15" s="1" t="s">
        <v>1314</v>
      </c>
      <c r="L15" t="s">
        <v>1347</v>
      </c>
    </row>
    <row r="16" spans="1:12" x14ac:dyDescent="0.35">
      <c r="A16" s="1" t="s">
        <v>106</v>
      </c>
      <c r="B16" s="1" t="s">
        <v>1348</v>
      </c>
      <c r="C16" s="1" t="s">
        <v>1317</v>
      </c>
      <c r="D16" s="1" t="s">
        <v>1349</v>
      </c>
      <c r="E16" s="1" t="s">
        <v>1322</v>
      </c>
      <c r="F16" s="1" t="s">
        <v>1323</v>
      </c>
      <c r="G16">
        <v>300000</v>
      </c>
      <c r="H16">
        <v>355000</v>
      </c>
      <c r="I16">
        <v>87</v>
      </c>
      <c r="J16">
        <v>15</v>
      </c>
      <c r="K16" s="1" t="s">
        <v>1314</v>
      </c>
      <c r="L16" t="s">
        <v>1315</v>
      </c>
    </row>
    <row r="17" spans="1:12" x14ac:dyDescent="0.35">
      <c r="A17" s="1" t="s">
        <v>197</v>
      </c>
      <c r="B17" s="1" t="s">
        <v>1350</v>
      </c>
      <c r="C17" s="1" t="s">
        <v>1336</v>
      </c>
      <c r="D17" s="1" t="s">
        <v>1351</v>
      </c>
      <c r="E17" s="1" t="s">
        <v>1313</v>
      </c>
      <c r="F17" s="1" t="s">
        <v>11</v>
      </c>
      <c r="G17">
        <v>1200000</v>
      </c>
      <c r="H17">
        <v>1375000</v>
      </c>
      <c r="I17">
        <v>13</v>
      </c>
      <c r="J17">
        <v>17</v>
      </c>
      <c r="K17" s="1" t="s">
        <v>1314</v>
      </c>
      <c r="L17" t="s">
        <v>1347</v>
      </c>
    </row>
    <row r="18" spans="1:12" x14ac:dyDescent="0.35">
      <c r="A18" s="1" t="s">
        <v>116</v>
      </c>
      <c r="B18" s="1" t="s">
        <v>1352</v>
      </c>
      <c r="C18" s="1" t="s">
        <v>1330</v>
      </c>
      <c r="D18" s="1" t="s">
        <v>1353</v>
      </c>
      <c r="E18" s="1" t="s">
        <v>1322</v>
      </c>
      <c r="F18" s="1" t="s">
        <v>1323</v>
      </c>
      <c r="G18">
        <v>5000000</v>
      </c>
      <c r="H18">
        <v>7546000</v>
      </c>
      <c r="I18">
        <v>29</v>
      </c>
      <c r="J18">
        <v>13</v>
      </c>
      <c r="K18" s="1" t="s">
        <v>1314</v>
      </c>
      <c r="L18" t="s">
        <v>1315</v>
      </c>
    </row>
    <row r="19" spans="1:12" x14ac:dyDescent="0.35">
      <c r="A19" s="1" t="s">
        <v>133</v>
      </c>
      <c r="B19" s="1" t="s">
        <v>1354</v>
      </c>
      <c r="C19" s="1" t="s">
        <v>1330</v>
      </c>
      <c r="D19" s="1" t="s">
        <v>1345</v>
      </c>
      <c r="E19" s="1" t="s">
        <v>1313</v>
      </c>
      <c r="F19" s="1" t="s">
        <v>11</v>
      </c>
      <c r="G19">
        <v>2500000</v>
      </c>
      <c r="H19">
        <v>3080000</v>
      </c>
      <c r="I19">
        <v>55</v>
      </c>
      <c r="J19">
        <v>5</v>
      </c>
      <c r="K19" s="1" t="s">
        <v>1314</v>
      </c>
      <c r="L19" t="s">
        <v>1315</v>
      </c>
    </row>
    <row r="20" spans="1:12" x14ac:dyDescent="0.35">
      <c r="A20" s="1" t="s">
        <v>141</v>
      </c>
      <c r="B20" s="1" t="s">
        <v>1355</v>
      </c>
      <c r="C20" s="1" t="s">
        <v>1330</v>
      </c>
      <c r="D20" s="1" t="s">
        <v>1356</v>
      </c>
      <c r="E20" s="1" t="s">
        <v>1319</v>
      </c>
      <c r="F20" s="1" t="s">
        <v>41</v>
      </c>
      <c r="G20">
        <v>400000</v>
      </c>
      <c r="H20">
        <v>623000</v>
      </c>
      <c r="I20">
        <v>37</v>
      </c>
      <c r="J20">
        <v>22</v>
      </c>
      <c r="K20" s="1" t="s">
        <v>1314</v>
      </c>
      <c r="L20" t="s">
        <v>1315</v>
      </c>
    </row>
    <row r="21" spans="1:12" x14ac:dyDescent="0.35">
      <c r="A21" s="1" t="s">
        <v>109</v>
      </c>
      <c r="B21" s="1" t="s">
        <v>1357</v>
      </c>
      <c r="C21" s="1" t="s">
        <v>1358</v>
      </c>
      <c r="D21" s="1" t="s">
        <v>1359</v>
      </c>
      <c r="E21" s="1" t="s">
        <v>1319</v>
      </c>
      <c r="F21" s="1" t="s">
        <v>41</v>
      </c>
      <c r="G21">
        <v>2000000</v>
      </c>
      <c r="H21">
        <v>3382000</v>
      </c>
      <c r="I21">
        <v>56</v>
      </c>
      <c r="J21">
        <v>24</v>
      </c>
      <c r="K21" s="1" t="s">
        <v>1314</v>
      </c>
      <c r="L21" t="s">
        <v>1315</v>
      </c>
    </row>
    <row r="22" spans="1:12" x14ac:dyDescent="0.35">
      <c r="A22" s="1" t="s">
        <v>639</v>
      </c>
      <c r="B22" s="1" t="s">
        <v>1360</v>
      </c>
      <c r="C22" s="1" t="s">
        <v>1311</v>
      </c>
      <c r="D22" s="1" t="s">
        <v>1361</v>
      </c>
      <c r="E22" s="1" t="s">
        <v>1313</v>
      </c>
      <c r="F22" s="1" t="s">
        <v>11</v>
      </c>
      <c r="G22">
        <v>7000000</v>
      </c>
      <c r="H22">
        <v>10409000</v>
      </c>
      <c r="I22">
        <v>0</v>
      </c>
      <c r="J22">
        <v>5</v>
      </c>
      <c r="K22" s="1" t="s">
        <v>1362</v>
      </c>
      <c r="L22" t="s">
        <v>1363</v>
      </c>
    </row>
    <row r="23" spans="1:12" x14ac:dyDescent="0.35">
      <c r="A23" s="1" t="s">
        <v>1364</v>
      </c>
      <c r="B23" s="1" t="s">
        <v>1365</v>
      </c>
      <c r="C23" s="1" t="s">
        <v>1311</v>
      </c>
      <c r="D23" s="1" t="s">
        <v>1361</v>
      </c>
      <c r="E23" s="1" t="s">
        <v>1319</v>
      </c>
      <c r="F23" s="1" t="s">
        <v>41</v>
      </c>
      <c r="G23">
        <v>15000000</v>
      </c>
      <c r="H23">
        <v>19819000</v>
      </c>
      <c r="I23">
        <v>0</v>
      </c>
      <c r="J23">
        <v>15</v>
      </c>
      <c r="K23" s="1" t="s">
        <v>1362</v>
      </c>
      <c r="L23" t="s">
        <v>1363</v>
      </c>
    </row>
    <row r="24" spans="1:12" x14ac:dyDescent="0.35">
      <c r="A24" s="1" t="s">
        <v>1366</v>
      </c>
      <c r="B24" s="1" t="s">
        <v>1367</v>
      </c>
      <c r="C24" s="1" t="s">
        <v>1311</v>
      </c>
      <c r="D24" s="1" t="s">
        <v>1361</v>
      </c>
      <c r="E24" s="1" t="s">
        <v>1313</v>
      </c>
      <c r="F24" s="1" t="s">
        <v>11</v>
      </c>
      <c r="G24">
        <v>18000000</v>
      </c>
      <c r="H24">
        <v>29753000</v>
      </c>
      <c r="I24">
        <v>0</v>
      </c>
      <c r="J24">
        <v>3</v>
      </c>
      <c r="K24" s="1" t="s">
        <v>1362</v>
      </c>
      <c r="L24" t="s">
        <v>1363</v>
      </c>
    </row>
    <row r="25" spans="1:12" x14ac:dyDescent="0.35">
      <c r="A25" s="1" t="s">
        <v>1368</v>
      </c>
      <c r="B25" s="1" t="s">
        <v>1369</v>
      </c>
      <c r="C25" s="1" t="s">
        <v>1311</v>
      </c>
      <c r="D25" s="1" t="s">
        <v>1361</v>
      </c>
      <c r="E25" s="1" t="s">
        <v>1313</v>
      </c>
      <c r="F25" s="1" t="s">
        <v>11</v>
      </c>
      <c r="G25">
        <v>18000000</v>
      </c>
      <c r="H25">
        <v>29787000</v>
      </c>
      <c r="I25">
        <v>20</v>
      </c>
      <c r="J25">
        <v>3</v>
      </c>
      <c r="K25" s="1" t="s">
        <v>1362</v>
      </c>
      <c r="L25" t="s">
        <v>1370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ACC3B-E580-4C90-B02E-70B37133D740}">
  <dimension ref="A1:F644"/>
  <sheetViews>
    <sheetView topLeftCell="A131" workbookViewId="0">
      <selection activeCell="I10" sqref="I10"/>
    </sheetView>
  </sheetViews>
  <sheetFormatPr defaultRowHeight="14.5" x14ac:dyDescent="0.35"/>
  <cols>
    <col min="1" max="1" width="11.08984375" bestFit="1" customWidth="1"/>
    <col min="2" max="2" width="17.08984375" bestFit="1" customWidth="1"/>
    <col min="3" max="4" width="10.7265625" bestFit="1" customWidth="1"/>
    <col min="5" max="5" width="11.7265625" bestFit="1" customWidth="1"/>
    <col min="6" max="6" width="15" bestFit="1" customWidth="1"/>
  </cols>
  <sheetData>
    <row r="1" spans="1:6" x14ac:dyDescent="0.35">
      <c r="A1" t="s">
        <v>93</v>
      </c>
      <c r="B1" t="s">
        <v>94</v>
      </c>
      <c r="C1" t="s">
        <v>95</v>
      </c>
      <c r="D1" t="s">
        <v>96</v>
      </c>
      <c r="E1" t="s">
        <v>97</v>
      </c>
      <c r="F1" t="s">
        <v>98</v>
      </c>
    </row>
    <row r="2" spans="1:6" x14ac:dyDescent="0.35">
      <c r="A2" s="1" t="s">
        <v>99</v>
      </c>
      <c r="B2" s="1" t="s">
        <v>100</v>
      </c>
      <c r="C2" s="1" t="s">
        <v>101</v>
      </c>
      <c r="D2" s="1" t="s">
        <v>102</v>
      </c>
      <c r="E2" s="1" t="s">
        <v>0</v>
      </c>
      <c r="F2" s="1" t="s">
        <v>103</v>
      </c>
    </row>
    <row r="3" spans="1:6" x14ac:dyDescent="0.35">
      <c r="A3" s="1" t="s">
        <v>104</v>
      </c>
      <c r="B3" s="1" t="s">
        <v>105</v>
      </c>
      <c r="C3" s="1" t="s">
        <v>106</v>
      </c>
      <c r="D3" s="1" t="s">
        <v>107</v>
      </c>
      <c r="E3" s="1" t="s">
        <v>39</v>
      </c>
      <c r="F3" s="1" t="s">
        <v>108</v>
      </c>
    </row>
    <row r="4" spans="1:6" x14ac:dyDescent="0.35">
      <c r="A4" s="1" t="s">
        <v>104</v>
      </c>
      <c r="B4" s="1" t="s">
        <v>105</v>
      </c>
      <c r="C4" s="1" t="s">
        <v>109</v>
      </c>
      <c r="D4" s="1" t="s">
        <v>110</v>
      </c>
      <c r="E4" s="1" t="s">
        <v>39</v>
      </c>
      <c r="F4" s="1" t="s">
        <v>108</v>
      </c>
    </row>
    <row r="5" spans="1:6" x14ac:dyDescent="0.35">
      <c r="A5" s="1" t="s">
        <v>104</v>
      </c>
      <c r="B5" s="1" t="s">
        <v>105</v>
      </c>
      <c r="C5" s="1" t="s">
        <v>111</v>
      </c>
      <c r="D5" s="1" t="s">
        <v>112</v>
      </c>
      <c r="E5" s="1" t="s">
        <v>39</v>
      </c>
      <c r="F5" s="1" t="s">
        <v>108</v>
      </c>
    </row>
    <row r="6" spans="1:6" x14ac:dyDescent="0.35">
      <c r="A6" s="1" t="s">
        <v>104</v>
      </c>
      <c r="B6" s="1" t="s">
        <v>105</v>
      </c>
      <c r="C6" s="1" t="s">
        <v>113</v>
      </c>
      <c r="D6" s="1" t="s">
        <v>28</v>
      </c>
      <c r="E6" s="1" t="s">
        <v>39</v>
      </c>
      <c r="F6" s="1" t="s">
        <v>108</v>
      </c>
    </row>
    <row r="7" spans="1:6" x14ac:dyDescent="0.35">
      <c r="A7" s="1" t="s">
        <v>114</v>
      </c>
      <c r="B7" s="1" t="s">
        <v>115</v>
      </c>
      <c r="C7" s="1" t="s">
        <v>116</v>
      </c>
      <c r="D7" s="1" t="s">
        <v>117</v>
      </c>
      <c r="E7" s="1" t="s">
        <v>35</v>
      </c>
      <c r="F7" s="1" t="s">
        <v>118</v>
      </c>
    </row>
    <row r="8" spans="1:6" x14ac:dyDescent="0.35">
      <c r="A8" s="1" t="s">
        <v>119</v>
      </c>
      <c r="B8" s="1" t="s">
        <v>120</v>
      </c>
      <c r="C8" s="1" t="s">
        <v>109</v>
      </c>
      <c r="D8" s="1" t="s">
        <v>107</v>
      </c>
      <c r="E8" s="1" t="s">
        <v>69</v>
      </c>
      <c r="F8" s="1" t="s">
        <v>121</v>
      </c>
    </row>
    <row r="9" spans="1:6" x14ac:dyDescent="0.35">
      <c r="A9" s="1" t="s">
        <v>122</v>
      </c>
      <c r="B9" s="1" t="s">
        <v>123</v>
      </c>
      <c r="C9" s="1" t="s">
        <v>109</v>
      </c>
      <c r="D9" s="1" t="s">
        <v>110</v>
      </c>
      <c r="E9" s="1" t="s">
        <v>29</v>
      </c>
      <c r="F9" s="1" t="s">
        <v>124</v>
      </c>
    </row>
    <row r="10" spans="1:6" x14ac:dyDescent="0.35">
      <c r="A10" s="1" t="s">
        <v>125</v>
      </c>
      <c r="B10" s="1" t="s">
        <v>126</v>
      </c>
      <c r="C10" s="1" t="s">
        <v>111</v>
      </c>
      <c r="D10" s="1" t="s">
        <v>127</v>
      </c>
      <c r="E10" s="1" t="s">
        <v>78</v>
      </c>
      <c r="F10" s="1" t="s">
        <v>128</v>
      </c>
    </row>
    <row r="11" spans="1:6" x14ac:dyDescent="0.35">
      <c r="A11" s="1" t="s">
        <v>129</v>
      </c>
      <c r="B11" s="1" t="s">
        <v>130</v>
      </c>
      <c r="C11" s="1" t="s">
        <v>111</v>
      </c>
      <c r="D11" s="1" t="s">
        <v>127</v>
      </c>
      <c r="E11" s="1" t="s">
        <v>87</v>
      </c>
      <c r="F11" s="1" t="s">
        <v>124</v>
      </c>
    </row>
    <row r="12" spans="1:6" x14ac:dyDescent="0.35">
      <c r="A12" s="1" t="s">
        <v>131</v>
      </c>
      <c r="B12" s="1" t="s">
        <v>132</v>
      </c>
      <c r="C12" s="1" t="s">
        <v>133</v>
      </c>
      <c r="D12" s="1" t="s">
        <v>112</v>
      </c>
      <c r="E12" s="1" t="s">
        <v>39</v>
      </c>
      <c r="F12" s="1" t="s">
        <v>134</v>
      </c>
    </row>
    <row r="13" spans="1:6" x14ac:dyDescent="0.35">
      <c r="A13" s="1" t="s">
        <v>135</v>
      </c>
      <c r="B13" s="1" t="s">
        <v>136</v>
      </c>
      <c r="C13" s="1" t="s">
        <v>137</v>
      </c>
      <c r="D13" s="1" t="s">
        <v>138</v>
      </c>
      <c r="E13" s="1" t="s">
        <v>21</v>
      </c>
      <c r="F13" s="1" t="s">
        <v>128</v>
      </c>
    </row>
    <row r="14" spans="1:6" x14ac:dyDescent="0.35">
      <c r="A14" s="1" t="s">
        <v>139</v>
      </c>
      <c r="B14" s="1" t="s">
        <v>140</v>
      </c>
      <c r="C14" s="1" t="s">
        <v>141</v>
      </c>
      <c r="D14" s="1" t="s">
        <v>142</v>
      </c>
      <c r="E14" s="1" t="s">
        <v>73</v>
      </c>
      <c r="F14" s="1" t="s">
        <v>143</v>
      </c>
    </row>
    <row r="15" spans="1:6" x14ac:dyDescent="0.35">
      <c r="A15" s="1" t="s">
        <v>144</v>
      </c>
      <c r="B15" s="1" t="s">
        <v>145</v>
      </c>
      <c r="C15" s="1" t="s">
        <v>111</v>
      </c>
      <c r="D15" s="1" t="s">
        <v>117</v>
      </c>
      <c r="E15" s="1" t="s">
        <v>87</v>
      </c>
      <c r="F15" s="1" t="s">
        <v>146</v>
      </c>
    </row>
    <row r="16" spans="1:6" x14ac:dyDescent="0.35">
      <c r="A16" s="1" t="s">
        <v>147</v>
      </c>
      <c r="B16" s="1" t="s">
        <v>148</v>
      </c>
      <c r="C16" s="1" t="s">
        <v>149</v>
      </c>
      <c r="D16" s="1" t="s">
        <v>138</v>
      </c>
      <c r="E16" s="1" t="s">
        <v>35</v>
      </c>
      <c r="F16" s="1" t="s">
        <v>150</v>
      </c>
    </row>
    <row r="17" spans="1:6" x14ac:dyDescent="0.35">
      <c r="A17" s="1" t="s">
        <v>151</v>
      </c>
      <c r="B17" s="1" t="s">
        <v>152</v>
      </c>
      <c r="C17" s="1" t="s">
        <v>109</v>
      </c>
      <c r="D17" s="1" t="s">
        <v>153</v>
      </c>
      <c r="E17" s="1" t="s">
        <v>51</v>
      </c>
      <c r="F17" s="1" t="s">
        <v>124</v>
      </c>
    </row>
    <row r="18" spans="1:6" x14ac:dyDescent="0.35">
      <c r="A18" s="1" t="s">
        <v>154</v>
      </c>
      <c r="B18" s="1" t="s">
        <v>155</v>
      </c>
      <c r="C18" s="1" t="s">
        <v>113</v>
      </c>
      <c r="D18" s="1" t="s">
        <v>156</v>
      </c>
      <c r="E18" s="1" t="s">
        <v>87</v>
      </c>
      <c r="F18" s="1" t="s">
        <v>157</v>
      </c>
    </row>
    <row r="19" spans="1:6" x14ac:dyDescent="0.35">
      <c r="A19" s="1" t="s">
        <v>158</v>
      </c>
      <c r="B19" s="1" t="s">
        <v>159</v>
      </c>
      <c r="C19" s="1" t="s">
        <v>106</v>
      </c>
      <c r="D19" s="1" t="s">
        <v>107</v>
      </c>
      <c r="E19" s="1" t="s">
        <v>82</v>
      </c>
      <c r="F19" s="1" t="s">
        <v>121</v>
      </c>
    </row>
    <row r="20" spans="1:6" x14ac:dyDescent="0.35">
      <c r="A20" s="1" t="s">
        <v>160</v>
      </c>
      <c r="B20" s="1" t="s">
        <v>161</v>
      </c>
      <c r="C20" s="1" t="s">
        <v>106</v>
      </c>
      <c r="D20" s="1" t="s">
        <v>156</v>
      </c>
      <c r="E20" s="1" t="s">
        <v>78</v>
      </c>
      <c r="F20" s="1" t="s">
        <v>124</v>
      </c>
    </row>
    <row r="21" spans="1:6" x14ac:dyDescent="0.35">
      <c r="A21" s="1" t="s">
        <v>162</v>
      </c>
      <c r="B21" s="1" t="s">
        <v>163</v>
      </c>
      <c r="C21" s="1" t="s">
        <v>164</v>
      </c>
      <c r="D21" s="1" t="s">
        <v>165</v>
      </c>
      <c r="E21" s="1" t="s">
        <v>39</v>
      </c>
      <c r="F21" s="1" t="s">
        <v>128</v>
      </c>
    </row>
    <row r="22" spans="1:6" x14ac:dyDescent="0.35">
      <c r="A22" s="1" t="s">
        <v>166</v>
      </c>
      <c r="B22" s="1" t="s">
        <v>167</v>
      </c>
      <c r="C22" s="1" t="s">
        <v>168</v>
      </c>
      <c r="D22" s="1" t="s">
        <v>153</v>
      </c>
      <c r="E22" s="1" t="s">
        <v>39</v>
      </c>
      <c r="F22" s="1" t="s">
        <v>124</v>
      </c>
    </row>
    <row r="23" spans="1:6" x14ac:dyDescent="0.35">
      <c r="A23" s="1" t="s">
        <v>169</v>
      </c>
      <c r="B23" s="1" t="s">
        <v>170</v>
      </c>
      <c r="C23" s="1" t="s">
        <v>168</v>
      </c>
      <c r="D23" s="1" t="s">
        <v>153</v>
      </c>
      <c r="E23" s="1" t="s">
        <v>87</v>
      </c>
      <c r="F23" s="1" t="s">
        <v>171</v>
      </c>
    </row>
    <row r="24" spans="1:6" x14ac:dyDescent="0.35">
      <c r="A24" s="1" t="s">
        <v>169</v>
      </c>
      <c r="B24" s="1" t="s">
        <v>170</v>
      </c>
      <c r="C24" s="1" t="s">
        <v>172</v>
      </c>
      <c r="D24" s="1" t="s">
        <v>153</v>
      </c>
      <c r="E24" s="1" t="s">
        <v>87</v>
      </c>
      <c r="F24" s="1" t="s">
        <v>171</v>
      </c>
    </row>
    <row r="25" spans="1:6" x14ac:dyDescent="0.35">
      <c r="A25" s="1" t="s">
        <v>169</v>
      </c>
      <c r="B25" s="1" t="s">
        <v>170</v>
      </c>
      <c r="C25" s="1" t="s">
        <v>173</v>
      </c>
      <c r="D25" s="1" t="s">
        <v>153</v>
      </c>
      <c r="E25" s="1" t="s">
        <v>87</v>
      </c>
      <c r="F25" s="1" t="s">
        <v>171</v>
      </c>
    </row>
    <row r="26" spans="1:6" x14ac:dyDescent="0.35">
      <c r="A26" s="1" t="s">
        <v>169</v>
      </c>
      <c r="B26" s="1" t="s">
        <v>170</v>
      </c>
      <c r="C26" s="1" t="s">
        <v>111</v>
      </c>
      <c r="D26" s="1" t="s">
        <v>153</v>
      </c>
      <c r="E26" s="1" t="s">
        <v>87</v>
      </c>
      <c r="F26" s="1" t="s">
        <v>171</v>
      </c>
    </row>
    <row r="27" spans="1:6" x14ac:dyDescent="0.35">
      <c r="A27" s="1" t="s">
        <v>174</v>
      </c>
      <c r="B27" s="1" t="s">
        <v>175</v>
      </c>
      <c r="C27" s="1" t="s">
        <v>176</v>
      </c>
      <c r="D27" s="1" t="s">
        <v>127</v>
      </c>
      <c r="E27" s="1" t="s">
        <v>82</v>
      </c>
      <c r="F27" s="1" t="s">
        <v>121</v>
      </c>
    </row>
    <row r="28" spans="1:6" x14ac:dyDescent="0.35">
      <c r="A28" s="1" t="s">
        <v>177</v>
      </c>
      <c r="B28" s="1" t="s">
        <v>178</v>
      </c>
      <c r="C28" s="1" t="s">
        <v>141</v>
      </c>
      <c r="D28" s="1" t="s">
        <v>117</v>
      </c>
      <c r="E28" s="1" t="s">
        <v>29</v>
      </c>
      <c r="F28" s="1" t="s">
        <v>124</v>
      </c>
    </row>
    <row r="29" spans="1:6" x14ac:dyDescent="0.35">
      <c r="A29" s="1" t="s">
        <v>179</v>
      </c>
      <c r="B29" s="1" t="s">
        <v>180</v>
      </c>
      <c r="C29" s="1" t="s">
        <v>116</v>
      </c>
      <c r="D29" s="1" t="s">
        <v>142</v>
      </c>
      <c r="E29" s="1" t="s">
        <v>63</v>
      </c>
      <c r="F29" s="1" t="s">
        <v>124</v>
      </c>
    </row>
    <row r="30" spans="1:6" x14ac:dyDescent="0.35">
      <c r="A30" s="1" t="s">
        <v>181</v>
      </c>
      <c r="B30" s="1" t="s">
        <v>182</v>
      </c>
      <c r="C30" s="1" t="s">
        <v>133</v>
      </c>
      <c r="D30" s="1" t="s">
        <v>183</v>
      </c>
      <c r="E30" s="1" t="s">
        <v>21</v>
      </c>
      <c r="F30" s="1" t="s">
        <v>121</v>
      </c>
    </row>
    <row r="31" spans="1:6" x14ac:dyDescent="0.35">
      <c r="A31" s="1" t="s">
        <v>184</v>
      </c>
      <c r="B31" s="1" t="s">
        <v>185</v>
      </c>
      <c r="C31" s="1" t="s">
        <v>137</v>
      </c>
      <c r="D31" s="1" t="s">
        <v>112</v>
      </c>
      <c r="E31" s="1" t="s">
        <v>82</v>
      </c>
      <c r="F31" s="1" t="s">
        <v>157</v>
      </c>
    </row>
    <row r="32" spans="1:6" x14ac:dyDescent="0.35">
      <c r="A32" s="1" t="s">
        <v>186</v>
      </c>
      <c r="B32" s="1" t="s">
        <v>187</v>
      </c>
      <c r="C32" s="1" t="s">
        <v>188</v>
      </c>
      <c r="D32" s="1" t="s">
        <v>165</v>
      </c>
      <c r="E32" s="1" t="s">
        <v>8</v>
      </c>
      <c r="F32" s="1" t="s">
        <v>128</v>
      </c>
    </row>
    <row r="33" spans="1:6" x14ac:dyDescent="0.35">
      <c r="A33" s="1" t="s">
        <v>189</v>
      </c>
      <c r="B33" s="1" t="s">
        <v>190</v>
      </c>
      <c r="C33" s="1" t="s">
        <v>191</v>
      </c>
      <c r="D33" s="1" t="s">
        <v>192</v>
      </c>
      <c r="E33" s="1" t="s">
        <v>63</v>
      </c>
      <c r="F33" s="1" t="s">
        <v>171</v>
      </c>
    </row>
    <row r="34" spans="1:6" x14ac:dyDescent="0.35">
      <c r="A34" s="1" t="s">
        <v>28</v>
      </c>
      <c r="B34" s="1" t="s">
        <v>28</v>
      </c>
      <c r="C34" s="1" t="s">
        <v>28</v>
      </c>
      <c r="D34" s="1" t="s">
        <v>28</v>
      </c>
      <c r="E34" s="1" t="s">
        <v>28</v>
      </c>
      <c r="F34" s="1" t="s">
        <v>28</v>
      </c>
    </row>
    <row r="35" spans="1:6" x14ac:dyDescent="0.35">
      <c r="A35" s="1" t="s">
        <v>28</v>
      </c>
      <c r="B35" s="1" t="s">
        <v>28</v>
      </c>
      <c r="C35" s="1" t="s">
        <v>28</v>
      </c>
      <c r="D35" s="1" t="s">
        <v>28</v>
      </c>
      <c r="E35" s="1" t="s">
        <v>28</v>
      </c>
      <c r="F35" s="1" t="s">
        <v>28</v>
      </c>
    </row>
    <row r="36" spans="1:6" x14ac:dyDescent="0.35">
      <c r="A36" s="1" t="s">
        <v>193</v>
      </c>
      <c r="B36" s="1" t="s">
        <v>194</v>
      </c>
      <c r="C36" s="1" t="s">
        <v>172</v>
      </c>
      <c r="D36" s="1" t="s">
        <v>107</v>
      </c>
      <c r="E36" s="1" t="s">
        <v>82</v>
      </c>
      <c r="F36" s="1" t="s">
        <v>171</v>
      </c>
    </row>
    <row r="37" spans="1:6" x14ac:dyDescent="0.35">
      <c r="A37" s="1" t="s">
        <v>195</v>
      </c>
      <c r="B37" s="1" t="s">
        <v>196</v>
      </c>
      <c r="C37" s="1" t="s">
        <v>197</v>
      </c>
      <c r="D37" s="1" t="s">
        <v>117</v>
      </c>
      <c r="E37" s="1" t="s">
        <v>73</v>
      </c>
      <c r="F37" s="1" t="s">
        <v>171</v>
      </c>
    </row>
    <row r="38" spans="1:6" x14ac:dyDescent="0.35">
      <c r="A38" s="1" t="s">
        <v>198</v>
      </c>
      <c r="B38" s="1" t="s">
        <v>199</v>
      </c>
      <c r="C38" s="1" t="s">
        <v>106</v>
      </c>
      <c r="D38" s="1" t="s">
        <v>156</v>
      </c>
      <c r="E38" s="1" t="s">
        <v>63</v>
      </c>
      <c r="F38" s="1" t="s">
        <v>157</v>
      </c>
    </row>
    <row r="39" spans="1:6" x14ac:dyDescent="0.35">
      <c r="A39" s="1" t="s">
        <v>200</v>
      </c>
      <c r="B39" s="1" t="s">
        <v>201</v>
      </c>
      <c r="C39" s="1" t="s">
        <v>191</v>
      </c>
      <c r="D39" s="1" t="s">
        <v>142</v>
      </c>
      <c r="E39" s="1" t="s">
        <v>73</v>
      </c>
      <c r="F39" s="1" t="s">
        <v>157</v>
      </c>
    </row>
    <row r="40" spans="1:6" x14ac:dyDescent="0.35">
      <c r="A40" s="1" t="s">
        <v>202</v>
      </c>
      <c r="B40" s="1" t="s">
        <v>203</v>
      </c>
      <c r="C40" s="1" t="s">
        <v>113</v>
      </c>
      <c r="D40" s="1" t="s">
        <v>204</v>
      </c>
      <c r="E40" s="1" t="s">
        <v>29</v>
      </c>
      <c r="F40" s="1" t="s">
        <v>124</v>
      </c>
    </row>
    <row r="41" spans="1:6" x14ac:dyDescent="0.35">
      <c r="A41" s="1" t="s">
        <v>205</v>
      </c>
      <c r="B41" s="1" t="s">
        <v>206</v>
      </c>
      <c r="C41" s="1" t="s">
        <v>137</v>
      </c>
      <c r="D41" s="1" t="s">
        <v>142</v>
      </c>
      <c r="E41" s="1" t="s">
        <v>73</v>
      </c>
      <c r="F41" s="1" t="s">
        <v>124</v>
      </c>
    </row>
    <row r="42" spans="1:6" x14ac:dyDescent="0.35">
      <c r="A42" s="1" t="s">
        <v>207</v>
      </c>
      <c r="B42" s="1" t="s">
        <v>208</v>
      </c>
      <c r="C42" s="1" t="s">
        <v>176</v>
      </c>
      <c r="D42" s="1" t="s">
        <v>156</v>
      </c>
      <c r="E42" s="1" t="s">
        <v>78</v>
      </c>
      <c r="F42" s="1" t="s">
        <v>157</v>
      </c>
    </row>
    <row r="43" spans="1:6" x14ac:dyDescent="0.35">
      <c r="A43" s="1" t="s">
        <v>209</v>
      </c>
      <c r="B43" s="1" t="s">
        <v>210</v>
      </c>
      <c r="C43" s="1" t="s">
        <v>111</v>
      </c>
      <c r="D43" s="1" t="s">
        <v>138</v>
      </c>
      <c r="E43" s="1" t="s">
        <v>57</v>
      </c>
      <c r="F43" s="1" t="s">
        <v>211</v>
      </c>
    </row>
    <row r="44" spans="1:6" x14ac:dyDescent="0.35">
      <c r="A44" s="1" t="s">
        <v>212</v>
      </c>
      <c r="B44" s="1" t="s">
        <v>213</v>
      </c>
      <c r="C44" s="1" t="s">
        <v>133</v>
      </c>
      <c r="D44" s="1" t="s">
        <v>214</v>
      </c>
      <c r="E44" s="1" t="s">
        <v>15</v>
      </c>
      <c r="F44" s="1" t="s">
        <v>157</v>
      </c>
    </row>
    <row r="45" spans="1:6" x14ac:dyDescent="0.35">
      <c r="A45" s="1" t="s">
        <v>215</v>
      </c>
      <c r="B45" s="1" t="s">
        <v>216</v>
      </c>
      <c r="C45" s="1" t="s">
        <v>173</v>
      </c>
      <c r="D45" s="1" t="s">
        <v>28</v>
      </c>
      <c r="E45" s="1" t="s">
        <v>73</v>
      </c>
      <c r="F45" s="1" t="s">
        <v>143</v>
      </c>
    </row>
    <row r="46" spans="1:6" x14ac:dyDescent="0.35">
      <c r="A46" s="1" t="s">
        <v>217</v>
      </c>
      <c r="B46" s="1" t="s">
        <v>218</v>
      </c>
      <c r="C46" s="1" t="s">
        <v>149</v>
      </c>
      <c r="D46" s="1" t="s">
        <v>214</v>
      </c>
      <c r="E46" s="1" t="s">
        <v>45</v>
      </c>
      <c r="F46" s="1" t="s">
        <v>157</v>
      </c>
    </row>
    <row r="47" spans="1:6" x14ac:dyDescent="0.35">
      <c r="A47" s="1" t="s">
        <v>219</v>
      </c>
      <c r="B47" s="1" t="s">
        <v>220</v>
      </c>
      <c r="C47" s="1" t="s">
        <v>197</v>
      </c>
      <c r="D47" s="1" t="s">
        <v>153</v>
      </c>
      <c r="E47" s="1" t="s">
        <v>8</v>
      </c>
      <c r="F47" s="1" t="s">
        <v>171</v>
      </c>
    </row>
    <row r="48" spans="1:6" x14ac:dyDescent="0.35">
      <c r="A48" s="1" t="s">
        <v>221</v>
      </c>
      <c r="B48" s="1" t="s">
        <v>222</v>
      </c>
      <c r="C48" s="1" t="s">
        <v>111</v>
      </c>
      <c r="D48" s="1" t="s">
        <v>192</v>
      </c>
      <c r="E48" s="1" t="s">
        <v>57</v>
      </c>
      <c r="F48" s="1" t="s">
        <v>128</v>
      </c>
    </row>
    <row r="49" spans="1:6" x14ac:dyDescent="0.35">
      <c r="A49" s="1" t="s">
        <v>223</v>
      </c>
      <c r="B49" s="1" t="s">
        <v>224</v>
      </c>
      <c r="C49" s="1" t="s">
        <v>113</v>
      </c>
      <c r="D49" s="1" t="s">
        <v>156</v>
      </c>
      <c r="E49" s="1" t="s">
        <v>57</v>
      </c>
      <c r="F49" s="1" t="s">
        <v>128</v>
      </c>
    </row>
    <row r="50" spans="1:6" x14ac:dyDescent="0.35">
      <c r="A50" s="1" t="s">
        <v>225</v>
      </c>
      <c r="B50" s="1" t="s">
        <v>226</v>
      </c>
      <c r="C50" s="1" t="s">
        <v>191</v>
      </c>
      <c r="D50" s="1" t="s">
        <v>204</v>
      </c>
      <c r="E50" s="1" t="s">
        <v>15</v>
      </c>
      <c r="F50" s="1" t="s">
        <v>227</v>
      </c>
    </row>
    <row r="51" spans="1:6" x14ac:dyDescent="0.35">
      <c r="A51" s="1" t="s">
        <v>228</v>
      </c>
      <c r="B51" s="1" t="s">
        <v>229</v>
      </c>
      <c r="C51" s="1" t="s">
        <v>116</v>
      </c>
      <c r="D51" s="1" t="s">
        <v>107</v>
      </c>
      <c r="E51" s="1" t="s">
        <v>82</v>
      </c>
      <c r="F51" s="1" t="s">
        <v>150</v>
      </c>
    </row>
    <row r="52" spans="1:6" x14ac:dyDescent="0.35">
      <c r="A52" s="1" t="s">
        <v>230</v>
      </c>
      <c r="B52" s="1" t="s">
        <v>231</v>
      </c>
      <c r="C52" s="1" t="s">
        <v>141</v>
      </c>
      <c r="D52" s="1" t="s">
        <v>153</v>
      </c>
      <c r="E52" s="1" t="s">
        <v>78</v>
      </c>
      <c r="F52" s="1" t="s">
        <v>128</v>
      </c>
    </row>
    <row r="53" spans="1:6" x14ac:dyDescent="0.35">
      <c r="A53" s="1" t="s">
        <v>232</v>
      </c>
      <c r="B53" s="1" t="s">
        <v>233</v>
      </c>
      <c r="C53" s="1" t="s">
        <v>133</v>
      </c>
      <c r="D53" s="1" t="s">
        <v>192</v>
      </c>
      <c r="E53" s="1" t="s">
        <v>35</v>
      </c>
      <c r="F53" s="1" t="s">
        <v>143</v>
      </c>
    </row>
    <row r="54" spans="1:6" x14ac:dyDescent="0.35">
      <c r="A54" s="1" t="s">
        <v>234</v>
      </c>
      <c r="B54" s="1" t="s">
        <v>235</v>
      </c>
      <c r="C54" s="1" t="s">
        <v>137</v>
      </c>
      <c r="D54" s="1" t="s">
        <v>156</v>
      </c>
      <c r="E54" s="1" t="s">
        <v>82</v>
      </c>
      <c r="F54" s="1" t="s">
        <v>157</v>
      </c>
    </row>
    <row r="55" spans="1:6" x14ac:dyDescent="0.35">
      <c r="A55" s="1" t="s">
        <v>236</v>
      </c>
      <c r="B55" s="1" t="s">
        <v>237</v>
      </c>
      <c r="C55" s="1" t="s">
        <v>172</v>
      </c>
      <c r="D55" s="1" t="s">
        <v>156</v>
      </c>
      <c r="E55" s="1" t="s">
        <v>15</v>
      </c>
      <c r="F55" s="1" t="s">
        <v>124</v>
      </c>
    </row>
    <row r="56" spans="1:6" x14ac:dyDescent="0.35">
      <c r="A56" s="1" t="s">
        <v>238</v>
      </c>
      <c r="B56" s="1" t="s">
        <v>239</v>
      </c>
      <c r="C56" s="1" t="s">
        <v>137</v>
      </c>
      <c r="D56" s="1" t="s">
        <v>107</v>
      </c>
      <c r="E56" s="1" t="s">
        <v>29</v>
      </c>
      <c r="F56" s="1" t="s">
        <v>124</v>
      </c>
    </row>
    <row r="57" spans="1:6" x14ac:dyDescent="0.35">
      <c r="A57" s="1" t="s">
        <v>238</v>
      </c>
      <c r="B57" s="1" t="s">
        <v>239</v>
      </c>
      <c r="C57" s="1" t="s">
        <v>240</v>
      </c>
      <c r="D57" s="1" t="s">
        <v>107</v>
      </c>
      <c r="E57" s="1" t="s">
        <v>29</v>
      </c>
      <c r="F57" s="1" t="s">
        <v>124</v>
      </c>
    </row>
    <row r="58" spans="1:6" x14ac:dyDescent="0.35">
      <c r="A58" s="1" t="s">
        <v>241</v>
      </c>
      <c r="B58" s="1" t="s">
        <v>242</v>
      </c>
      <c r="C58" s="1" t="s">
        <v>173</v>
      </c>
      <c r="D58" s="1" t="s">
        <v>243</v>
      </c>
      <c r="E58" s="1" t="s">
        <v>82</v>
      </c>
      <c r="F58" s="1" t="s">
        <v>143</v>
      </c>
    </row>
    <row r="59" spans="1:6" x14ac:dyDescent="0.35">
      <c r="A59" s="1" t="s">
        <v>244</v>
      </c>
      <c r="B59" s="1" t="s">
        <v>245</v>
      </c>
      <c r="C59" s="1" t="s">
        <v>164</v>
      </c>
      <c r="D59" s="1" t="s">
        <v>112</v>
      </c>
      <c r="E59" s="1" t="s">
        <v>73</v>
      </c>
      <c r="F59" s="1" t="s">
        <v>150</v>
      </c>
    </row>
    <row r="60" spans="1:6" x14ac:dyDescent="0.35">
      <c r="A60" s="1" t="s">
        <v>246</v>
      </c>
      <c r="B60" s="1" t="s">
        <v>247</v>
      </c>
      <c r="C60" s="1" t="s">
        <v>248</v>
      </c>
      <c r="D60" s="1" t="s">
        <v>117</v>
      </c>
      <c r="E60" s="1" t="s">
        <v>39</v>
      </c>
      <c r="F60" s="1" t="s">
        <v>171</v>
      </c>
    </row>
    <row r="61" spans="1:6" x14ac:dyDescent="0.35">
      <c r="A61" s="1" t="s">
        <v>249</v>
      </c>
      <c r="B61" s="1" t="s">
        <v>250</v>
      </c>
      <c r="C61" s="1" t="s">
        <v>191</v>
      </c>
      <c r="D61" s="1" t="s">
        <v>243</v>
      </c>
      <c r="E61" s="1" t="s">
        <v>87</v>
      </c>
      <c r="F61" s="1" t="s">
        <v>171</v>
      </c>
    </row>
    <row r="62" spans="1:6" x14ac:dyDescent="0.35">
      <c r="A62" s="1" t="s">
        <v>251</v>
      </c>
      <c r="B62" s="1" t="s">
        <v>210</v>
      </c>
      <c r="C62" s="1" t="s">
        <v>137</v>
      </c>
      <c r="D62" s="1" t="s">
        <v>165</v>
      </c>
      <c r="E62" s="1" t="s">
        <v>73</v>
      </c>
      <c r="F62" s="1" t="s">
        <v>252</v>
      </c>
    </row>
    <row r="63" spans="1:6" x14ac:dyDescent="0.35">
      <c r="A63" s="1" t="s">
        <v>253</v>
      </c>
      <c r="B63" s="1" t="s">
        <v>254</v>
      </c>
      <c r="C63" s="1" t="s">
        <v>109</v>
      </c>
      <c r="D63" s="1" t="s">
        <v>243</v>
      </c>
      <c r="E63" s="1" t="s">
        <v>82</v>
      </c>
      <c r="F63" s="1" t="s">
        <v>121</v>
      </c>
    </row>
    <row r="64" spans="1:6" x14ac:dyDescent="0.35">
      <c r="A64" s="1" t="s">
        <v>255</v>
      </c>
      <c r="B64" s="1" t="s">
        <v>256</v>
      </c>
      <c r="C64" s="1" t="s">
        <v>141</v>
      </c>
      <c r="D64" s="1" t="s">
        <v>107</v>
      </c>
      <c r="E64" s="1" t="s">
        <v>78</v>
      </c>
      <c r="F64" s="1" t="s">
        <v>121</v>
      </c>
    </row>
    <row r="65" spans="1:6" x14ac:dyDescent="0.35">
      <c r="A65" s="1" t="s">
        <v>257</v>
      </c>
      <c r="B65" s="1" t="s">
        <v>258</v>
      </c>
      <c r="C65" s="1" t="s">
        <v>116</v>
      </c>
      <c r="D65" s="1" t="s">
        <v>107</v>
      </c>
      <c r="E65" s="1" t="s">
        <v>29</v>
      </c>
      <c r="F65" s="1" t="s">
        <v>121</v>
      </c>
    </row>
    <row r="66" spans="1:6" x14ac:dyDescent="0.35">
      <c r="A66" s="1" t="s">
        <v>259</v>
      </c>
      <c r="B66" s="1" t="s">
        <v>260</v>
      </c>
      <c r="C66" s="1" t="s">
        <v>137</v>
      </c>
      <c r="D66" s="1" t="s">
        <v>214</v>
      </c>
      <c r="E66" s="1" t="s">
        <v>39</v>
      </c>
      <c r="F66" s="1" t="s">
        <v>261</v>
      </c>
    </row>
    <row r="67" spans="1:6" x14ac:dyDescent="0.35">
      <c r="A67" s="1" t="s">
        <v>262</v>
      </c>
      <c r="B67" s="1" t="s">
        <v>263</v>
      </c>
      <c r="C67" s="1" t="s">
        <v>240</v>
      </c>
      <c r="D67" s="1" t="s">
        <v>138</v>
      </c>
      <c r="E67" s="1" t="s">
        <v>8</v>
      </c>
      <c r="F67" s="1" t="s">
        <v>128</v>
      </c>
    </row>
    <row r="68" spans="1:6" x14ac:dyDescent="0.35">
      <c r="A68" s="1" t="s">
        <v>264</v>
      </c>
      <c r="B68" s="1" t="s">
        <v>265</v>
      </c>
      <c r="C68" s="1" t="s">
        <v>137</v>
      </c>
      <c r="D68" s="1" t="s">
        <v>192</v>
      </c>
      <c r="E68" s="1" t="s">
        <v>45</v>
      </c>
      <c r="F68" s="1" t="s">
        <v>124</v>
      </c>
    </row>
    <row r="69" spans="1:6" x14ac:dyDescent="0.35">
      <c r="A69" s="1" t="s">
        <v>266</v>
      </c>
      <c r="B69" s="1" t="s">
        <v>267</v>
      </c>
      <c r="C69" s="1" t="s">
        <v>197</v>
      </c>
      <c r="D69" s="1" t="s">
        <v>192</v>
      </c>
      <c r="E69" s="1" t="s">
        <v>51</v>
      </c>
      <c r="F69" s="1" t="s">
        <v>157</v>
      </c>
    </row>
    <row r="70" spans="1:6" x14ac:dyDescent="0.35">
      <c r="A70" s="1" t="s">
        <v>268</v>
      </c>
      <c r="B70" s="1" t="s">
        <v>269</v>
      </c>
      <c r="C70" s="1" t="s">
        <v>164</v>
      </c>
      <c r="D70" s="1" t="s">
        <v>153</v>
      </c>
      <c r="E70" s="1" t="s">
        <v>8</v>
      </c>
      <c r="F70" s="1" t="s">
        <v>171</v>
      </c>
    </row>
    <row r="71" spans="1:6" x14ac:dyDescent="0.35">
      <c r="A71" s="1" t="s">
        <v>270</v>
      </c>
      <c r="B71" s="1" t="s">
        <v>271</v>
      </c>
      <c r="C71" s="1" t="s">
        <v>272</v>
      </c>
      <c r="D71" s="1" t="s">
        <v>112</v>
      </c>
      <c r="E71" s="1" t="s">
        <v>45</v>
      </c>
      <c r="F71" s="1" t="s">
        <v>171</v>
      </c>
    </row>
    <row r="72" spans="1:6" x14ac:dyDescent="0.35">
      <c r="A72" s="1" t="s">
        <v>273</v>
      </c>
      <c r="B72" s="1" t="s">
        <v>274</v>
      </c>
      <c r="C72" s="1" t="s">
        <v>188</v>
      </c>
      <c r="D72" s="1" t="s">
        <v>165</v>
      </c>
      <c r="E72" s="1" t="s">
        <v>78</v>
      </c>
      <c r="F72" s="1" t="s">
        <v>275</v>
      </c>
    </row>
    <row r="73" spans="1:6" x14ac:dyDescent="0.35">
      <c r="A73" s="1" t="s">
        <v>276</v>
      </c>
      <c r="B73" s="1" t="s">
        <v>277</v>
      </c>
      <c r="C73" s="1" t="s">
        <v>111</v>
      </c>
      <c r="D73" s="1" t="s">
        <v>107</v>
      </c>
      <c r="E73" s="1" t="s">
        <v>73</v>
      </c>
      <c r="F73" s="1" t="s">
        <v>171</v>
      </c>
    </row>
    <row r="74" spans="1:6" x14ac:dyDescent="0.35">
      <c r="A74" s="1" t="s">
        <v>278</v>
      </c>
      <c r="B74" s="1" t="s">
        <v>279</v>
      </c>
      <c r="C74" s="1" t="s">
        <v>176</v>
      </c>
      <c r="D74" s="1" t="s">
        <v>204</v>
      </c>
      <c r="E74" s="1" t="s">
        <v>21</v>
      </c>
      <c r="F74" s="1" t="s">
        <v>121</v>
      </c>
    </row>
    <row r="75" spans="1:6" x14ac:dyDescent="0.35">
      <c r="A75" s="1" t="s">
        <v>278</v>
      </c>
      <c r="B75" s="1" t="s">
        <v>279</v>
      </c>
      <c r="C75" s="1" t="s">
        <v>164</v>
      </c>
      <c r="D75" s="1" t="s">
        <v>204</v>
      </c>
      <c r="E75" s="1" t="s">
        <v>21</v>
      </c>
      <c r="F75" s="1" t="s">
        <v>121</v>
      </c>
    </row>
    <row r="76" spans="1:6" x14ac:dyDescent="0.35">
      <c r="A76" s="1" t="s">
        <v>278</v>
      </c>
      <c r="B76" s="1" t="s">
        <v>279</v>
      </c>
      <c r="C76" s="1" t="s">
        <v>248</v>
      </c>
      <c r="D76" s="1" t="s">
        <v>204</v>
      </c>
      <c r="E76" s="1" t="s">
        <v>21</v>
      </c>
      <c r="F76" s="1" t="s">
        <v>121</v>
      </c>
    </row>
    <row r="77" spans="1:6" x14ac:dyDescent="0.35">
      <c r="A77" s="1" t="s">
        <v>280</v>
      </c>
      <c r="B77" s="1" t="s">
        <v>281</v>
      </c>
      <c r="C77" s="1" t="s">
        <v>176</v>
      </c>
      <c r="D77" s="1" t="s">
        <v>243</v>
      </c>
      <c r="E77" s="1" t="s">
        <v>15</v>
      </c>
      <c r="F77" s="1" t="s">
        <v>143</v>
      </c>
    </row>
    <row r="78" spans="1:6" x14ac:dyDescent="0.35">
      <c r="A78" s="1" t="s">
        <v>282</v>
      </c>
      <c r="B78" s="1" t="s">
        <v>283</v>
      </c>
      <c r="C78" s="1" t="s">
        <v>197</v>
      </c>
      <c r="D78" s="1" t="s">
        <v>107</v>
      </c>
      <c r="E78" s="1" t="s">
        <v>78</v>
      </c>
      <c r="F78" s="1" t="s">
        <v>121</v>
      </c>
    </row>
    <row r="79" spans="1:6" x14ac:dyDescent="0.35">
      <c r="A79" s="1" t="s">
        <v>284</v>
      </c>
      <c r="B79" s="1" t="s">
        <v>285</v>
      </c>
      <c r="C79" s="1" t="s">
        <v>168</v>
      </c>
      <c r="D79" s="1" t="s">
        <v>214</v>
      </c>
      <c r="E79" s="1" t="s">
        <v>57</v>
      </c>
      <c r="F79" s="1" t="s">
        <v>211</v>
      </c>
    </row>
    <row r="80" spans="1:6" x14ac:dyDescent="0.35">
      <c r="A80" s="1" t="s">
        <v>286</v>
      </c>
      <c r="B80" s="1" t="s">
        <v>287</v>
      </c>
      <c r="C80" s="1" t="s">
        <v>106</v>
      </c>
      <c r="D80" s="1" t="s">
        <v>107</v>
      </c>
      <c r="E80" s="1" t="s">
        <v>73</v>
      </c>
      <c r="F80" s="1" t="s">
        <v>128</v>
      </c>
    </row>
    <row r="81" spans="1:6" x14ac:dyDescent="0.35">
      <c r="A81" s="1" t="s">
        <v>288</v>
      </c>
      <c r="B81" s="1" t="s">
        <v>289</v>
      </c>
      <c r="C81" s="1" t="s">
        <v>133</v>
      </c>
      <c r="D81" s="1" t="s">
        <v>214</v>
      </c>
      <c r="E81" s="1" t="s">
        <v>45</v>
      </c>
      <c r="F81" s="1" t="s">
        <v>124</v>
      </c>
    </row>
    <row r="82" spans="1:6" x14ac:dyDescent="0.35">
      <c r="A82" s="1" t="s">
        <v>290</v>
      </c>
      <c r="B82" s="1" t="s">
        <v>291</v>
      </c>
      <c r="C82" s="1" t="s">
        <v>168</v>
      </c>
      <c r="D82" s="1" t="s">
        <v>112</v>
      </c>
      <c r="E82" s="1" t="s">
        <v>35</v>
      </c>
      <c r="F82" s="1" t="s">
        <v>157</v>
      </c>
    </row>
    <row r="83" spans="1:6" x14ac:dyDescent="0.35">
      <c r="A83" s="1" t="s">
        <v>292</v>
      </c>
      <c r="B83" s="1" t="s">
        <v>293</v>
      </c>
      <c r="C83" s="1" t="s">
        <v>197</v>
      </c>
      <c r="D83" s="1" t="s">
        <v>127</v>
      </c>
      <c r="E83" s="1" t="s">
        <v>39</v>
      </c>
      <c r="F83" s="1" t="s">
        <v>121</v>
      </c>
    </row>
    <row r="84" spans="1:6" x14ac:dyDescent="0.35">
      <c r="A84" s="1" t="s">
        <v>294</v>
      </c>
      <c r="B84" s="1" t="s">
        <v>295</v>
      </c>
      <c r="C84" s="1" t="s">
        <v>176</v>
      </c>
      <c r="D84" s="1" t="s">
        <v>214</v>
      </c>
      <c r="E84" s="1" t="s">
        <v>87</v>
      </c>
      <c r="F84" s="1" t="s">
        <v>128</v>
      </c>
    </row>
    <row r="85" spans="1:6" x14ac:dyDescent="0.35">
      <c r="A85" s="1" t="s">
        <v>296</v>
      </c>
      <c r="B85" s="1" t="s">
        <v>297</v>
      </c>
      <c r="C85" s="1" t="s">
        <v>272</v>
      </c>
      <c r="D85" s="1" t="s">
        <v>117</v>
      </c>
      <c r="E85" s="1" t="s">
        <v>87</v>
      </c>
      <c r="F85" s="1" t="s">
        <v>124</v>
      </c>
    </row>
    <row r="86" spans="1:6" x14ac:dyDescent="0.35">
      <c r="A86" s="1" t="s">
        <v>298</v>
      </c>
      <c r="B86" s="1" t="s">
        <v>299</v>
      </c>
      <c r="C86" s="1" t="s">
        <v>111</v>
      </c>
      <c r="D86" s="1" t="s">
        <v>117</v>
      </c>
      <c r="E86" s="1" t="s">
        <v>51</v>
      </c>
      <c r="F86" s="1" t="s">
        <v>171</v>
      </c>
    </row>
    <row r="87" spans="1:6" x14ac:dyDescent="0.35">
      <c r="A87" s="1" t="s">
        <v>300</v>
      </c>
      <c r="B87" s="1" t="s">
        <v>301</v>
      </c>
      <c r="C87" s="1" t="s">
        <v>109</v>
      </c>
      <c r="D87" s="1" t="s">
        <v>142</v>
      </c>
      <c r="E87" s="1" t="s">
        <v>63</v>
      </c>
      <c r="F87" s="1" t="s">
        <v>128</v>
      </c>
    </row>
    <row r="88" spans="1:6" x14ac:dyDescent="0.35">
      <c r="A88" s="1" t="s">
        <v>302</v>
      </c>
      <c r="B88" s="1" t="s">
        <v>303</v>
      </c>
      <c r="C88" s="1" t="s">
        <v>106</v>
      </c>
      <c r="D88" s="1" t="s">
        <v>28</v>
      </c>
      <c r="E88" s="1" t="s">
        <v>45</v>
      </c>
      <c r="F88" s="1" t="s">
        <v>143</v>
      </c>
    </row>
    <row r="89" spans="1:6" x14ac:dyDescent="0.35">
      <c r="A89" s="1" t="s">
        <v>304</v>
      </c>
      <c r="B89" s="1" t="s">
        <v>305</v>
      </c>
      <c r="C89" s="1" t="s">
        <v>164</v>
      </c>
      <c r="D89" s="1" t="s">
        <v>142</v>
      </c>
      <c r="E89" s="1" t="s">
        <v>35</v>
      </c>
      <c r="F89" s="1" t="s">
        <v>157</v>
      </c>
    </row>
    <row r="90" spans="1:6" x14ac:dyDescent="0.35">
      <c r="A90" s="1" t="s">
        <v>306</v>
      </c>
      <c r="B90" s="1" t="s">
        <v>307</v>
      </c>
      <c r="C90" s="1" t="s">
        <v>191</v>
      </c>
      <c r="D90" s="1" t="s">
        <v>214</v>
      </c>
      <c r="E90" s="1" t="s">
        <v>51</v>
      </c>
      <c r="F90" s="1" t="s">
        <v>124</v>
      </c>
    </row>
    <row r="91" spans="1:6" x14ac:dyDescent="0.35">
      <c r="A91" s="1" t="s">
        <v>308</v>
      </c>
      <c r="B91" s="1" t="s">
        <v>309</v>
      </c>
      <c r="C91" s="1" t="s">
        <v>272</v>
      </c>
      <c r="D91" s="1" t="s">
        <v>156</v>
      </c>
      <c r="E91" s="1" t="s">
        <v>63</v>
      </c>
      <c r="F91" s="1" t="s">
        <v>108</v>
      </c>
    </row>
    <row r="92" spans="1:6" x14ac:dyDescent="0.35">
      <c r="A92" s="1" t="s">
        <v>310</v>
      </c>
      <c r="B92" s="1" t="s">
        <v>311</v>
      </c>
      <c r="C92" s="1" t="s">
        <v>113</v>
      </c>
      <c r="D92" s="1" t="s">
        <v>156</v>
      </c>
      <c r="E92" s="1" t="s">
        <v>8</v>
      </c>
      <c r="F92" s="1" t="s">
        <v>171</v>
      </c>
    </row>
    <row r="93" spans="1:6" x14ac:dyDescent="0.35">
      <c r="A93" s="1" t="s">
        <v>312</v>
      </c>
      <c r="B93" s="1" t="s">
        <v>313</v>
      </c>
      <c r="C93" s="1" t="s">
        <v>141</v>
      </c>
      <c r="D93" s="1" t="s">
        <v>142</v>
      </c>
      <c r="E93" s="1" t="s">
        <v>69</v>
      </c>
      <c r="F93" s="1" t="s">
        <v>314</v>
      </c>
    </row>
    <row r="94" spans="1:6" x14ac:dyDescent="0.35">
      <c r="A94" s="1" t="s">
        <v>315</v>
      </c>
      <c r="B94" s="1" t="s">
        <v>316</v>
      </c>
      <c r="C94" s="1" t="s">
        <v>240</v>
      </c>
      <c r="D94" s="1" t="s">
        <v>112</v>
      </c>
      <c r="E94" s="1" t="s">
        <v>35</v>
      </c>
      <c r="F94" s="1" t="s">
        <v>157</v>
      </c>
    </row>
    <row r="95" spans="1:6" x14ac:dyDescent="0.35">
      <c r="A95" s="1" t="s">
        <v>317</v>
      </c>
      <c r="B95" s="1" t="s">
        <v>318</v>
      </c>
      <c r="C95" s="1" t="s">
        <v>172</v>
      </c>
      <c r="D95" s="1" t="s">
        <v>192</v>
      </c>
      <c r="E95" s="1" t="s">
        <v>35</v>
      </c>
      <c r="F95" s="1" t="s">
        <v>171</v>
      </c>
    </row>
    <row r="96" spans="1:6" x14ac:dyDescent="0.35">
      <c r="A96" s="1" t="s">
        <v>319</v>
      </c>
      <c r="B96" s="1" t="s">
        <v>320</v>
      </c>
      <c r="C96" s="1" t="s">
        <v>191</v>
      </c>
      <c r="D96" s="1" t="s">
        <v>117</v>
      </c>
      <c r="E96" s="1" t="s">
        <v>57</v>
      </c>
      <c r="F96" s="1" t="s">
        <v>143</v>
      </c>
    </row>
    <row r="97" spans="1:6" x14ac:dyDescent="0.35">
      <c r="A97" s="1" t="s">
        <v>321</v>
      </c>
      <c r="B97" s="1" t="s">
        <v>322</v>
      </c>
      <c r="C97" s="1" t="s">
        <v>111</v>
      </c>
      <c r="D97" s="1" t="s">
        <v>183</v>
      </c>
      <c r="E97" s="1" t="s">
        <v>21</v>
      </c>
      <c r="F97" s="1" t="s">
        <v>227</v>
      </c>
    </row>
    <row r="98" spans="1:6" x14ac:dyDescent="0.35">
      <c r="A98" s="1" t="s">
        <v>323</v>
      </c>
      <c r="B98" s="1" t="s">
        <v>324</v>
      </c>
      <c r="C98" s="1" t="s">
        <v>240</v>
      </c>
      <c r="D98" s="1" t="s">
        <v>110</v>
      </c>
      <c r="E98" s="1" t="s">
        <v>15</v>
      </c>
      <c r="F98" s="1" t="s">
        <v>171</v>
      </c>
    </row>
    <row r="99" spans="1:6" x14ac:dyDescent="0.35">
      <c r="A99" s="1" t="s">
        <v>325</v>
      </c>
      <c r="B99" s="1" t="s">
        <v>326</v>
      </c>
      <c r="C99" s="1" t="s">
        <v>141</v>
      </c>
      <c r="D99" s="1" t="s">
        <v>165</v>
      </c>
      <c r="E99" s="1" t="s">
        <v>8</v>
      </c>
      <c r="F99" s="1" t="s">
        <v>227</v>
      </c>
    </row>
    <row r="100" spans="1:6" x14ac:dyDescent="0.35">
      <c r="A100" s="1" t="s">
        <v>327</v>
      </c>
      <c r="B100" s="1" t="s">
        <v>328</v>
      </c>
      <c r="C100" s="1" t="s">
        <v>188</v>
      </c>
      <c r="D100" s="1" t="s">
        <v>138</v>
      </c>
      <c r="E100" s="1" t="s">
        <v>21</v>
      </c>
      <c r="F100" s="1" t="s">
        <v>171</v>
      </c>
    </row>
    <row r="101" spans="1:6" x14ac:dyDescent="0.35">
      <c r="A101" s="1" t="s">
        <v>329</v>
      </c>
      <c r="B101" s="1" t="s">
        <v>330</v>
      </c>
      <c r="C101" s="1" t="s">
        <v>172</v>
      </c>
      <c r="D101" s="1" t="s">
        <v>142</v>
      </c>
      <c r="E101" s="1" t="s">
        <v>78</v>
      </c>
      <c r="F101" s="1" t="s">
        <v>171</v>
      </c>
    </row>
    <row r="102" spans="1:6" x14ac:dyDescent="0.35">
      <c r="A102" s="1" t="s">
        <v>331</v>
      </c>
      <c r="B102" s="1" t="s">
        <v>332</v>
      </c>
      <c r="C102" s="1" t="s">
        <v>191</v>
      </c>
      <c r="D102" s="1" t="s">
        <v>28</v>
      </c>
      <c r="E102" s="1" t="s">
        <v>57</v>
      </c>
      <c r="F102" s="1" t="s">
        <v>121</v>
      </c>
    </row>
    <row r="103" spans="1:6" x14ac:dyDescent="0.35">
      <c r="A103" s="1" t="s">
        <v>333</v>
      </c>
      <c r="B103" s="1" t="s">
        <v>334</v>
      </c>
      <c r="C103" s="1" t="s">
        <v>188</v>
      </c>
      <c r="D103" s="1" t="s">
        <v>127</v>
      </c>
      <c r="E103" s="1" t="s">
        <v>21</v>
      </c>
      <c r="F103" s="1" t="s">
        <v>124</v>
      </c>
    </row>
    <row r="104" spans="1:6" x14ac:dyDescent="0.35">
      <c r="A104" s="1" t="s">
        <v>335</v>
      </c>
      <c r="B104" s="1" t="s">
        <v>336</v>
      </c>
      <c r="C104" s="1" t="s">
        <v>172</v>
      </c>
      <c r="D104" s="1" t="s">
        <v>243</v>
      </c>
      <c r="E104" s="1" t="s">
        <v>57</v>
      </c>
      <c r="F104" s="1" t="s">
        <v>121</v>
      </c>
    </row>
    <row r="105" spans="1:6" x14ac:dyDescent="0.35">
      <c r="A105" s="1" t="s">
        <v>337</v>
      </c>
      <c r="B105" s="1" t="s">
        <v>338</v>
      </c>
      <c r="C105" s="1" t="s">
        <v>188</v>
      </c>
      <c r="D105" s="1" t="s">
        <v>112</v>
      </c>
      <c r="E105" s="1" t="s">
        <v>57</v>
      </c>
      <c r="F105" s="1" t="s">
        <v>157</v>
      </c>
    </row>
    <row r="106" spans="1:6" x14ac:dyDescent="0.35">
      <c r="A106" s="1" t="s">
        <v>339</v>
      </c>
      <c r="B106" s="1" t="s">
        <v>340</v>
      </c>
      <c r="C106" s="1" t="s">
        <v>172</v>
      </c>
      <c r="D106" s="1" t="s">
        <v>107</v>
      </c>
      <c r="E106" s="1" t="s">
        <v>78</v>
      </c>
      <c r="F106" s="1" t="s">
        <v>143</v>
      </c>
    </row>
    <row r="107" spans="1:6" x14ac:dyDescent="0.35">
      <c r="A107" s="1" t="s">
        <v>28</v>
      </c>
      <c r="B107" s="1" t="s">
        <v>28</v>
      </c>
      <c r="C107" s="1" t="s">
        <v>28</v>
      </c>
      <c r="D107" s="1" t="s">
        <v>28</v>
      </c>
      <c r="E107" s="1" t="s">
        <v>28</v>
      </c>
      <c r="F107" s="1" t="s">
        <v>28</v>
      </c>
    </row>
    <row r="108" spans="1:6" x14ac:dyDescent="0.35">
      <c r="A108" s="1" t="s">
        <v>28</v>
      </c>
      <c r="B108" s="1" t="s">
        <v>28</v>
      </c>
      <c r="C108" s="1" t="s">
        <v>28</v>
      </c>
      <c r="D108" s="1" t="s">
        <v>28</v>
      </c>
      <c r="E108" s="1" t="s">
        <v>28</v>
      </c>
      <c r="F108" s="1" t="s">
        <v>28</v>
      </c>
    </row>
    <row r="109" spans="1:6" x14ac:dyDescent="0.35">
      <c r="A109" s="1" t="s">
        <v>341</v>
      </c>
      <c r="B109" s="1" t="s">
        <v>342</v>
      </c>
      <c r="C109" s="1" t="s">
        <v>109</v>
      </c>
      <c r="D109" s="1" t="s">
        <v>107</v>
      </c>
      <c r="E109" s="1" t="s">
        <v>35</v>
      </c>
      <c r="F109" s="1" t="s">
        <v>252</v>
      </c>
    </row>
    <row r="110" spans="1:6" x14ac:dyDescent="0.35">
      <c r="A110" s="1" t="s">
        <v>343</v>
      </c>
      <c r="B110" s="1" t="s">
        <v>344</v>
      </c>
      <c r="C110" s="1" t="s">
        <v>173</v>
      </c>
      <c r="D110" s="1" t="s">
        <v>110</v>
      </c>
      <c r="E110" s="1" t="s">
        <v>39</v>
      </c>
      <c r="F110" s="1" t="s">
        <v>171</v>
      </c>
    </row>
    <row r="111" spans="1:6" x14ac:dyDescent="0.35">
      <c r="A111" s="1" t="s">
        <v>345</v>
      </c>
      <c r="B111" s="1" t="s">
        <v>346</v>
      </c>
      <c r="C111" s="1" t="s">
        <v>116</v>
      </c>
      <c r="D111" s="1" t="s">
        <v>165</v>
      </c>
      <c r="E111" s="1" t="s">
        <v>39</v>
      </c>
      <c r="F111" s="1" t="s">
        <v>128</v>
      </c>
    </row>
    <row r="112" spans="1:6" x14ac:dyDescent="0.35">
      <c r="A112" s="1" t="s">
        <v>347</v>
      </c>
      <c r="B112" s="1" t="s">
        <v>348</v>
      </c>
      <c r="C112" s="1" t="s">
        <v>240</v>
      </c>
      <c r="D112" s="1" t="s">
        <v>117</v>
      </c>
      <c r="E112" s="1" t="s">
        <v>39</v>
      </c>
      <c r="F112" s="1" t="s">
        <v>128</v>
      </c>
    </row>
    <row r="113" spans="1:6" x14ac:dyDescent="0.35">
      <c r="A113" s="1" t="s">
        <v>349</v>
      </c>
      <c r="B113" s="1" t="s">
        <v>350</v>
      </c>
      <c r="C113" s="1" t="s">
        <v>149</v>
      </c>
      <c r="D113" s="1" t="s">
        <v>192</v>
      </c>
      <c r="E113" s="1" t="s">
        <v>63</v>
      </c>
      <c r="F113" s="1" t="s">
        <v>128</v>
      </c>
    </row>
    <row r="114" spans="1:6" x14ac:dyDescent="0.35">
      <c r="A114" s="1" t="s">
        <v>351</v>
      </c>
      <c r="B114" s="1" t="s">
        <v>352</v>
      </c>
      <c r="C114" s="1" t="s">
        <v>168</v>
      </c>
      <c r="D114" s="1" t="s">
        <v>117</v>
      </c>
      <c r="E114" s="1" t="s">
        <v>69</v>
      </c>
      <c r="F114" s="1" t="s">
        <v>143</v>
      </c>
    </row>
    <row r="115" spans="1:6" x14ac:dyDescent="0.35">
      <c r="A115" s="1" t="s">
        <v>353</v>
      </c>
      <c r="B115" s="1" t="s">
        <v>354</v>
      </c>
      <c r="C115" s="1" t="s">
        <v>197</v>
      </c>
      <c r="D115" s="1" t="s">
        <v>243</v>
      </c>
      <c r="E115" s="1" t="s">
        <v>8</v>
      </c>
      <c r="F115" s="1" t="s">
        <v>124</v>
      </c>
    </row>
    <row r="116" spans="1:6" x14ac:dyDescent="0.35">
      <c r="A116" s="1" t="s">
        <v>355</v>
      </c>
      <c r="B116" s="1" t="s">
        <v>356</v>
      </c>
      <c r="C116" s="1" t="s">
        <v>106</v>
      </c>
      <c r="D116" s="1" t="s">
        <v>204</v>
      </c>
      <c r="E116" s="1" t="s">
        <v>63</v>
      </c>
      <c r="F116" s="1" t="s">
        <v>157</v>
      </c>
    </row>
    <row r="117" spans="1:6" x14ac:dyDescent="0.35">
      <c r="A117" s="1" t="s">
        <v>357</v>
      </c>
      <c r="B117" s="1" t="s">
        <v>358</v>
      </c>
      <c r="C117" s="1" t="s">
        <v>172</v>
      </c>
      <c r="D117" s="1" t="s">
        <v>192</v>
      </c>
      <c r="E117" s="1" t="s">
        <v>21</v>
      </c>
      <c r="F117" s="1" t="s">
        <v>128</v>
      </c>
    </row>
    <row r="118" spans="1:6" x14ac:dyDescent="0.35">
      <c r="A118" s="1" t="s">
        <v>359</v>
      </c>
      <c r="B118" s="1" t="s">
        <v>360</v>
      </c>
      <c r="C118" s="1" t="s">
        <v>149</v>
      </c>
      <c r="D118" s="1" t="s">
        <v>127</v>
      </c>
      <c r="E118" s="1" t="s">
        <v>82</v>
      </c>
      <c r="F118" s="1" t="s">
        <v>143</v>
      </c>
    </row>
    <row r="119" spans="1:6" x14ac:dyDescent="0.35">
      <c r="A119" s="1" t="s">
        <v>361</v>
      </c>
      <c r="B119" s="1" t="s">
        <v>362</v>
      </c>
      <c r="C119" s="1" t="s">
        <v>109</v>
      </c>
      <c r="D119" s="1" t="s">
        <v>165</v>
      </c>
      <c r="E119" s="1" t="s">
        <v>8</v>
      </c>
      <c r="F119" s="1" t="s">
        <v>121</v>
      </c>
    </row>
    <row r="120" spans="1:6" x14ac:dyDescent="0.35">
      <c r="A120" s="1" t="s">
        <v>363</v>
      </c>
      <c r="B120" s="1" t="s">
        <v>364</v>
      </c>
      <c r="C120" s="1" t="s">
        <v>137</v>
      </c>
      <c r="D120" s="1" t="s">
        <v>204</v>
      </c>
      <c r="E120" s="1" t="s">
        <v>69</v>
      </c>
      <c r="F120" s="1" t="s">
        <v>134</v>
      </c>
    </row>
    <row r="121" spans="1:6" x14ac:dyDescent="0.35">
      <c r="A121" s="1" t="s">
        <v>365</v>
      </c>
      <c r="B121" s="1" t="s">
        <v>366</v>
      </c>
      <c r="C121" s="1" t="s">
        <v>106</v>
      </c>
      <c r="D121" s="1" t="s">
        <v>107</v>
      </c>
      <c r="E121" s="1" t="s">
        <v>45</v>
      </c>
      <c r="F121" s="1" t="s">
        <v>157</v>
      </c>
    </row>
    <row r="122" spans="1:6" x14ac:dyDescent="0.35">
      <c r="A122" s="1" t="s">
        <v>367</v>
      </c>
      <c r="B122" s="1" t="s">
        <v>368</v>
      </c>
      <c r="C122" s="1" t="s">
        <v>248</v>
      </c>
      <c r="D122" s="1" t="s">
        <v>127</v>
      </c>
      <c r="E122" s="1" t="s">
        <v>57</v>
      </c>
      <c r="F122" s="1" t="s">
        <v>211</v>
      </c>
    </row>
    <row r="123" spans="1:6" x14ac:dyDescent="0.35">
      <c r="A123" s="1" t="s">
        <v>369</v>
      </c>
      <c r="B123" s="1" t="s">
        <v>370</v>
      </c>
      <c r="C123" s="1" t="s">
        <v>168</v>
      </c>
      <c r="D123" s="1" t="s">
        <v>138</v>
      </c>
      <c r="E123" s="1" t="s">
        <v>57</v>
      </c>
      <c r="F123" s="1" t="s">
        <v>171</v>
      </c>
    </row>
    <row r="124" spans="1:6" x14ac:dyDescent="0.35">
      <c r="A124" s="1" t="s">
        <v>371</v>
      </c>
      <c r="B124" s="1" t="s">
        <v>372</v>
      </c>
      <c r="C124" s="1" t="s">
        <v>197</v>
      </c>
      <c r="D124" s="1" t="s">
        <v>138</v>
      </c>
      <c r="E124" s="1" t="s">
        <v>51</v>
      </c>
      <c r="F124" s="1" t="s">
        <v>124</v>
      </c>
    </row>
    <row r="125" spans="1:6" x14ac:dyDescent="0.35">
      <c r="A125" s="1" t="s">
        <v>371</v>
      </c>
      <c r="B125" s="1" t="s">
        <v>372</v>
      </c>
      <c r="C125" s="1" t="s">
        <v>116</v>
      </c>
      <c r="D125" s="1" t="s">
        <v>138</v>
      </c>
      <c r="E125" s="1" t="s">
        <v>51</v>
      </c>
      <c r="F125" s="1" t="s">
        <v>124</v>
      </c>
    </row>
    <row r="126" spans="1:6" x14ac:dyDescent="0.35">
      <c r="A126" s="1" t="s">
        <v>371</v>
      </c>
      <c r="B126" s="1" t="s">
        <v>372</v>
      </c>
      <c r="C126" s="1" t="s">
        <v>133</v>
      </c>
      <c r="D126" s="1" t="s">
        <v>138</v>
      </c>
      <c r="E126" s="1" t="s">
        <v>51</v>
      </c>
      <c r="F126" s="1" t="s">
        <v>124</v>
      </c>
    </row>
    <row r="127" spans="1:6" x14ac:dyDescent="0.35">
      <c r="A127" s="1" t="s">
        <v>373</v>
      </c>
      <c r="B127" s="1" t="s">
        <v>374</v>
      </c>
      <c r="C127" s="1" t="s">
        <v>106</v>
      </c>
      <c r="D127" s="1" t="s">
        <v>214</v>
      </c>
      <c r="E127" s="1" t="s">
        <v>78</v>
      </c>
      <c r="F127" s="1" t="s">
        <v>171</v>
      </c>
    </row>
    <row r="128" spans="1:6" x14ac:dyDescent="0.35">
      <c r="A128" s="1" t="s">
        <v>375</v>
      </c>
      <c r="B128" s="1" t="s">
        <v>376</v>
      </c>
      <c r="C128" s="1" t="s">
        <v>188</v>
      </c>
      <c r="D128" s="1" t="s">
        <v>142</v>
      </c>
      <c r="E128" s="1" t="s">
        <v>21</v>
      </c>
      <c r="F128" s="1" t="s">
        <v>121</v>
      </c>
    </row>
    <row r="129" spans="1:6" x14ac:dyDescent="0.35">
      <c r="A129" s="1" t="s">
        <v>377</v>
      </c>
      <c r="B129" s="1" t="s">
        <v>378</v>
      </c>
      <c r="C129" s="1" t="s">
        <v>164</v>
      </c>
      <c r="D129" s="1" t="s">
        <v>110</v>
      </c>
      <c r="E129" s="1" t="s">
        <v>45</v>
      </c>
      <c r="F129" s="1" t="s">
        <v>275</v>
      </c>
    </row>
    <row r="130" spans="1:6" x14ac:dyDescent="0.35">
      <c r="A130" s="1" t="s">
        <v>379</v>
      </c>
      <c r="B130" s="1" t="s">
        <v>380</v>
      </c>
      <c r="C130" s="1" t="s">
        <v>248</v>
      </c>
      <c r="D130" s="1" t="s">
        <v>243</v>
      </c>
      <c r="E130" s="1" t="s">
        <v>78</v>
      </c>
      <c r="F130" s="1" t="s">
        <v>124</v>
      </c>
    </row>
    <row r="131" spans="1:6" x14ac:dyDescent="0.35">
      <c r="A131" s="1" t="s">
        <v>381</v>
      </c>
      <c r="B131" s="1" t="s">
        <v>382</v>
      </c>
      <c r="C131" s="1" t="s">
        <v>197</v>
      </c>
      <c r="D131" s="1" t="s">
        <v>112</v>
      </c>
      <c r="E131" s="1" t="s">
        <v>51</v>
      </c>
      <c r="F131" s="1" t="s">
        <v>121</v>
      </c>
    </row>
    <row r="132" spans="1:6" x14ac:dyDescent="0.35">
      <c r="A132" s="1" t="s">
        <v>383</v>
      </c>
      <c r="B132" s="1" t="s">
        <v>384</v>
      </c>
      <c r="C132" s="1" t="s">
        <v>173</v>
      </c>
      <c r="D132" s="1" t="s">
        <v>142</v>
      </c>
      <c r="E132" s="1" t="s">
        <v>69</v>
      </c>
      <c r="F132" s="1" t="s">
        <v>157</v>
      </c>
    </row>
    <row r="133" spans="1:6" x14ac:dyDescent="0.35">
      <c r="A133" s="1" t="s">
        <v>385</v>
      </c>
      <c r="B133" s="1" t="s">
        <v>386</v>
      </c>
      <c r="C133" s="1" t="s">
        <v>113</v>
      </c>
      <c r="D133" s="1" t="s">
        <v>153</v>
      </c>
      <c r="E133" s="1" t="s">
        <v>29</v>
      </c>
      <c r="F133" s="1" t="s">
        <v>128</v>
      </c>
    </row>
    <row r="134" spans="1:6" x14ac:dyDescent="0.35">
      <c r="A134" s="1" t="s">
        <v>387</v>
      </c>
      <c r="B134" s="1" t="s">
        <v>388</v>
      </c>
      <c r="C134" s="1" t="s">
        <v>173</v>
      </c>
      <c r="D134" s="1" t="s">
        <v>192</v>
      </c>
      <c r="E134" s="1" t="s">
        <v>29</v>
      </c>
      <c r="F134" s="1" t="s">
        <v>143</v>
      </c>
    </row>
    <row r="135" spans="1:6" x14ac:dyDescent="0.35">
      <c r="A135" s="1" t="s">
        <v>389</v>
      </c>
      <c r="B135" s="1" t="s">
        <v>390</v>
      </c>
      <c r="C135" s="1" t="s">
        <v>113</v>
      </c>
      <c r="D135" s="1" t="s">
        <v>192</v>
      </c>
      <c r="E135" s="1" t="s">
        <v>82</v>
      </c>
      <c r="F135" s="1" t="s">
        <v>171</v>
      </c>
    </row>
    <row r="136" spans="1:6" x14ac:dyDescent="0.35">
      <c r="A136" s="1" t="s">
        <v>391</v>
      </c>
      <c r="B136" s="1" t="s">
        <v>392</v>
      </c>
      <c r="C136" s="1" t="s">
        <v>248</v>
      </c>
      <c r="D136" s="1" t="s">
        <v>204</v>
      </c>
      <c r="E136" s="1" t="s">
        <v>21</v>
      </c>
      <c r="F136" s="1" t="s">
        <v>157</v>
      </c>
    </row>
    <row r="137" spans="1:6" x14ac:dyDescent="0.35">
      <c r="A137" s="1" t="s">
        <v>393</v>
      </c>
      <c r="B137" s="1" t="s">
        <v>394</v>
      </c>
      <c r="C137" s="1" t="s">
        <v>272</v>
      </c>
      <c r="D137" s="1" t="s">
        <v>138</v>
      </c>
      <c r="E137" s="1" t="s">
        <v>29</v>
      </c>
      <c r="F137" s="1" t="s">
        <v>171</v>
      </c>
    </row>
    <row r="138" spans="1:6" x14ac:dyDescent="0.35">
      <c r="A138" s="1" t="s">
        <v>395</v>
      </c>
      <c r="B138" s="1" t="s">
        <v>396</v>
      </c>
      <c r="C138" s="1" t="s">
        <v>141</v>
      </c>
      <c r="D138" s="1" t="s">
        <v>156</v>
      </c>
      <c r="E138" s="1" t="s">
        <v>51</v>
      </c>
      <c r="F138" s="1" t="s">
        <v>108</v>
      </c>
    </row>
    <row r="139" spans="1:6" x14ac:dyDescent="0.35">
      <c r="A139" s="1" t="s">
        <v>397</v>
      </c>
      <c r="B139" s="1" t="s">
        <v>398</v>
      </c>
      <c r="C139" s="1" t="s">
        <v>149</v>
      </c>
      <c r="D139" s="1" t="s">
        <v>243</v>
      </c>
      <c r="E139" s="1" t="s">
        <v>87</v>
      </c>
      <c r="F139" s="1" t="s">
        <v>124</v>
      </c>
    </row>
    <row r="140" spans="1:6" x14ac:dyDescent="0.35">
      <c r="A140" s="1" t="s">
        <v>399</v>
      </c>
      <c r="B140" s="1" t="s">
        <v>400</v>
      </c>
      <c r="C140" s="1" t="s">
        <v>188</v>
      </c>
      <c r="D140" s="1" t="s">
        <v>165</v>
      </c>
      <c r="E140" s="1" t="s">
        <v>21</v>
      </c>
      <c r="F140" s="1" t="s">
        <v>157</v>
      </c>
    </row>
    <row r="141" spans="1:6" x14ac:dyDescent="0.35">
      <c r="A141" s="1" t="s">
        <v>401</v>
      </c>
      <c r="B141" s="1" t="s">
        <v>402</v>
      </c>
      <c r="C141" s="1" t="s">
        <v>137</v>
      </c>
      <c r="D141" s="1" t="s">
        <v>214</v>
      </c>
      <c r="E141" s="1" t="s">
        <v>57</v>
      </c>
      <c r="F141" s="1" t="s">
        <v>128</v>
      </c>
    </row>
    <row r="142" spans="1:6" x14ac:dyDescent="0.35">
      <c r="A142" s="1" t="s">
        <v>403</v>
      </c>
      <c r="B142" s="1" t="s">
        <v>404</v>
      </c>
      <c r="C142" s="1" t="s">
        <v>141</v>
      </c>
      <c r="D142" s="1" t="s">
        <v>127</v>
      </c>
      <c r="E142" s="1" t="s">
        <v>35</v>
      </c>
      <c r="F142" s="1" t="s">
        <v>124</v>
      </c>
    </row>
    <row r="143" spans="1:6" x14ac:dyDescent="0.35">
      <c r="A143" s="1" t="s">
        <v>405</v>
      </c>
      <c r="B143" s="1" t="s">
        <v>406</v>
      </c>
      <c r="C143" s="1" t="s">
        <v>111</v>
      </c>
      <c r="D143" s="1" t="s">
        <v>204</v>
      </c>
      <c r="E143" s="1" t="s">
        <v>51</v>
      </c>
      <c r="F143" s="1" t="s">
        <v>157</v>
      </c>
    </row>
    <row r="144" spans="1:6" x14ac:dyDescent="0.35">
      <c r="A144" s="1" t="s">
        <v>407</v>
      </c>
      <c r="B144" s="1" t="s">
        <v>408</v>
      </c>
      <c r="C144" s="1" t="s">
        <v>164</v>
      </c>
      <c r="D144" s="1" t="s">
        <v>112</v>
      </c>
      <c r="E144" s="1" t="s">
        <v>57</v>
      </c>
      <c r="F144" s="1" t="s">
        <v>157</v>
      </c>
    </row>
    <row r="145" spans="1:6" x14ac:dyDescent="0.35">
      <c r="A145" s="1" t="s">
        <v>409</v>
      </c>
      <c r="B145" s="1" t="s">
        <v>410</v>
      </c>
      <c r="C145" s="1" t="s">
        <v>197</v>
      </c>
      <c r="D145" s="1" t="s">
        <v>183</v>
      </c>
      <c r="E145" s="1" t="s">
        <v>8</v>
      </c>
      <c r="F145" s="1" t="s">
        <v>157</v>
      </c>
    </row>
    <row r="146" spans="1:6" x14ac:dyDescent="0.35">
      <c r="A146" s="1" t="s">
        <v>411</v>
      </c>
      <c r="B146" s="1" t="s">
        <v>412</v>
      </c>
      <c r="C146" s="1" t="s">
        <v>172</v>
      </c>
      <c r="D146" s="1" t="s">
        <v>214</v>
      </c>
      <c r="E146" s="1" t="s">
        <v>87</v>
      </c>
      <c r="F146" s="1" t="s">
        <v>128</v>
      </c>
    </row>
    <row r="147" spans="1:6" x14ac:dyDescent="0.35">
      <c r="A147" s="1" t="s">
        <v>413</v>
      </c>
      <c r="B147" s="1" t="s">
        <v>414</v>
      </c>
      <c r="C147" s="1" t="s">
        <v>272</v>
      </c>
      <c r="D147" s="1" t="s">
        <v>117</v>
      </c>
      <c r="E147" s="1" t="s">
        <v>51</v>
      </c>
      <c r="F147" s="1" t="s">
        <v>171</v>
      </c>
    </row>
    <row r="148" spans="1:6" x14ac:dyDescent="0.35">
      <c r="A148" s="1" t="s">
        <v>415</v>
      </c>
      <c r="B148" s="1" t="s">
        <v>416</v>
      </c>
      <c r="C148" s="1" t="s">
        <v>172</v>
      </c>
      <c r="D148" s="1" t="s">
        <v>107</v>
      </c>
      <c r="E148" s="1" t="s">
        <v>63</v>
      </c>
      <c r="F148" s="1" t="s">
        <v>143</v>
      </c>
    </row>
    <row r="149" spans="1:6" x14ac:dyDescent="0.35">
      <c r="A149" s="1" t="s">
        <v>417</v>
      </c>
      <c r="B149" s="1" t="s">
        <v>418</v>
      </c>
      <c r="C149" s="1" t="s">
        <v>173</v>
      </c>
      <c r="D149" s="1" t="s">
        <v>165</v>
      </c>
      <c r="E149" s="1" t="s">
        <v>8</v>
      </c>
      <c r="F149" s="1" t="s">
        <v>419</v>
      </c>
    </row>
    <row r="150" spans="1:6" x14ac:dyDescent="0.35">
      <c r="A150" s="1" t="s">
        <v>420</v>
      </c>
      <c r="B150" s="1" t="s">
        <v>421</v>
      </c>
      <c r="C150" s="1" t="s">
        <v>164</v>
      </c>
      <c r="D150" s="1" t="s">
        <v>204</v>
      </c>
      <c r="E150" s="1" t="s">
        <v>51</v>
      </c>
      <c r="F150" s="1" t="s">
        <v>157</v>
      </c>
    </row>
    <row r="151" spans="1:6" x14ac:dyDescent="0.35">
      <c r="A151" s="1" t="s">
        <v>422</v>
      </c>
      <c r="B151" s="1" t="s">
        <v>423</v>
      </c>
      <c r="C151" s="1" t="s">
        <v>197</v>
      </c>
      <c r="D151" s="1" t="s">
        <v>107</v>
      </c>
      <c r="E151" s="1" t="s">
        <v>35</v>
      </c>
      <c r="F151" s="1" t="s">
        <v>128</v>
      </c>
    </row>
    <row r="152" spans="1:6" x14ac:dyDescent="0.35">
      <c r="A152" s="1" t="s">
        <v>424</v>
      </c>
      <c r="B152" s="1" t="s">
        <v>425</v>
      </c>
      <c r="C152" s="1" t="s">
        <v>248</v>
      </c>
      <c r="D152" s="1" t="s">
        <v>204</v>
      </c>
      <c r="E152" s="1" t="s">
        <v>63</v>
      </c>
      <c r="F152" s="1" t="s">
        <v>157</v>
      </c>
    </row>
    <row r="153" spans="1:6" x14ac:dyDescent="0.35">
      <c r="A153" s="1" t="s">
        <v>426</v>
      </c>
      <c r="B153" s="1" t="s">
        <v>427</v>
      </c>
      <c r="C153" s="1" t="s">
        <v>133</v>
      </c>
      <c r="D153" s="1" t="s">
        <v>107</v>
      </c>
      <c r="E153" s="1" t="s">
        <v>69</v>
      </c>
      <c r="F153" s="1" t="s">
        <v>211</v>
      </c>
    </row>
    <row r="154" spans="1:6" x14ac:dyDescent="0.35">
      <c r="A154" s="1" t="s">
        <v>428</v>
      </c>
      <c r="B154" s="1" t="s">
        <v>429</v>
      </c>
      <c r="C154" s="1" t="s">
        <v>149</v>
      </c>
      <c r="D154" s="1" t="s">
        <v>112</v>
      </c>
      <c r="E154" s="1" t="s">
        <v>51</v>
      </c>
      <c r="F154" s="1" t="s">
        <v>128</v>
      </c>
    </row>
    <row r="155" spans="1:6" x14ac:dyDescent="0.35">
      <c r="A155" s="1" t="s">
        <v>430</v>
      </c>
      <c r="B155" s="1" t="s">
        <v>431</v>
      </c>
      <c r="C155" s="1" t="s">
        <v>137</v>
      </c>
      <c r="D155" s="1" t="s">
        <v>192</v>
      </c>
      <c r="E155" s="1" t="s">
        <v>63</v>
      </c>
      <c r="F155" s="1" t="s">
        <v>124</v>
      </c>
    </row>
    <row r="156" spans="1:6" x14ac:dyDescent="0.35">
      <c r="A156" s="1" t="s">
        <v>432</v>
      </c>
      <c r="B156" s="1" t="s">
        <v>433</v>
      </c>
      <c r="C156" s="1" t="s">
        <v>164</v>
      </c>
      <c r="D156" s="1" t="s">
        <v>153</v>
      </c>
      <c r="E156" s="1" t="s">
        <v>51</v>
      </c>
      <c r="F156" s="1" t="s">
        <v>157</v>
      </c>
    </row>
    <row r="157" spans="1:6" x14ac:dyDescent="0.35">
      <c r="A157" s="1" t="s">
        <v>434</v>
      </c>
      <c r="B157" s="1" t="s">
        <v>435</v>
      </c>
      <c r="C157" s="1" t="s">
        <v>137</v>
      </c>
      <c r="D157" s="1" t="s">
        <v>214</v>
      </c>
      <c r="E157" s="1" t="s">
        <v>35</v>
      </c>
      <c r="F157" s="1" t="s">
        <v>128</v>
      </c>
    </row>
    <row r="158" spans="1:6" x14ac:dyDescent="0.35">
      <c r="A158" s="1" t="s">
        <v>436</v>
      </c>
      <c r="B158" s="1" t="s">
        <v>437</v>
      </c>
      <c r="C158" s="1" t="s">
        <v>188</v>
      </c>
      <c r="D158" s="1" t="s">
        <v>204</v>
      </c>
      <c r="E158" s="1" t="s">
        <v>63</v>
      </c>
      <c r="F158" s="1" t="s">
        <v>157</v>
      </c>
    </row>
    <row r="159" spans="1:6" x14ac:dyDescent="0.35">
      <c r="A159" s="1" t="s">
        <v>438</v>
      </c>
      <c r="B159" s="1" t="s">
        <v>439</v>
      </c>
      <c r="C159" s="1" t="s">
        <v>149</v>
      </c>
      <c r="D159" s="1" t="s">
        <v>153</v>
      </c>
      <c r="E159" s="1" t="s">
        <v>39</v>
      </c>
      <c r="F159" s="1" t="s">
        <v>108</v>
      </c>
    </row>
    <row r="160" spans="1:6" x14ac:dyDescent="0.35">
      <c r="A160" s="1" t="s">
        <v>440</v>
      </c>
      <c r="B160" s="1" t="s">
        <v>441</v>
      </c>
      <c r="C160" s="1" t="s">
        <v>240</v>
      </c>
      <c r="D160" s="1" t="s">
        <v>112</v>
      </c>
      <c r="E160" s="1" t="s">
        <v>73</v>
      </c>
      <c r="F160" s="1" t="s">
        <v>121</v>
      </c>
    </row>
    <row r="161" spans="1:6" x14ac:dyDescent="0.35">
      <c r="A161" s="1" t="s">
        <v>442</v>
      </c>
      <c r="B161" s="1" t="s">
        <v>443</v>
      </c>
      <c r="C161" s="1" t="s">
        <v>106</v>
      </c>
      <c r="D161" s="1" t="s">
        <v>165</v>
      </c>
      <c r="E161" s="1" t="s">
        <v>45</v>
      </c>
      <c r="F161" s="1" t="s">
        <v>157</v>
      </c>
    </row>
    <row r="162" spans="1:6" x14ac:dyDescent="0.35">
      <c r="A162" s="1" t="s">
        <v>444</v>
      </c>
      <c r="B162" s="1" t="s">
        <v>445</v>
      </c>
      <c r="C162" s="1" t="s">
        <v>172</v>
      </c>
      <c r="D162" s="1" t="s">
        <v>153</v>
      </c>
      <c r="E162" s="1" t="s">
        <v>39</v>
      </c>
      <c r="F162" s="1" t="s">
        <v>143</v>
      </c>
    </row>
    <row r="163" spans="1:6" x14ac:dyDescent="0.35">
      <c r="A163" s="1" t="s">
        <v>446</v>
      </c>
      <c r="B163" s="1" t="s">
        <v>447</v>
      </c>
      <c r="C163" s="1" t="s">
        <v>141</v>
      </c>
      <c r="D163" s="1" t="s">
        <v>142</v>
      </c>
      <c r="E163" s="1" t="s">
        <v>63</v>
      </c>
      <c r="F163" s="1" t="s">
        <v>124</v>
      </c>
    </row>
    <row r="164" spans="1:6" x14ac:dyDescent="0.35">
      <c r="A164" s="1" t="s">
        <v>448</v>
      </c>
      <c r="B164" s="1" t="s">
        <v>449</v>
      </c>
      <c r="C164" s="1" t="s">
        <v>172</v>
      </c>
      <c r="D164" s="1" t="s">
        <v>112</v>
      </c>
      <c r="E164" s="1" t="s">
        <v>8</v>
      </c>
      <c r="F164" s="1" t="s">
        <v>128</v>
      </c>
    </row>
    <row r="165" spans="1:6" x14ac:dyDescent="0.35">
      <c r="A165" s="1" t="s">
        <v>450</v>
      </c>
      <c r="B165" s="1" t="s">
        <v>451</v>
      </c>
      <c r="C165" s="1" t="s">
        <v>113</v>
      </c>
      <c r="D165" s="1" t="s">
        <v>153</v>
      </c>
      <c r="E165" s="1" t="s">
        <v>69</v>
      </c>
      <c r="F165" s="1" t="s">
        <v>157</v>
      </c>
    </row>
    <row r="166" spans="1:6" x14ac:dyDescent="0.35">
      <c r="A166" s="1" t="s">
        <v>452</v>
      </c>
      <c r="B166" s="1" t="s">
        <v>453</v>
      </c>
      <c r="C166" s="1" t="s">
        <v>111</v>
      </c>
      <c r="D166" s="1" t="s">
        <v>110</v>
      </c>
      <c r="E166" s="1" t="s">
        <v>29</v>
      </c>
      <c r="F166" s="1" t="s">
        <v>252</v>
      </c>
    </row>
    <row r="167" spans="1:6" x14ac:dyDescent="0.35">
      <c r="A167" s="1" t="s">
        <v>454</v>
      </c>
      <c r="B167" s="1" t="s">
        <v>455</v>
      </c>
      <c r="C167" s="1" t="s">
        <v>168</v>
      </c>
      <c r="D167" s="1" t="s">
        <v>117</v>
      </c>
      <c r="E167" s="1" t="s">
        <v>39</v>
      </c>
      <c r="F167" s="1" t="s">
        <v>121</v>
      </c>
    </row>
    <row r="168" spans="1:6" x14ac:dyDescent="0.35">
      <c r="A168" s="1" t="s">
        <v>456</v>
      </c>
      <c r="B168" s="1" t="s">
        <v>457</v>
      </c>
      <c r="C168" s="1" t="s">
        <v>272</v>
      </c>
      <c r="D168" s="1" t="s">
        <v>156</v>
      </c>
      <c r="E168" s="1" t="s">
        <v>82</v>
      </c>
      <c r="F168" s="1" t="s">
        <v>143</v>
      </c>
    </row>
    <row r="169" spans="1:6" x14ac:dyDescent="0.35">
      <c r="A169" s="1" t="s">
        <v>458</v>
      </c>
      <c r="B169" s="1" t="s">
        <v>459</v>
      </c>
      <c r="C169" s="1" t="s">
        <v>149</v>
      </c>
      <c r="D169" s="1" t="s">
        <v>243</v>
      </c>
      <c r="E169" s="1" t="s">
        <v>45</v>
      </c>
      <c r="F169" s="1" t="s">
        <v>143</v>
      </c>
    </row>
    <row r="170" spans="1:6" x14ac:dyDescent="0.35">
      <c r="A170" s="1" t="s">
        <v>460</v>
      </c>
      <c r="B170" s="1" t="s">
        <v>461</v>
      </c>
      <c r="C170" s="1" t="s">
        <v>111</v>
      </c>
      <c r="D170" s="1" t="s">
        <v>107</v>
      </c>
      <c r="E170" s="1" t="s">
        <v>15</v>
      </c>
      <c r="F170" s="1" t="s">
        <v>128</v>
      </c>
    </row>
    <row r="171" spans="1:6" x14ac:dyDescent="0.35">
      <c r="A171" s="1" t="s">
        <v>462</v>
      </c>
      <c r="B171" s="1" t="s">
        <v>170</v>
      </c>
      <c r="C171" s="1" t="s">
        <v>141</v>
      </c>
      <c r="D171" s="1" t="s">
        <v>112</v>
      </c>
      <c r="E171" s="1" t="s">
        <v>45</v>
      </c>
      <c r="F171" s="1" t="s">
        <v>128</v>
      </c>
    </row>
    <row r="172" spans="1:6" x14ac:dyDescent="0.35">
      <c r="A172" s="1" t="s">
        <v>463</v>
      </c>
      <c r="B172" s="1" t="s">
        <v>354</v>
      </c>
      <c r="C172" s="1" t="s">
        <v>172</v>
      </c>
      <c r="D172" s="1" t="s">
        <v>214</v>
      </c>
      <c r="E172" s="1" t="s">
        <v>29</v>
      </c>
      <c r="F172" s="1" t="s">
        <v>143</v>
      </c>
    </row>
    <row r="173" spans="1:6" x14ac:dyDescent="0.35">
      <c r="A173" s="1" t="s">
        <v>464</v>
      </c>
      <c r="B173" s="1" t="s">
        <v>358</v>
      </c>
      <c r="C173" s="1" t="s">
        <v>149</v>
      </c>
      <c r="D173" s="1" t="s">
        <v>138</v>
      </c>
      <c r="E173" s="1" t="s">
        <v>8</v>
      </c>
      <c r="F173" s="1" t="s">
        <v>143</v>
      </c>
    </row>
    <row r="174" spans="1:6" x14ac:dyDescent="0.35">
      <c r="A174" s="1" t="s">
        <v>465</v>
      </c>
      <c r="B174" s="1" t="s">
        <v>466</v>
      </c>
      <c r="C174" s="1" t="s">
        <v>272</v>
      </c>
      <c r="D174" s="1" t="s">
        <v>204</v>
      </c>
      <c r="E174" s="1" t="s">
        <v>39</v>
      </c>
      <c r="F174" s="1" t="s">
        <v>128</v>
      </c>
    </row>
    <row r="175" spans="1:6" x14ac:dyDescent="0.35">
      <c r="A175" s="1" t="s">
        <v>467</v>
      </c>
      <c r="B175" s="1" t="s">
        <v>468</v>
      </c>
      <c r="C175" s="1" t="s">
        <v>176</v>
      </c>
      <c r="D175" s="1" t="s">
        <v>117</v>
      </c>
      <c r="E175" s="1" t="s">
        <v>63</v>
      </c>
      <c r="F175" s="1" t="s">
        <v>171</v>
      </c>
    </row>
    <row r="176" spans="1:6" x14ac:dyDescent="0.35">
      <c r="A176" s="1" t="s">
        <v>469</v>
      </c>
      <c r="B176" s="1" t="s">
        <v>470</v>
      </c>
      <c r="C176" s="1" t="s">
        <v>168</v>
      </c>
      <c r="D176" s="1" t="s">
        <v>243</v>
      </c>
      <c r="E176" s="1" t="s">
        <v>51</v>
      </c>
      <c r="F176" s="1" t="s">
        <v>128</v>
      </c>
    </row>
    <row r="177" spans="1:6" x14ac:dyDescent="0.35">
      <c r="A177" s="1" t="s">
        <v>471</v>
      </c>
      <c r="B177" s="1" t="s">
        <v>472</v>
      </c>
      <c r="C177" s="1" t="s">
        <v>106</v>
      </c>
      <c r="D177" s="1" t="s">
        <v>153</v>
      </c>
      <c r="E177" s="1" t="s">
        <v>78</v>
      </c>
      <c r="F177" s="1" t="s">
        <v>108</v>
      </c>
    </row>
    <row r="178" spans="1:6" x14ac:dyDescent="0.35">
      <c r="A178" s="1" t="s">
        <v>473</v>
      </c>
      <c r="B178" s="1" t="s">
        <v>474</v>
      </c>
      <c r="C178" s="1" t="s">
        <v>172</v>
      </c>
      <c r="D178" s="1" t="s">
        <v>214</v>
      </c>
      <c r="E178" s="1" t="s">
        <v>63</v>
      </c>
      <c r="F178" s="1" t="s">
        <v>275</v>
      </c>
    </row>
    <row r="179" spans="1:6" x14ac:dyDescent="0.35">
      <c r="A179" s="1" t="s">
        <v>475</v>
      </c>
      <c r="B179" s="1" t="s">
        <v>476</v>
      </c>
      <c r="C179" s="1" t="s">
        <v>116</v>
      </c>
      <c r="D179" s="1" t="s">
        <v>214</v>
      </c>
      <c r="E179" s="1" t="s">
        <v>35</v>
      </c>
      <c r="F179" s="1" t="s">
        <v>121</v>
      </c>
    </row>
    <row r="180" spans="1:6" x14ac:dyDescent="0.35">
      <c r="A180" s="1" t="s">
        <v>477</v>
      </c>
      <c r="B180" s="1" t="s">
        <v>478</v>
      </c>
      <c r="C180" s="1" t="s">
        <v>172</v>
      </c>
      <c r="D180" s="1" t="s">
        <v>156</v>
      </c>
      <c r="E180" s="1" t="s">
        <v>78</v>
      </c>
      <c r="F180" s="1" t="s">
        <v>150</v>
      </c>
    </row>
    <row r="181" spans="1:6" x14ac:dyDescent="0.35">
      <c r="A181" s="1" t="s">
        <v>479</v>
      </c>
      <c r="B181" s="1" t="s">
        <v>480</v>
      </c>
      <c r="C181" s="1" t="s">
        <v>240</v>
      </c>
      <c r="D181" s="1" t="s">
        <v>183</v>
      </c>
      <c r="E181" s="1" t="s">
        <v>15</v>
      </c>
      <c r="F181" s="1" t="s">
        <v>419</v>
      </c>
    </row>
    <row r="182" spans="1:6" x14ac:dyDescent="0.35">
      <c r="A182" s="1" t="s">
        <v>481</v>
      </c>
      <c r="B182" s="1" t="s">
        <v>482</v>
      </c>
      <c r="C182" s="1" t="s">
        <v>197</v>
      </c>
      <c r="D182" s="1" t="s">
        <v>112</v>
      </c>
      <c r="E182" s="1" t="s">
        <v>87</v>
      </c>
      <c r="F182" s="1" t="s">
        <v>171</v>
      </c>
    </row>
    <row r="183" spans="1:6" x14ac:dyDescent="0.35">
      <c r="A183" s="1" t="s">
        <v>483</v>
      </c>
      <c r="B183" s="1" t="s">
        <v>484</v>
      </c>
      <c r="C183" s="1" t="s">
        <v>197</v>
      </c>
      <c r="D183" s="1" t="s">
        <v>156</v>
      </c>
      <c r="E183" s="1" t="s">
        <v>29</v>
      </c>
      <c r="F183" s="1" t="s">
        <v>121</v>
      </c>
    </row>
    <row r="184" spans="1:6" x14ac:dyDescent="0.35">
      <c r="A184" s="1" t="s">
        <v>485</v>
      </c>
      <c r="B184" s="1" t="s">
        <v>486</v>
      </c>
      <c r="C184" s="1" t="s">
        <v>141</v>
      </c>
      <c r="D184" s="1" t="s">
        <v>192</v>
      </c>
      <c r="E184" s="1" t="s">
        <v>8</v>
      </c>
      <c r="F184" s="1" t="s">
        <v>143</v>
      </c>
    </row>
    <row r="185" spans="1:6" x14ac:dyDescent="0.35">
      <c r="A185" s="1" t="s">
        <v>487</v>
      </c>
      <c r="B185" s="1" t="s">
        <v>488</v>
      </c>
      <c r="C185" s="1" t="s">
        <v>111</v>
      </c>
      <c r="D185" s="1" t="s">
        <v>192</v>
      </c>
      <c r="E185" s="1" t="s">
        <v>82</v>
      </c>
      <c r="F185" s="1" t="s">
        <v>143</v>
      </c>
    </row>
    <row r="186" spans="1:6" x14ac:dyDescent="0.35">
      <c r="A186" s="1" t="s">
        <v>489</v>
      </c>
      <c r="B186" s="1" t="s">
        <v>490</v>
      </c>
      <c r="C186" s="1" t="s">
        <v>164</v>
      </c>
      <c r="D186" s="1" t="s">
        <v>142</v>
      </c>
      <c r="E186" s="1" t="s">
        <v>15</v>
      </c>
      <c r="F186" s="1" t="s">
        <v>171</v>
      </c>
    </row>
    <row r="187" spans="1:6" x14ac:dyDescent="0.35">
      <c r="A187" s="1" t="s">
        <v>491</v>
      </c>
      <c r="B187" s="1" t="s">
        <v>492</v>
      </c>
      <c r="C187" s="1" t="s">
        <v>164</v>
      </c>
      <c r="D187" s="1" t="s">
        <v>192</v>
      </c>
      <c r="E187" s="1" t="s">
        <v>82</v>
      </c>
      <c r="F187" s="1" t="s">
        <v>171</v>
      </c>
    </row>
    <row r="188" spans="1:6" x14ac:dyDescent="0.35">
      <c r="A188" s="1" t="s">
        <v>493</v>
      </c>
      <c r="B188" s="1" t="s">
        <v>494</v>
      </c>
      <c r="C188" s="1" t="s">
        <v>111</v>
      </c>
      <c r="D188" s="1" t="s">
        <v>204</v>
      </c>
      <c r="E188" s="1" t="s">
        <v>35</v>
      </c>
      <c r="F188" s="1" t="s">
        <v>121</v>
      </c>
    </row>
    <row r="189" spans="1:6" x14ac:dyDescent="0.35">
      <c r="A189" s="1" t="s">
        <v>495</v>
      </c>
      <c r="B189" s="1" t="s">
        <v>496</v>
      </c>
      <c r="C189" s="1" t="s">
        <v>116</v>
      </c>
      <c r="D189" s="1" t="s">
        <v>153</v>
      </c>
      <c r="E189" s="1" t="s">
        <v>15</v>
      </c>
      <c r="F189" s="1" t="s">
        <v>150</v>
      </c>
    </row>
    <row r="190" spans="1:6" x14ac:dyDescent="0.35">
      <c r="A190" s="1" t="s">
        <v>497</v>
      </c>
      <c r="B190" s="1" t="s">
        <v>498</v>
      </c>
      <c r="C190" s="1" t="s">
        <v>149</v>
      </c>
      <c r="D190" s="1" t="s">
        <v>165</v>
      </c>
      <c r="E190" s="1" t="s">
        <v>8</v>
      </c>
      <c r="F190" s="1" t="s">
        <v>143</v>
      </c>
    </row>
    <row r="191" spans="1:6" x14ac:dyDescent="0.35">
      <c r="A191" s="1" t="s">
        <v>499</v>
      </c>
      <c r="B191" s="1" t="s">
        <v>500</v>
      </c>
      <c r="C191" s="1" t="s">
        <v>188</v>
      </c>
      <c r="D191" s="1" t="s">
        <v>153</v>
      </c>
      <c r="E191" s="1" t="s">
        <v>87</v>
      </c>
      <c r="F191" s="1" t="s">
        <v>143</v>
      </c>
    </row>
    <row r="192" spans="1:6" x14ac:dyDescent="0.35">
      <c r="A192" s="1" t="s">
        <v>501</v>
      </c>
      <c r="B192" s="1" t="s">
        <v>502</v>
      </c>
      <c r="C192" s="1" t="s">
        <v>164</v>
      </c>
      <c r="D192" s="1" t="s">
        <v>183</v>
      </c>
      <c r="E192" s="1" t="s">
        <v>82</v>
      </c>
      <c r="F192" s="1" t="s">
        <v>121</v>
      </c>
    </row>
    <row r="193" spans="1:6" x14ac:dyDescent="0.35">
      <c r="A193" s="1" t="s">
        <v>503</v>
      </c>
      <c r="B193" s="1" t="s">
        <v>504</v>
      </c>
      <c r="C193" s="1" t="s">
        <v>191</v>
      </c>
      <c r="D193" s="1" t="s">
        <v>165</v>
      </c>
      <c r="E193" s="1" t="s">
        <v>63</v>
      </c>
      <c r="F193" s="1" t="s">
        <v>121</v>
      </c>
    </row>
    <row r="194" spans="1:6" x14ac:dyDescent="0.35">
      <c r="A194" s="1" t="s">
        <v>505</v>
      </c>
      <c r="B194" s="1" t="s">
        <v>412</v>
      </c>
      <c r="C194" s="1" t="s">
        <v>111</v>
      </c>
      <c r="D194" s="1" t="s">
        <v>183</v>
      </c>
      <c r="E194" s="1" t="s">
        <v>78</v>
      </c>
      <c r="F194" s="1" t="s">
        <v>171</v>
      </c>
    </row>
    <row r="195" spans="1:6" x14ac:dyDescent="0.35">
      <c r="A195" s="1" t="s">
        <v>506</v>
      </c>
      <c r="B195" s="1" t="s">
        <v>507</v>
      </c>
      <c r="C195" s="1" t="s">
        <v>116</v>
      </c>
      <c r="D195" s="1" t="s">
        <v>28</v>
      </c>
      <c r="E195" s="1" t="s">
        <v>69</v>
      </c>
      <c r="F195" s="1" t="s">
        <v>143</v>
      </c>
    </row>
    <row r="196" spans="1:6" x14ac:dyDescent="0.35">
      <c r="A196" s="1" t="s">
        <v>508</v>
      </c>
      <c r="B196" s="1" t="s">
        <v>509</v>
      </c>
      <c r="C196" s="1" t="s">
        <v>141</v>
      </c>
      <c r="D196" s="1" t="s">
        <v>153</v>
      </c>
      <c r="E196" s="1" t="s">
        <v>51</v>
      </c>
      <c r="F196" s="1" t="s">
        <v>121</v>
      </c>
    </row>
    <row r="197" spans="1:6" x14ac:dyDescent="0.35">
      <c r="A197" s="1" t="s">
        <v>510</v>
      </c>
      <c r="B197" s="1" t="s">
        <v>511</v>
      </c>
      <c r="C197" s="1" t="s">
        <v>141</v>
      </c>
      <c r="D197" s="1" t="s">
        <v>153</v>
      </c>
      <c r="E197" s="1" t="s">
        <v>51</v>
      </c>
      <c r="F197" s="1" t="s">
        <v>124</v>
      </c>
    </row>
    <row r="198" spans="1:6" x14ac:dyDescent="0.35">
      <c r="A198" s="1" t="s">
        <v>512</v>
      </c>
      <c r="B198" s="1" t="s">
        <v>513</v>
      </c>
      <c r="C198" s="1" t="s">
        <v>168</v>
      </c>
      <c r="D198" s="1" t="s">
        <v>127</v>
      </c>
      <c r="E198" s="1" t="s">
        <v>87</v>
      </c>
      <c r="F198" s="1" t="s">
        <v>118</v>
      </c>
    </row>
    <row r="199" spans="1:6" x14ac:dyDescent="0.35">
      <c r="A199" s="1" t="s">
        <v>514</v>
      </c>
      <c r="B199" s="1" t="s">
        <v>515</v>
      </c>
      <c r="C199" s="1" t="s">
        <v>188</v>
      </c>
      <c r="D199" s="1" t="s">
        <v>138</v>
      </c>
      <c r="E199" s="1" t="s">
        <v>15</v>
      </c>
      <c r="F199" s="1" t="s">
        <v>171</v>
      </c>
    </row>
    <row r="200" spans="1:6" x14ac:dyDescent="0.35">
      <c r="A200" s="1" t="s">
        <v>516</v>
      </c>
      <c r="B200" s="1" t="s">
        <v>517</v>
      </c>
      <c r="C200" s="1" t="s">
        <v>137</v>
      </c>
      <c r="D200" s="1" t="s">
        <v>138</v>
      </c>
      <c r="E200" s="1" t="s">
        <v>82</v>
      </c>
      <c r="F200" s="1" t="s">
        <v>419</v>
      </c>
    </row>
    <row r="201" spans="1:6" x14ac:dyDescent="0.35">
      <c r="A201" s="1" t="s">
        <v>518</v>
      </c>
      <c r="B201" s="1" t="s">
        <v>519</v>
      </c>
      <c r="C201" s="1" t="s">
        <v>111</v>
      </c>
      <c r="D201" s="1" t="s">
        <v>214</v>
      </c>
      <c r="E201" s="1" t="s">
        <v>8</v>
      </c>
      <c r="F201" s="1" t="s">
        <v>121</v>
      </c>
    </row>
    <row r="202" spans="1:6" x14ac:dyDescent="0.35">
      <c r="A202" s="1" t="s">
        <v>520</v>
      </c>
      <c r="B202" s="1" t="s">
        <v>521</v>
      </c>
      <c r="C202" s="1" t="s">
        <v>168</v>
      </c>
      <c r="D202" s="1" t="s">
        <v>153</v>
      </c>
      <c r="E202" s="1" t="s">
        <v>87</v>
      </c>
      <c r="F202" s="1" t="s">
        <v>118</v>
      </c>
    </row>
    <row r="203" spans="1:6" x14ac:dyDescent="0.35">
      <c r="A203" s="1" t="s">
        <v>522</v>
      </c>
      <c r="B203" s="1" t="s">
        <v>523</v>
      </c>
      <c r="C203" s="1" t="s">
        <v>191</v>
      </c>
      <c r="D203" s="1" t="s">
        <v>127</v>
      </c>
      <c r="E203" s="1" t="s">
        <v>51</v>
      </c>
      <c r="F203" s="1" t="s">
        <v>134</v>
      </c>
    </row>
    <row r="204" spans="1:6" x14ac:dyDescent="0.35">
      <c r="A204" s="1" t="s">
        <v>524</v>
      </c>
      <c r="B204" s="1" t="s">
        <v>525</v>
      </c>
      <c r="C204" s="1" t="s">
        <v>168</v>
      </c>
      <c r="D204" s="1" t="s">
        <v>243</v>
      </c>
      <c r="E204" s="1" t="s">
        <v>78</v>
      </c>
      <c r="F204" s="1" t="s">
        <v>157</v>
      </c>
    </row>
    <row r="205" spans="1:6" x14ac:dyDescent="0.35">
      <c r="A205" s="1" t="s">
        <v>526</v>
      </c>
      <c r="B205" s="1" t="s">
        <v>527</v>
      </c>
      <c r="C205" s="1" t="s">
        <v>173</v>
      </c>
      <c r="D205" s="1" t="s">
        <v>204</v>
      </c>
      <c r="E205" s="1" t="s">
        <v>87</v>
      </c>
      <c r="F205" s="1" t="s">
        <v>143</v>
      </c>
    </row>
    <row r="206" spans="1:6" x14ac:dyDescent="0.35">
      <c r="A206" s="1" t="s">
        <v>528</v>
      </c>
      <c r="B206" s="1" t="s">
        <v>529</v>
      </c>
      <c r="C206" s="1" t="s">
        <v>149</v>
      </c>
      <c r="D206" s="1" t="s">
        <v>110</v>
      </c>
      <c r="E206" s="1" t="s">
        <v>63</v>
      </c>
      <c r="F206" s="1" t="s">
        <v>124</v>
      </c>
    </row>
    <row r="207" spans="1:6" x14ac:dyDescent="0.35">
      <c r="A207" s="1" t="s">
        <v>530</v>
      </c>
      <c r="B207" s="1" t="s">
        <v>531</v>
      </c>
      <c r="C207" s="1" t="s">
        <v>272</v>
      </c>
      <c r="D207" s="1" t="s">
        <v>165</v>
      </c>
      <c r="E207" s="1" t="s">
        <v>39</v>
      </c>
      <c r="F207" s="1" t="s">
        <v>128</v>
      </c>
    </row>
    <row r="208" spans="1:6" x14ac:dyDescent="0.35">
      <c r="A208" s="1" t="s">
        <v>532</v>
      </c>
      <c r="B208" s="1" t="s">
        <v>533</v>
      </c>
      <c r="C208" s="1" t="s">
        <v>168</v>
      </c>
      <c r="D208" s="1" t="s">
        <v>117</v>
      </c>
      <c r="E208" s="1" t="s">
        <v>82</v>
      </c>
      <c r="F208" s="1" t="s">
        <v>171</v>
      </c>
    </row>
    <row r="209" spans="1:6" x14ac:dyDescent="0.35">
      <c r="A209" s="1" t="s">
        <v>534</v>
      </c>
      <c r="B209" s="1" t="s">
        <v>535</v>
      </c>
      <c r="C209" s="1" t="s">
        <v>164</v>
      </c>
      <c r="D209" s="1" t="s">
        <v>156</v>
      </c>
      <c r="E209" s="1" t="s">
        <v>87</v>
      </c>
      <c r="F209" s="1" t="s">
        <v>121</v>
      </c>
    </row>
    <row r="210" spans="1:6" x14ac:dyDescent="0.35">
      <c r="A210" s="1" t="s">
        <v>536</v>
      </c>
      <c r="B210" s="1" t="s">
        <v>537</v>
      </c>
      <c r="C210" s="1" t="s">
        <v>111</v>
      </c>
      <c r="D210" s="1" t="s">
        <v>165</v>
      </c>
      <c r="E210" s="1" t="s">
        <v>8</v>
      </c>
      <c r="F210" s="1" t="s">
        <v>143</v>
      </c>
    </row>
    <row r="211" spans="1:6" x14ac:dyDescent="0.35">
      <c r="A211" s="1" t="s">
        <v>538</v>
      </c>
      <c r="B211" s="1" t="s">
        <v>539</v>
      </c>
      <c r="C211" s="1" t="s">
        <v>191</v>
      </c>
      <c r="D211" s="1" t="s">
        <v>165</v>
      </c>
      <c r="E211" s="1" t="s">
        <v>8</v>
      </c>
      <c r="F211" s="1" t="s">
        <v>157</v>
      </c>
    </row>
    <row r="212" spans="1:6" x14ac:dyDescent="0.35">
      <c r="A212" s="1" t="s">
        <v>540</v>
      </c>
      <c r="B212" s="1" t="s">
        <v>541</v>
      </c>
      <c r="C212" s="1" t="s">
        <v>272</v>
      </c>
      <c r="D212" s="1" t="s">
        <v>138</v>
      </c>
      <c r="E212" s="1" t="s">
        <v>73</v>
      </c>
      <c r="F212" s="1" t="s">
        <v>157</v>
      </c>
    </row>
    <row r="213" spans="1:6" x14ac:dyDescent="0.35">
      <c r="A213" s="1" t="s">
        <v>542</v>
      </c>
      <c r="B213" s="1" t="s">
        <v>543</v>
      </c>
      <c r="C213" s="1" t="s">
        <v>133</v>
      </c>
      <c r="D213" s="1" t="s">
        <v>138</v>
      </c>
      <c r="E213" s="1" t="s">
        <v>69</v>
      </c>
      <c r="F213" s="1" t="s">
        <v>157</v>
      </c>
    </row>
    <row r="214" spans="1:6" x14ac:dyDescent="0.35">
      <c r="A214" s="1" t="s">
        <v>544</v>
      </c>
      <c r="B214" s="1" t="s">
        <v>545</v>
      </c>
      <c r="C214" s="1" t="s">
        <v>191</v>
      </c>
      <c r="D214" s="1" t="s">
        <v>127</v>
      </c>
      <c r="E214" s="1" t="s">
        <v>78</v>
      </c>
      <c r="F214" s="1" t="s">
        <v>121</v>
      </c>
    </row>
    <row r="215" spans="1:6" x14ac:dyDescent="0.35">
      <c r="A215" s="1" t="s">
        <v>546</v>
      </c>
      <c r="B215" s="1" t="s">
        <v>547</v>
      </c>
      <c r="C215" s="1" t="s">
        <v>116</v>
      </c>
      <c r="D215" s="1" t="s">
        <v>110</v>
      </c>
      <c r="E215" s="1" t="s">
        <v>82</v>
      </c>
      <c r="F215" s="1" t="s">
        <v>157</v>
      </c>
    </row>
    <row r="216" spans="1:6" x14ac:dyDescent="0.35">
      <c r="A216" s="1" t="s">
        <v>548</v>
      </c>
      <c r="B216" s="1" t="s">
        <v>549</v>
      </c>
      <c r="C216" s="1" t="s">
        <v>172</v>
      </c>
      <c r="D216" s="1" t="s">
        <v>243</v>
      </c>
      <c r="E216" s="1" t="s">
        <v>51</v>
      </c>
      <c r="F216" s="1" t="s">
        <v>157</v>
      </c>
    </row>
    <row r="217" spans="1:6" x14ac:dyDescent="0.35">
      <c r="A217" s="1" t="s">
        <v>550</v>
      </c>
      <c r="B217" s="1" t="s">
        <v>551</v>
      </c>
      <c r="C217" s="1" t="s">
        <v>116</v>
      </c>
      <c r="D217" s="1" t="s">
        <v>214</v>
      </c>
      <c r="E217" s="1" t="s">
        <v>35</v>
      </c>
      <c r="F217" s="1" t="s">
        <v>124</v>
      </c>
    </row>
    <row r="218" spans="1:6" x14ac:dyDescent="0.35">
      <c r="A218" s="1" t="s">
        <v>552</v>
      </c>
      <c r="B218" s="1" t="s">
        <v>553</v>
      </c>
      <c r="C218" s="1" t="s">
        <v>197</v>
      </c>
      <c r="D218" s="1" t="s">
        <v>243</v>
      </c>
      <c r="E218" s="1" t="s">
        <v>87</v>
      </c>
      <c r="F218" s="1" t="s">
        <v>261</v>
      </c>
    </row>
    <row r="219" spans="1:6" x14ac:dyDescent="0.35">
      <c r="A219" s="1" t="s">
        <v>554</v>
      </c>
      <c r="B219" s="1" t="s">
        <v>555</v>
      </c>
      <c r="C219" s="1" t="s">
        <v>191</v>
      </c>
      <c r="D219" s="1" t="s">
        <v>243</v>
      </c>
      <c r="E219" s="1" t="s">
        <v>15</v>
      </c>
      <c r="F219" s="1" t="s">
        <v>124</v>
      </c>
    </row>
    <row r="220" spans="1:6" x14ac:dyDescent="0.35">
      <c r="A220" s="1" t="s">
        <v>556</v>
      </c>
      <c r="B220" s="1" t="s">
        <v>557</v>
      </c>
      <c r="C220" s="1" t="s">
        <v>173</v>
      </c>
      <c r="D220" s="1" t="s">
        <v>156</v>
      </c>
      <c r="E220" s="1" t="s">
        <v>69</v>
      </c>
      <c r="F220" s="1" t="s">
        <v>157</v>
      </c>
    </row>
    <row r="221" spans="1:6" x14ac:dyDescent="0.35">
      <c r="A221" s="1" t="s">
        <v>558</v>
      </c>
      <c r="B221" s="1" t="s">
        <v>559</v>
      </c>
      <c r="C221" s="1" t="s">
        <v>188</v>
      </c>
      <c r="D221" s="1" t="s">
        <v>204</v>
      </c>
      <c r="E221" s="1" t="s">
        <v>8</v>
      </c>
      <c r="F221" s="1" t="s">
        <v>124</v>
      </c>
    </row>
    <row r="222" spans="1:6" x14ac:dyDescent="0.35">
      <c r="A222" s="1" t="s">
        <v>560</v>
      </c>
      <c r="B222" s="1" t="s">
        <v>561</v>
      </c>
      <c r="C222" s="1" t="s">
        <v>141</v>
      </c>
      <c r="D222" s="1" t="s">
        <v>192</v>
      </c>
      <c r="E222" s="1" t="s">
        <v>15</v>
      </c>
      <c r="F222" s="1" t="s">
        <v>171</v>
      </c>
    </row>
    <row r="223" spans="1:6" x14ac:dyDescent="0.35">
      <c r="A223" s="1" t="s">
        <v>28</v>
      </c>
      <c r="B223" s="1" t="s">
        <v>28</v>
      </c>
      <c r="C223" s="1" t="s">
        <v>28</v>
      </c>
      <c r="D223" s="1" t="s">
        <v>28</v>
      </c>
      <c r="E223" s="1" t="s">
        <v>28</v>
      </c>
      <c r="F223" s="1" t="s">
        <v>28</v>
      </c>
    </row>
    <row r="224" spans="1:6" x14ac:dyDescent="0.35">
      <c r="A224" s="1" t="s">
        <v>28</v>
      </c>
      <c r="B224" s="1" t="s">
        <v>28</v>
      </c>
      <c r="C224" s="1" t="s">
        <v>28</v>
      </c>
      <c r="D224" s="1" t="s">
        <v>28</v>
      </c>
      <c r="E224" s="1" t="s">
        <v>28</v>
      </c>
      <c r="F224" s="1" t="s">
        <v>28</v>
      </c>
    </row>
    <row r="225" spans="1:6" x14ac:dyDescent="0.35">
      <c r="A225" s="1" t="s">
        <v>562</v>
      </c>
      <c r="B225" s="1" t="s">
        <v>563</v>
      </c>
      <c r="C225" s="1" t="s">
        <v>191</v>
      </c>
      <c r="D225" s="1" t="s">
        <v>204</v>
      </c>
      <c r="E225" s="1" t="s">
        <v>51</v>
      </c>
      <c r="F225" s="1" t="s">
        <v>419</v>
      </c>
    </row>
    <row r="226" spans="1:6" x14ac:dyDescent="0.35">
      <c r="A226" s="1" t="s">
        <v>564</v>
      </c>
      <c r="B226" s="1" t="s">
        <v>565</v>
      </c>
      <c r="C226" s="1" t="s">
        <v>173</v>
      </c>
      <c r="D226" s="1" t="s">
        <v>156</v>
      </c>
      <c r="E226" s="1" t="s">
        <v>39</v>
      </c>
      <c r="F226" s="1" t="s">
        <v>124</v>
      </c>
    </row>
    <row r="227" spans="1:6" x14ac:dyDescent="0.35">
      <c r="A227" s="1" t="s">
        <v>566</v>
      </c>
      <c r="B227" s="1" t="s">
        <v>567</v>
      </c>
      <c r="C227" s="1" t="s">
        <v>172</v>
      </c>
      <c r="D227" s="1" t="s">
        <v>243</v>
      </c>
      <c r="E227" s="1" t="s">
        <v>35</v>
      </c>
      <c r="F227" s="1" t="s">
        <v>124</v>
      </c>
    </row>
    <row r="228" spans="1:6" x14ac:dyDescent="0.35">
      <c r="A228" s="1" t="s">
        <v>568</v>
      </c>
      <c r="B228" s="1" t="s">
        <v>569</v>
      </c>
      <c r="C228" s="1" t="s">
        <v>113</v>
      </c>
      <c r="D228" s="1" t="s">
        <v>110</v>
      </c>
      <c r="E228" s="1" t="s">
        <v>78</v>
      </c>
      <c r="F228" s="1" t="s">
        <v>143</v>
      </c>
    </row>
    <row r="229" spans="1:6" x14ac:dyDescent="0.35">
      <c r="A229" s="1" t="s">
        <v>570</v>
      </c>
      <c r="B229" s="1" t="s">
        <v>571</v>
      </c>
      <c r="C229" s="1" t="s">
        <v>168</v>
      </c>
      <c r="D229" s="1" t="s">
        <v>156</v>
      </c>
      <c r="E229" s="1" t="s">
        <v>73</v>
      </c>
      <c r="F229" s="1" t="s">
        <v>124</v>
      </c>
    </row>
    <row r="230" spans="1:6" x14ac:dyDescent="0.35">
      <c r="A230" s="1" t="s">
        <v>572</v>
      </c>
      <c r="B230" s="1" t="s">
        <v>573</v>
      </c>
      <c r="C230" s="1" t="s">
        <v>109</v>
      </c>
      <c r="D230" s="1" t="s">
        <v>183</v>
      </c>
      <c r="E230" s="1" t="s">
        <v>15</v>
      </c>
      <c r="F230" s="1" t="s">
        <v>121</v>
      </c>
    </row>
    <row r="231" spans="1:6" x14ac:dyDescent="0.35">
      <c r="A231" s="1" t="s">
        <v>574</v>
      </c>
      <c r="B231" s="1" t="s">
        <v>575</v>
      </c>
      <c r="C231" s="1" t="s">
        <v>173</v>
      </c>
      <c r="D231" s="1" t="s">
        <v>183</v>
      </c>
      <c r="E231" s="1" t="s">
        <v>8</v>
      </c>
      <c r="F231" s="1" t="s">
        <v>128</v>
      </c>
    </row>
    <row r="232" spans="1:6" x14ac:dyDescent="0.35">
      <c r="A232" s="1" t="s">
        <v>576</v>
      </c>
      <c r="B232" s="1" t="s">
        <v>577</v>
      </c>
      <c r="C232" s="1" t="s">
        <v>191</v>
      </c>
      <c r="D232" s="1" t="s">
        <v>183</v>
      </c>
      <c r="E232" s="1" t="s">
        <v>15</v>
      </c>
      <c r="F232" s="1" t="s">
        <v>143</v>
      </c>
    </row>
    <row r="233" spans="1:6" x14ac:dyDescent="0.35">
      <c r="A233" s="1" t="s">
        <v>578</v>
      </c>
      <c r="B233" s="1" t="s">
        <v>579</v>
      </c>
      <c r="C233" s="1" t="s">
        <v>116</v>
      </c>
      <c r="D233" s="1" t="s">
        <v>192</v>
      </c>
      <c r="E233" s="1" t="s">
        <v>15</v>
      </c>
      <c r="F233" s="1" t="s">
        <v>171</v>
      </c>
    </row>
    <row r="234" spans="1:6" x14ac:dyDescent="0.35">
      <c r="A234" s="1" t="s">
        <v>580</v>
      </c>
      <c r="B234" s="1" t="s">
        <v>581</v>
      </c>
      <c r="C234" s="1" t="s">
        <v>197</v>
      </c>
      <c r="D234" s="1" t="s">
        <v>138</v>
      </c>
      <c r="E234" s="1" t="s">
        <v>45</v>
      </c>
      <c r="F234" s="1" t="s">
        <v>143</v>
      </c>
    </row>
    <row r="235" spans="1:6" x14ac:dyDescent="0.35">
      <c r="A235" s="1" t="s">
        <v>582</v>
      </c>
      <c r="B235" s="1" t="s">
        <v>583</v>
      </c>
      <c r="C235" s="1" t="s">
        <v>113</v>
      </c>
      <c r="D235" s="1" t="s">
        <v>192</v>
      </c>
      <c r="E235" s="1" t="s">
        <v>82</v>
      </c>
      <c r="F235" s="1" t="s">
        <v>419</v>
      </c>
    </row>
    <row r="236" spans="1:6" x14ac:dyDescent="0.35">
      <c r="A236" s="1" t="s">
        <v>584</v>
      </c>
      <c r="B236" s="1" t="s">
        <v>585</v>
      </c>
      <c r="C236" s="1" t="s">
        <v>109</v>
      </c>
      <c r="D236" s="1" t="s">
        <v>183</v>
      </c>
      <c r="E236" s="1" t="s">
        <v>82</v>
      </c>
      <c r="F236" s="1" t="s">
        <v>171</v>
      </c>
    </row>
    <row r="237" spans="1:6" x14ac:dyDescent="0.35">
      <c r="A237" s="1" t="s">
        <v>586</v>
      </c>
      <c r="B237" s="1" t="s">
        <v>587</v>
      </c>
      <c r="C237" s="1" t="s">
        <v>168</v>
      </c>
      <c r="D237" s="1" t="s">
        <v>110</v>
      </c>
      <c r="E237" s="1" t="s">
        <v>35</v>
      </c>
      <c r="F237" s="1" t="s">
        <v>121</v>
      </c>
    </row>
    <row r="238" spans="1:6" x14ac:dyDescent="0.35">
      <c r="A238" s="1" t="s">
        <v>588</v>
      </c>
      <c r="B238" s="1" t="s">
        <v>589</v>
      </c>
      <c r="C238" s="1" t="s">
        <v>149</v>
      </c>
      <c r="D238" s="1" t="s">
        <v>204</v>
      </c>
      <c r="E238" s="1" t="s">
        <v>87</v>
      </c>
      <c r="F238" s="1" t="s">
        <v>128</v>
      </c>
    </row>
    <row r="239" spans="1:6" x14ac:dyDescent="0.35">
      <c r="A239" s="1" t="s">
        <v>590</v>
      </c>
      <c r="B239" s="1" t="s">
        <v>591</v>
      </c>
      <c r="C239" s="1" t="s">
        <v>197</v>
      </c>
      <c r="D239" s="1" t="s">
        <v>110</v>
      </c>
      <c r="E239" s="1" t="s">
        <v>15</v>
      </c>
      <c r="F239" s="1" t="s">
        <v>150</v>
      </c>
    </row>
    <row r="240" spans="1:6" x14ac:dyDescent="0.35">
      <c r="A240" s="1" t="s">
        <v>592</v>
      </c>
      <c r="B240" s="1" t="s">
        <v>593</v>
      </c>
      <c r="C240" s="1" t="s">
        <v>197</v>
      </c>
      <c r="D240" s="1" t="s">
        <v>138</v>
      </c>
      <c r="E240" s="1" t="s">
        <v>35</v>
      </c>
      <c r="F240" s="1" t="s">
        <v>128</v>
      </c>
    </row>
    <row r="241" spans="1:6" x14ac:dyDescent="0.35">
      <c r="A241" s="1" t="s">
        <v>594</v>
      </c>
      <c r="B241" s="1" t="s">
        <v>595</v>
      </c>
      <c r="C241" s="1" t="s">
        <v>106</v>
      </c>
      <c r="D241" s="1" t="s">
        <v>204</v>
      </c>
      <c r="E241" s="1" t="s">
        <v>39</v>
      </c>
      <c r="F241" s="1" t="s">
        <v>143</v>
      </c>
    </row>
    <row r="242" spans="1:6" x14ac:dyDescent="0.35">
      <c r="A242" s="1" t="s">
        <v>596</v>
      </c>
      <c r="B242" s="1" t="s">
        <v>597</v>
      </c>
      <c r="C242" s="1" t="s">
        <v>141</v>
      </c>
      <c r="D242" s="1" t="s">
        <v>107</v>
      </c>
      <c r="E242" s="1" t="s">
        <v>87</v>
      </c>
      <c r="F242" s="1" t="s">
        <v>143</v>
      </c>
    </row>
    <row r="243" spans="1:6" x14ac:dyDescent="0.35">
      <c r="A243" s="1" t="s">
        <v>598</v>
      </c>
      <c r="B243" s="1" t="s">
        <v>599</v>
      </c>
      <c r="C243" s="1" t="s">
        <v>173</v>
      </c>
      <c r="D243" s="1" t="s">
        <v>142</v>
      </c>
      <c r="E243" s="1" t="s">
        <v>57</v>
      </c>
      <c r="F243" s="1" t="s">
        <v>128</v>
      </c>
    </row>
    <row r="244" spans="1:6" x14ac:dyDescent="0.35">
      <c r="A244" s="1" t="s">
        <v>600</v>
      </c>
      <c r="B244" s="1" t="s">
        <v>601</v>
      </c>
      <c r="C244" s="1" t="s">
        <v>168</v>
      </c>
      <c r="D244" s="1" t="s">
        <v>110</v>
      </c>
      <c r="E244" s="1" t="s">
        <v>69</v>
      </c>
      <c r="F244" s="1" t="s">
        <v>252</v>
      </c>
    </row>
    <row r="245" spans="1:6" x14ac:dyDescent="0.35">
      <c r="A245" s="1" t="s">
        <v>602</v>
      </c>
      <c r="B245" s="1" t="s">
        <v>603</v>
      </c>
      <c r="C245" s="1" t="s">
        <v>133</v>
      </c>
      <c r="D245" s="1" t="s">
        <v>153</v>
      </c>
      <c r="E245" s="1" t="s">
        <v>82</v>
      </c>
      <c r="F245" s="1" t="s">
        <v>261</v>
      </c>
    </row>
    <row r="246" spans="1:6" x14ac:dyDescent="0.35">
      <c r="A246" s="1" t="s">
        <v>604</v>
      </c>
      <c r="B246" s="1" t="s">
        <v>605</v>
      </c>
      <c r="C246" s="1" t="s">
        <v>188</v>
      </c>
      <c r="D246" s="1" t="s">
        <v>110</v>
      </c>
      <c r="E246" s="1" t="s">
        <v>8</v>
      </c>
      <c r="F246" s="1" t="s">
        <v>134</v>
      </c>
    </row>
    <row r="247" spans="1:6" x14ac:dyDescent="0.35">
      <c r="A247" s="1" t="s">
        <v>606</v>
      </c>
      <c r="B247" s="1" t="s">
        <v>607</v>
      </c>
      <c r="C247" s="1" t="s">
        <v>191</v>
      </c>
      <c r="D247" s="1" t="s">
        <v>107</v>
      </c>
      <c r="E247" s="1" t="s">
        <v>82</v>
      </c>
      <c r="F247" s="1" t="s">
        <v>128</v>
      </c>
    </row>
    <row r="248" spans="1:6" x14ac:dyDescent="0.35">
      <c r="A248" s="1" t="s">
        <v>608</v>
      </c>
      <c r="B248" s="1" t="s">
        <v>609</v>
      </c>
      <c r="C248" s="1" t="s">
        <v>172</v>
      </c>
      <c r="D248" s="1" t="s">
        <v>127</v>
      </c>
      <c r="E248" s="1" t="s">
        <v>15</v>
      </c>
      <c r="F248" s="1" t="s">
        <v>108</v>
      </c>
    </row>
    <row r="249" spans="1:6" x14ac:dyDescent="0.35">
      <c r="A249" s="1" t="s">
        <v>610</v>
      </c>
      <c r="B249" s="1" t="s">
        <v>611</v>
      </c>
      <c r="C249" s="1" t="s">
        <v>137</v>
      </c>
      <c r="D249" s="1" t="s">
        <v>156</v>
      </c>
      <c r="E249" s="1" t="s">
        <v>87</v>
      </c>
      <c r="F249" s="1" t="s">
        <v>121</v>
      </c>
    </row>
    <row r="250" spans="1:6" x14ac:dyDescent="0.35">
      <c r="A250" s="1" t="s">
        <v>612</v>
      </c>
      <c r="B250" s="1" t="s">
        <v>350</v>
      </c>
      <c r="C250" s="1" t="s">
        <v>164</v>
      </c>
      <c r="D250" s="1" t="s">
        <v>112</v>
      </c>
      <c r="E250" s="1" t="s">
        <v>63</v>
      </c>
      <c r="F250" s="1" t="s">
        <v>121</v>
      </c>
    </row>
    <row r="251" spans="1:6" x14ac:dyDescent="0.35">
      <c r="A251" s="1" t="s">
        <v>613</v>
      </c>
      <c r="B251" s="1" t="s">
        <v>614</v>
      </c>
      <c r="C251" s="1" t="s">
        <v>106</v>
      </c>
      <c r="D251" s="1" t="s">
        <v>165</v>
      </c>
      <c r="E251" s="1" t="s">
        <v>8</v>
      </c>
      <c r="F251" s="1" t="s">
        <v>121</v>
      </c>
    </row>
    <row r="252" spans="1:6" x14ac:dyDescent="0.35">
      <c r="A252" s="1" t="s">
        <v>615</v>
      </c>
      <c r="B252" s="1" t="s">
        <v>603</v>
      </c>
      <c r="C252" s="1" t="s">
        <v>168</v>
      </c>
      <c r="D252" s="1" t="s">
        <v>138</v>
      </c>
      <c r="E252" s="1" t="s">
        <v>21</v>
      </c>
      <c r="F252" s="1" t="s">
        <v>171</v>
      </c>
    </row>
    <row r="253" spans="1:6" x14ac:dyDescent="0.35">
      <c r="A253" s="1" t="s">
        <v>616</v>
      </c>
      <c r="B253" s="1" t="s">
        <v>617</v>
      </c>
      <c r="C253" s="1" t="s">
        <v>149</v>
      </c>
      <c r="D253" s="1" t="s">
        <v>117</v>
      </c>
      <c r="E253" s="1" t="s">
        <v>82</v>
      </c>
      <c r="F253" s="1" t="s">
        <v>146</v>
      </c>
    </row>
    <row r="254" spans="1:6" x14ac:dyDescent="0.35">
      <c r="A254" s="1" t="s">
        <v>618</v>
      </c>
      <c r="B254" s="1" t="s">
        <v>619</v>
      </c>
      <c r="C254" s="1" t="s">
        <v>149</v>
      </c>
      <c r="D254" s="1" t="s">
        <v>165</v>
      </c>
      <c r="E254" s="1" t="s">
        <v>8</v>
      </c>
      <c r="F254" s="1" t="s">
        <v>157</v>
      </c>
    </row>
    <row r="255" spans="1:6" x14ac:dyDescent="0.35">
      <c r="A255" s="1" t="s">
        <v>620</v>
      </c>
      <c r="B255" s="1" t="s">
        <v>621</v>
      </c>
      <c r="C255" s="1" t="s">
        <v>173</v>
      </c>
      <c r="D255" s="1" t="s">
        <v>153</v>
      </c>
      <c r="E255" s="1" t="s">
        <v>51</v>
      </c>
      <c r="F255" s="1" t="s">
        <v>124</v>
      </c>
    </row>
    <row r="256" spans="1:6" x14ac:dyDescent="0.35">
      <c r="A256" s="1" t="s">
        <v>622</v>
      </c>
      <c r="B256" s="1" t="s">
        <v>623</v>
      </c>
      <c r="C256" s="1" t="s">
        <v>176</v>
      </c>
      <c r="D256" s="1" t="s">
        <v>183</v>
      </c>
      <c r="E256" s="1" t="s">
        <v>57</v>
      </c>
      <c r="F256" s="1" t="s">
        <v>157</v>
      </c>
    </row>
    <row r="257" spans="1:6" x14ac:dyDescent="0.35">
      <c r="A257" s="1" t="s">
        <v>624</v>
      </c>
      <c r="B257" s="1" t="s">
        <v>625</v>
      </c>
      <c r="C257" s="1" t="s">
        <v>113</v>
      </c>
      <c r="D257" s="1" t="s">
        <v>183</v>
      </c>
      <c r="E257" s="1" t="s">
        <v>51</v>
      </c>
      <c r="F257" s="1" t="s">
        <v>150</v>
      </c>
    </row>
    <row r="258" spans="1:6" x14ac:dyDescent="0.35">
      <c r="A258" s="1" t="s">
        <v>626</v>
      </c>
      <c r="B258" s="1" t="s">
        <v>627</v>
      </c>
      <c r="C258" s="1" t="s">
        <v>176</v>
      </c>
      <c r="D258" s="1" t="s">
        <v>117</v>
      </c>
      <c r="E258" s="1" t="s">
        <v>39</v>
      </c>
      <c r="F258" s="1" t="s">
        <v>171</v>
      </c>
    </row>
    <row r="259" spans="1:6" x14ac:dyDescent="0.35">
      <c r="A259" s="1" t="s">
        <v>628</v>
      </c>
      <c r="B259" s="1" t="s">
        <v>629</v>
      </c>
      <c r="C259" s="1" t="s">
        <v>106</v>
      </c>
      <c r="D259" s="1" t="s">
        <v>28</v>
      </c>
      <c r="E259" s="1" t="s">
        <v>63</v>
      </c>
      <c r="F259" s="1" t="s">
        <v>157</v>
      </c>
    </row>
    <row r="260" spans="1:6" x14ac:dyDescent="0.35">
      <c r="A260" s="1" t="s">
        <v>630</v>
      </c>
      <c r="B260" s="1" t="s">
        <v>631</v>
      </c>
      <c r="C260" s="1" t="s">
        <v>176</v>
      </c>
      <c r="D260" s="1" t="s">
        <v>192</v>
      </c>
      <c r="E260" s="1" t="s">
        <v>15</v>
      </c>
      <c r="F260" s="1" t="s">
        <v>314</v>
      </c>
    </row>
    <row r="261" spans="1:6" x14ac:dyDescent="0.35">
      <c r="A261" s="1" t="s">
        <v>632</v>
      </c>
      <c r="B261" s="1" t="s">
        <v>633</v>
      </c>
      <c r="C261" s="1" t="s">
        <v>133</v>
      </c>
      <c r="D261" s="1" t="s">
        <v>117</v>
      </c>
      <c r="E261" s="1" t="s">
        <v>45</v>
      </c>
      <c r="F261" s="1" t="s">
        <v>143</v>
      </c>
    </row>
    <row r="262" spans="1:6" x14ac:dyDescent="0.35">
      <c r="A262" s="1" t="s">
        <v>634</v>
      </c>
      <c r="B262" s="1" t="s">
        <v>635</v>
      </c>
      <c r="C262" s="1" t="s">
        <v>137</v>
      </c>
      <c r="D262" s="1" t="s">
        <v>156</v>
      </c>
      <c r="E262" s="1" t="s">
        <v>21</v>
      </c>
      <c r="F262" s="1" t="s">
        <v>134</v>
      </c>
    </row>
    <row r="263" spans="1:6" x14ac:dyDescent="0.35">
      <c r="A263" s="1" t="s">
        <v>636</v>
      </c>
      <c r="B263" s="1" t="s">
        <v>555</v>
      </c>
      <c r="C263" s="1" t="s">
        <v>240</v>
      </c>
      <c r="D263" s="1" t="s">
        <v>214</v>
      </c>
      <c r="E263" s="1" t="s">
        <v>78</v>
      </c>
      <c r="F263" s="1" t="s">
        <v>124</v>
      </c>
    </row>
    <row r="264" spans="1:6" x14ac:dyDescent="0.35">
      <c r="A264" s="1" t="s">
        <v>637</v>
      </c>
      <c r="B264" s="1" t="s">
        <v>638</v>
      </c>
      <c r="C264" s="1" t="s">
        <v>141</v>
      </c>
      <c r="D264" s="1" t="s">
        <v>192</v>
      </c>
      <c r="E264" s="1" t="s">
        <v>57</v>
      </c>
      <c r="F264" s="1" t="s">
        <v>143</v>
      </c>
    </row>
    <row r="265" spans="1:6" x14ac:dyDescent="0.35">
      <c r="A265" s="1" t="s">
        <v>637</v>
      </c>
      <c r="B265" s="1" t="s">
        <v>638</v>
      </c>
      <c r="C265" s="1" t="s">
        <v>109</v>
      </c>
      <c r="D265" s="1" t="s">
        <v>192</v>
      </c>
      <c r="E265" s="1" t="s">
        <v>57</v>
      </c>
      <c r="F265" s="1" t="s">
        <v>143</v>
      </c>
    </row>
    <row r="266" spans="1:6" x14ac:dyDescent="0.35">
      <c r="A266" s="1" t="s">
        <v>637</v>
      </c>
      <c r="B266" s="1" t="s">
        <v>638</v>
      </c>
      <c r="C266" s="1" t="s">
        <v>639</v>
      </c>
      <c r="D266" s="1" t="s">
        <v>192</v>
      </c>
      <c r="E266" s="1" t="s">
        <v>57</v>
      </c>
      <c r="F266" s="1" t="s">
        <v>143</v>
      </c>
    </row>
    <row r="267" spans="1:6" x14ac:dyDescent="0.35">
      <c r="A267" s="1" t="s">
        <v>640</v>
      </c>
      <c r="B267" s="1" t="s">
        <v>641</v>
      </c>
      <c r="C267" s="1" t="s">
        <v>116</v>
      </c>
      <c r="D267" s="1" t="s">
        <v>138</v>
      </c>
      <c r="E267" s="1" t="s">
        <v>73</v>
      </c>
      <c r="F267" s="1" t="s">
        <v>124</v>
      </c>
    </row>
    <row r="268" spans="1:6" x14ac:dyDescent="0.35">
      <c r="A268" s="1" t="s">
        <v>642</v>
      </c>
      <c r="B268" s="1" t="s">
        <v>633</v>
      </c>
      <c r="C268" s="1" t="s">
        <v>164</v>
      </c>
      <c r="D268" s="1" t="s">
        <v>214</v>
      </c>
      <c r="E268" s="1" t="s">
        <v>78</v>
      </c>
      <c r="F268" s="1" t="s">
        <v>171</v>
      </c>
    </row>
    <row r="269" spans="1:6" x14ac:dyDescent="0.35">
      <c r="A269" s="1" t="s">
        <v>643</v>
      </c>
      <c r="B269" s="1" t="s">
        <v>644</v>
      </c>
      <c r="C269" s="1" t="s">
        <v>113</v>
      </c>
      <c r="D269" s="1" t="s">
        <v>165</v>
      </c>
      <c r="E269" s="1" t="s">
        <v>35</v>
      </c>
      <c r="F269" s="1" t="s">
        <v>143</v>
      </c>
    </row>
    <row r="270" spans="1:6" x14ac:dyDescent="0.35">
      <c r="A270" s="1" t="s">
        <v>645</v>
      </c>
      <c r="B270" s="1" t="s">
        <v>646</v>
      </c>
      <c r="C270" s="1" t="s">
        <v>168</v>
      </c>
      <c r="D270" s="1" t="s">
        <v>165</v>
      </c>
      <c r="E270" s="1" t="s">
        <v>21</v>
      </c>
      <c r="F270" s="1" t="s">
        <v>124</v>
      </c>
    </row>
    <row r="271" spans="1:6" x14ac:dyDescent="0.35">
      <c r="A271" s="1" t="s">
        <v>647</v>
      </c>
      <c r="B271" s="1" t="s">
        <v>237</v>
      </c>
      <c r="C271" s="1" t="s">
        <v>164</v>
      </c>
      <c r="D271" s="1" t="s">
        <v>204</v>
      </c>
      <c r="E271" s="1" t="s">
        <v>82</v>
      </c>
      <c r="F271" s="1" t="s">
        <v>171</v>
      </c>
    </row>
    <row r="272" spans="1:6" x14ac:dyDescent="0.35">
      <c r="A272" s="1" t="s">
        <v>648</v>
      </c>
      <c r="B272" s="1" t="s">
        <v>649</v>
      </c>
      <c r="C272" s="1" t="s">
        <v>106</v>
      </c>
      <c r="D272" s="1" t="s">
        <v>142</v>
      </c>
      <c r="E272" s="1" t="s">
        <v>8</v>
      </c>
      <c r="F272" s="1" t="s">
        <v>252</v>
      </c>
    </row>
    <row r="273" spans="1:6" x14ac:dyDescent="0.35">
      <c r="A273" s="1" t="s">
        <v>650</v>
      </c>
      <c r="B273" s="1" t="s">
        <v>651</v>
      </c>
      <c r="C273" s="1" t="s">
        <v>133</v>
      </c>
      <c r="D273" s="1" t="s">
        <v>138</v>
      </c>
      <c r="E273" s="1" t="s">
        <v>63</v>
      </c>
      <c r="F273" s="1" t="s">
        <v>171</v>
      </c>
    </row>
    <row r="274" spans="1:6" x14ac:dyDescent="0.35">
      <c r="A274" s="1" t="s">
        <v>652</v>
      </c>
      <c r="B274" s="1" t="s">
        <v>653</v>
      </c>
      <c r="C274" s="1" t="s">
        <v>141</v>
      </c>
      <c r="D274" s="1" t="s">
        <v>107</v>
      </c>
      <c r="E274" s="1" t="s">
        <v>51</v>
      </c>
      <c r="F274" s="1" t="s">
        <v>143</v>
      </c>
    </row>
    <row r="275" spans="1:6" x14ac:dyDescent="0.35">
      <c r="A275" s="1" t="s">
        <v>654</v>
      </c>
      <c r="B275" s="1" t="s">
        <v>655</v>
      </c>
      <c r="C275" s="1" t="s">
        <v>173</v>
      </c>
      <c r="D275" s="1" t="s">
        <v>117</v>
      </c>
      <c r="E275" s="1" t="s">
        <v>87</v>
      </c>
      <c r="F275" s="1" t="s">
        <v>143</v>
      </c>
    </row>
    <row r="276" spans="1:6" x14ac:dyDescent="0.35">
      <c r="A276" s="1" t="s">
        <v>656</v>
      </c>
      <c r="B276" s="1" t="s">
        <v>657</v>
      </c>
      <c r="C276" s="1" t="s">
        <v>172</v>
      </c>
      <c r="D276" s="1" t="s">
        <v>110</v>
      </c>
      <c r="E276" s="1" t="s">
        <v>63</v>
      </c>
      <c r="F276" s="1" t="s">
        <v>108</v>
      </c>
    </row>
    <row r="277" spans="1:6" x14ac:dyDescent="0.35">
      <c r="A277" s="1" t="s">
        <v>658</v>
      </c>
      <c r="B277" s="1" t="s">
        <v>659</v>
      </c>
      <c r="C277" s="1" t="s">
        <v>248</v>
      </c>
      <c r="D277" s="1" t="s">
        <v>214</v>
      </c>
      <c r="E277" s="1" t="s">
        <v>87</v>
      </c>
      <c r="F277" s="1" t="s">
        <v>128</v>
      </c>
    </row>
    <row r="278" spans="1:6" x14ac:dyDescent="0.35">
      <c r="A278" s="1" t="s">
        <v>660</v>
      </c>
      <c r="B278" s="1" t="s">
        <v>661</v>
      </c>
      <c r="C278" s="1" t="s">
        <v>172</v>
      </c>
      <c r="D278" s="1" t="s">
        <v>112</v>
      </c>
      <c r="E278" s="1" t="s">
        <v>8</v>
      </c>
      <c r="F278" s="1" t="s">
        <v>211</v>
      </c>
    </row>
    <row r="279" spans="1:6" x14ac:dyDescent="0.35">
      <c r="A279" s="1" t="s">
        <v>662</v>
      </c>
      <c r="B279" s="1" t="s">
        <v>663</v>
      </c>
      <c r="C279" s="1" t="s">
        <v>197</v>
      </c>
      <c r="D279" s="1" t="s">
        <v>156</v>
      </c>
      <c r="E279" s="1" t="s">
        <v>87</v>
      </c>
      <c r="F279" s="1" t="s">
        <v>128</v>
      </c>
    </row>
    <row r="280" spans="1:6" x14ac:dyDescent="0.35">
      <c r="A280" s="1" t="s">
        <v>664</v>
      </c>
      <c r="B280" s="1" t="s">
        <v>665</v>
      </c>
      <c r="C280" s="1" t="s">
        <v>164</v>
      </c>
      <c r="D280" s="1" t="s">
        <v>110</v>
      </c>
      <c r="E280" s="1" t="s">
        <v>73</v>
      </c>
      <c r="F280" s="1" t="s">
        <v>227</v>
      </c>
    </row>
    <row r="281" spans="1:6" x14ac:dyDescent="0.35">
      <c r="A281" s="1" t="s">
        <v>666</v>
      </c>
      <c r="B281" s="1" t="s">
        <v>667</v>
      </c>
      <c r="C281" s="1" t="s">
        <v>176</v>
      </c>
      <c r="D281" s="1" t="s">
        <v>110</v>
      </c>
      <c r="E281" s="1" t="s">
        <v>29</v>
      </c>
      <c r="F281" s="1" t="s">
        <v>157</v>
      </c>
    </row>
    <row r="282" spans="1:6" x14ac:dyDescent="0.35">
      <c r="A282" s="1" t="s">
        <v>668</v>
      </c>
      <c r="B282" s="1" t="s">
        <v>669</v>
      </c>
      <c r="C282" s="1" t="s">
        <v>173</v>
      </c>
      <c r="D282" s="1" t="s">
        <v>214</v>
      </c>
      <c r="E282" s="1" t="s">
        <v>63</v>
      </c>
      <c r="F282" s="1" t="s">
        <v>124</v>
      </c>
    </row>
    <row r="283" spans="1:6" x14ac:dyDescent="0.35">
      <c r="A283" s="1" t="s">
        <v>670</v>
      </c>
      <c r="B283" s="1" t="s">
        <v>671</v>
      </c>
      <c r="C283" s="1" t="s">
        <v>168</v>
      </c>
      <c r="D283" s="1" t="s">
        <v>192</v>
      </c>
      <c r="E283" s="1" t="s">
        <v>57</v>
      </c>
      <c r="F283" s="1" t="s">
        <v>121</v>
      </c>
    </row>
    <row r="284" spans="1:6" x14ac:dyDescent="0.35">
      <c r="A284" s="1" t="s">
        <v>672</v>
      </c>
      <c r="B284" s="1" t="s">
        <v>673</v>
      </c>
      <c r="C284" s="1" t="s">
        <v>176</v>
      </c>
      <c r="D284" s="1" t="s">
        <v>153</v>
      </c>
      <c r="E284" s="1" t="s">
        <v>69</v>
      </c>
      <c r="F284" s="1" t="s">
        <v>157</v>
      </c>
    </row>
    <row r="285" spans="1:6" x14ac:dyDescent="0.35">
      <c r="A285" s="1" t="s">
        <v>674</v>
      </c>
      <c r="B285" s="1" t="s">
        <v>525</v>
      </c>
      <c r="C285" s="1" t="s">
        <v>113</v>
      </c>
      <c r="D285" s="1" t="s">
        <v>165</v>
      </c>
      <c r="E285" s="1" t="s">
        <v>35</v>
      </c>
      <c r="F285" s="1" t="s">
        <v>157</v>
      </c>
    </row>
    <row r="286" spans="1:6" x14ac:dyDescent="0.35">
      <c r="A286" s="1" t="s">
        <v>675</v>
      </c>
      <c r="B286" s="1" t="s">
        <v>676</v>
      </c>
      <c r="C286" s="1" t="s">
        <v>164</v>
      </c>
      <c r="D286" s="1" t="s">
        <v>138</v>
      </c>
      <c r="E286" s="1" t="s">
        <v>73</v>
      </c>
      <c r="F286" s="1" t="s">
        <v>128</v>
      </c>
    </row>
    <row r="287" spans="1:6" x14ac:dyDescent="0.35">
      <c r="A287" s="1" t="s">
        <v>677</v>
      </c>
      <c r="B287" s="1" t="s">
        <v>678</v>
      </c>
      <c r="C287" s="1" t="s">
        <v>188</v>
      </c>
      <c r="D287" s="1" t="s">
        <v>112</v>
      </c>
      <c r="E287" s="1" t="s">
        <v>8</v>
      </c>
      <c r="F287" s="1" t="s">
        <v>128</v>
      </c>
    </row>
    <row r="288" spans="1:6" x14ac:dyDescent="0.35">
      <c r="A288" s="1" t="s">
        <v>679</v>
      </c>
      <c r="B288" s="1" t="s">
        <v>291</v>
      </c>
      <c r="C288" s="1" t="s">
        <v>197</v>
      </c>
      <c r="D288" s="1" t="s">
        <v>142</v>
      </c>
      <c r="E288" s="1" t="s">
        <v>35</v>
      </c>
      <c r="F288" s="1" t="s">
        <v>211</v>
      </c>
    </row>
    <row r="289" spans="1:6" x14ac:dyDescent="0.35">
      <c r="A289" s="1" t="s">
        <v>680</v>
      </c>
      <c r="B289" s="1" t="s">
        <v>681</v>
      </c>
      <c r="C289" s="1" t="s">
        <v>191</v>
      </c>
      <c r="D289" s="1" t="s">
        <v>127</v>
      </c>
      <c r="E289" s="1" t="s">
        <v>15</v>
      </c>
      <c r="F289" s="1" t="s">
        <v>143</v>
      </c>
    </row>
    <row r="290" spans="1:6" x14ac:dyDescent="0.35">
      <c r="A290" s="1" t="s">
        <v>682</v>
      </c>
      <c r="B290" s="1" t="s">
        <v>683</v>
      </c>
      <c r="C290" s="1" t="s">
        <v>137</v>
      </c>
      <c r="D290" s="1" t="s">
        <v>243</v>
      </c>
      <c r="E290" s="1" t="s">
        <v>15</v>
      </c>
      <c r="F290" s="1" t="s">
        <v>143</v>
      </c>
    </row>
    <row r="291" spans="1:6" x14ac:dyDescent="0.35">
      <c r="A291" s="1" t="s">
        <v>684</v>
      </c>
      <c r="B291" s="1" t="s">
        <v>685</v>
      </c>
      <c r="C291" s="1" t="s">
        <v>168</v>
      </c>
      <c r="D291" s="1" t="s">
        <v>28</v>
      </c>
      <c r="E291" s="1" t="s">
        <v>8</v>
      </c>
      <c r="F291" s="1" t="s">
        <v>124</v>
      </c>
    </row>
    <row r="292" spans="1:6" x14ac:dyDescent="0.35">
      <c r="A292" s="1" t="s">
        <v>686</v>
      </c>
      <c r="B292" s="1" t="s">
        <v>687</v>
      </c>
      <c r="C292" s="1" t="s">
        <v>240</v>
      </c>
      <c r="D292" s="1" t="s">
        <v>156</v>
      </c>
      <c r="E292" s="1" t="s">
        <v>45</v>
      </c>
      <c r="F292" s="1" t="s">
        <v>143</v>
      </c>
    </row>
    <row r="293" spans="1:6" x14ac:dyDescent="0.35">
      <c r="A293" s="1" t="s">
        <v>688</v>
      </c>
      <c r="B293" s="1" t="s">
        <v>689</v>
      </c>
      <c r="C293" s="1" t="s">
        <v>164</v>
      </c>
      <c r="D293" s="1" t="s">
        <v>107</v>
      </c>
      <c r="E293" s="1" t="s">
        <v>51</v>
      </c>
      <c r="F293" s="1" t="s">
        <v>143</v>
      </c>
    </row>
    <row r="294" spans="1:6" x14ac:dyDescent="0.35">
      <c r="A294" s="1" t="s">
        <v>690</v>
      </c>
      <c r="B294" s="1" t="s">
        <v>691</v>
      </c>
      <c r="C294" s="1" t="s">
        <v>106</v>
      </c>
      <c r="D294" s="1" t="s">
        <v>110</v>
      </c>
      <c r="E294" s="1" t="s">
        <v>39</v>
      </c>
      <c r="F294" s="1" t="s">
        <v>121</v>
      </c>
    </row>
    <row r="295" spans="1:6" x14ac:dyDescent="0.35">
      <c r="A295" s="1" t="s">
        <v>692</v>
      </c>
      <c r="B295" s="1" t="s">
        <v>693</v>
      </c>
      <c r="C295" s="1" t="s">
        <v>106</v>
      </c>
      <c r="D295" s="1" t="s">
        <v>192</v>
      </c>
      <c r="E295" s="1" t="s">
        <v>29</v>
      </c>
      <c r="F295" s="1" t="s">
        <v>227</v>
      </c>
    </row>
    <row r="296" spans="1:6" x14ac:dyDescent="0.35">
      <c r="A296" s="1" t="s">
        <v>694</v>
      </c>
      <c r="B296" s="1" t="s">
        <v>695</v>
      </c>
      <c r="C296" s="1" t="s">
        <v>133</v>
      </c>
      <c r="D296" s="1" t="s">
        <v>107</v>
      </c>
      <c r="E296" s="1" t="s">
        <v>63</v>
      </c>
      <c r="F296" s="1" t="s">
        <v>157</v>
      </c>
    </row>
    <row r="297" spans="1:6" x14ac:dyDescent="0.35">
      <c r="A297" s="1" t="s">
        <v>696</v>
      </c>
      <c r="B297" s="1" t="s">
        <v>665</v>
      </c>
      <c r="C297" s="1" t="s">
        <v>240</v>
      </c>
      <c r="D297" s="1" t="s">
        <v>110</v>
      </c>
      <c r="E297" s="1" t="s">
        <v>29</v>
      </c>
      <c r="F297" s="1" t="s">
        <v>150</v>
      </c>
    </row>
    <row r="298" spans="1:6" x14ac:dyDescent="0.35">
      <c r="A298" s="1" t="s">
        <v>697</v>
      </c>
      <c r="B298" s="1" t="s">
        <v>698</v>
      </c>
      <c r="C298" s="1" t="s">
        <v>168</v>
      </c>
      <c r="D298" s="1" t="s">
        <v>110</v>
      </c>
      <c r="E298" s="1" t="s">
        <v>69</v>
      </c>
      <c r="F298" s="1" t="s">
        <v>124</v>
      </c>
    </row>
    <row r="299" spans="1:6" x14ac:dyDescent="0.35">
      <c r="A299" s="1" t="s">
        <v>699</v>
      </c>
      <c r="B299" s="1" t="s">
        <v>700</v>
      </c>
      <c r="C299" s="1" t="s">
        <v>164</v>
      </c>
      <c r="D299" s="1" t="s">
        <v>192</v>
      </c>
      <c r="E299" s="1" t="s">
        <v>39</v>
      </c>
      <c r="F299" s="1" t="s">
        <v>171</v>
      </c>
    </row>
    <row r="300" spans="1:6" x14ac:dyDescent="0.35">
      <c r="A300" s="1" t="s">
        <v>701</v>
      </c>
      <c r="B300" s="1" t="s">
        <v>702</v>
      </c>
      <c r="C300" s="1" t="s">
        <v>106</v>
      </c>
      <c r="D300" s="1" t="s">
        <v>110</v>
      </c>
      <c r="E300" s="1" t="s">
        <v>39</v>
      </c>
      <c r="F300" s="1" t="s">
        <v>128</v>
      </c>
    </row>
    <row r="301" spans="1:6" x14ac:dyDescent="0.35">
      <c r="A301" s="1" t="s">
        <v>703</v>
      </c>
      <c r="B301" s="1" t="s">
        <v>318</v>
      </c>
      <c r="C301" s="1" t="s">
        <v>173</v>
      </c>
      <c r="D301" s="1" t="s">
        <v>138</v>
      </c>
      <c r="E301" s="1" t="s">
        <v>87</v>
      </c>
      <c r="F301" s="1" t="s">
        <v>143</v>
      </c>
    </row>
    <row r="302" spans="1:6" x14ac:dyDescent="0.35">
      <c r="A302" s="1" t="s">
        <v>704</v>
      </c>
      <c r="B302" s="1" t="s">
        <v>705</v>
      </c>
      <c r="C302" s="1" t="s">
        <v>133</v>
      </c>
      <c r="D302" s="1" t="s">
        <v>138</v>
      </c>
      <c r="E302" s="1" t="s">
        <v>73</v>
      </c>
      <c r="F302" s="1" t="s">
        <v>121</v>
      </c>
    </row>
    <row r="303" spans="1:6" x14ac:dyDescent="0.35">
      <c r="A303" s="1" t="s">
        <v>706</v>
      </c>
      <c r="B303" s="1" t="s">
        <v>707</v>
      </c>
      <c r="C303" s="1" t="s">
        <v>149</v>
      </c>
      <c r="D303" s="1" t="s">
        <v>243</v>
      </c>
      <c r="E303" s="1" t="s">
        <v>51</v>
      </c>
      <c r="F303" s="1" t="s">
        <v>121</v>
      </c>
    </row>
    <row r="304" spans="1:6" x14ac:dyDescent="0.35">
      <c r="A304" s="1" t="s">
        <v>708</v>
      </c>
      <c r="B304" s="1" t="s">
        <v>709</v>
      </c>
      <c r="C304" s="1" t="s">
        <v>106</v>
      </c>
      <c r="D304" s="1" t="s">
        <v>28</v>
      </c>
      <c r="E304" s="1" t="s">
        <v>45</v>
      </c>
      <c r="F304" s="1" t="s">
        <v>128</v>
      </c>
    </row>
    <row r="305" spans="1:6" x14ac:dyDescent="0.35">
      <c r="A305" s="1" t="s">
        <v>710</v>
      </c>
      <c r="B305" s="1" t="s">
        <v>711</v>
      </c>
      <c r="C305" s="1" t="s">
        <v>111</v>
      </c>
      <c r="D305" s="1" t="s">
        <v>192</v>
      </c>
      <c r="E305" s="1" t="s">
        <v>15</v>
      </c>
      <c r="F305" s="1" t="s">
        <v>419</v>
      </c>
    </row>
    <row r="306" spans="1:6" x14ac:dyDescent="0.35">
      <c r="A306" s="1" t="s">
        <v>712</v>
      </c>
      <c r="B306" s="1" t="s">
        <v>713</v>
      </c>
      <c r="C306" s="1" t="s">
        <v>173</v>
      </c>
      <c r="D306" s="1" t="s">
        <v>117</v>
      </c>
      <c r="E306" s="1" t="s">
        <v>63</v>
      </c>
      <c r="F306" s="1" t="s">
        <v>143</v>
      </c>
    </row>
    <row r="307" spans="1:6" x14ac:dyDescent="0.35">
      <c r="A307" s="1" t="s">
        <v>714</v>
      </c>
      <c r="B307" s="1" t="s">
        <v>715</v>
      </c>
      <c r="C307" s="1" t="s">
        <v>173</v>
      </c>
      <c r="D307" s="1" t="s">
        <v>204</v>
      </c>
      <c r="E307" s="1" t="s">
        <v>21</v>
      </c>
      <c r="F307" s="1" t="s">
        <v>143</v>
      </c>
    </row>
    <row r="308" spans="1:6" x14ac:dyDescent="0.35">
      <c r="A308" s="1" t="s">
        <v>716</v>
      </c>
      <c r="B308" s="1" t="s">
        <v>717</v>
      </c>
      <c r="C308" s="1" t="s">
        <v>240</v>
      </c>
      <c r="D308" s="1" t="s">
        <v>165</v>
      </c>
      <c r="E308" s="1" t="s">
        <v>45</v>
      </c>
      <c r="F308" s="1" t="s">
        <v>211</v>
      </c>
    </row>
    <row r="309" spans="1:6" x14ac:dyDescent="0.35">
      <c r="A309" s="1" t="s">
        <v>718</v>
      </c>
      <c r="B309" s="1" t="s">
        <v>719</v>
      </c>
      <c r="C309" s="1" t="s">
        <v>173</v>
      </c>
      <c r="D309" s="1" t="s">
        <v>165</v>
      </c>
      <c r="E309" s="1" t="s">
        <v>87</v>
      </c>
      <c r="F309" s="1" t="s">
        <v>128</v>
      </c>
    </row>
    <row r="310" spans="1:6" x14ac:dyDescent="0.35">
      <c r="A310" s="1" t="s">
        <v>720</v>
      </c>
      <c r="B310" s="1" t="s">
        <v>721</v>
      </c>
      <c r="C310" s="1" t="s">
        <v>116</v>
      </c>
      <c r="D310" s="1" t="s">
        <v>192</v>
      </c>
      <c r="E310" s="1" t="s">
        <v>69</v>
      </c>
      <c r="F310" s="1" t="s">
        <v>146</v>
      </c>
    </row>
    <row r="311" spans="1:6" x14ac:dyDescent="0.35">
      <c r="A311" s="1" t="s">
        <v>722</v>
      </c>
      <c r="B311" s="1" t="s">
        <v>178</v>
      </c>
      <c r="C311" s="1" t="s">
        <v>168</v>
      </c>
      <c r="D311" s="1" t="s">
        <v>183</v>
      </c>
      <c r="E311" s="1" t="s">
        <v>87</v>
      </c>
      <c r="F311" s="1" t="s">
        <v>121</v>
      </c>
    </row>
    <row r="312" spans="1:6" x14ac:dyDescent="0.35">
      <c r="A312" s="1" t="s">
        <v>723</v>
      </c>
      <c r="B312" s="1" t="s">
        <v>724</v>
      </c>
      <c r="C312" s="1" t="s">
        <v>141</v>
      </c>
      <c r="D312" s="1" t="s">
        <v>107</v>
      </c>
      <c r="E312" s="1" t="s">
        <v>29</v>
      </c>
      <c r="F312" s="1" t="s">
        <v>121</v>
      </c>
    </row>
    <row r="313" spans="1:6" x14ac:dyDescent="0.35">
      <c r="A313" s="1" t="s">
        <v>725</v>
      </c>
      <c r="B313" s="1" t="s">
        <v>726</v>
      </c>
      <c r="C313" s="1" t="s">
        <v>173</v>
      </c>
      <c r="D313" s="1" t="s">
        <v>117</v>
      </c>
      <c r="E313" s="1" t="s">
        <v>45</v>
      </c>
      <c r="F313" s="1" t="s">
        <v>118</v>
      </c>
    </row>
    <row r="314" spans="1:6" x14ac:dyDescent="0.35">
      <c r="A314" s="1" t="s">
        <v>727</v>
      </c>
      <c r="B314" s="1" t="s">
        <v>258</v>
      </c>
      <c r="C314" s="1" t="s">
        <v>149</v>
      </c>
      <c r="D314" s="1" t="s">
        <v>142</v>
      </c>
      <c r="E314" s="1" t="s">
        <v>29</v>
      </c>
      <c r="F314" s="1" t="s">
        <v>121</v>
      </c>
    </row>
    <row r="315" spans="1:6" x14ac:dyDescent="0.35">
      <c r="A315" s="1" t="s">
        <v>728</v>
      </c>
      <c r="B315" s="1" t="s">
        <v>729</v>
      </c>
      <c r="C315" s="1" t="s">
        <v>176</v>
      </c>
      <c r="D315" s="1" t="s">
        <v>156</v>
      </c>
      <c r="E315" s="1" t="s">
        <v>57</v>
      </c>
      <c r="F315" s="1" t="s">
        <v>143</v>
      </c>
    </row>
    <row r="316" spans="1:6" x14ac:dyDescent="0.35">
      <c r="A316" s="1" t="s">
        <v>730</v>
      </c>
      <c r="B316" s="1" t="s">
        <v>731</v>
      </c>
      <c r="C316" s="1" t="s">
        <v>168</v>
      </c>
      <c r="D316" s="1" t="s">
        <v>165</v>
      </c>
      <c r="E316" s="1" t="s">
        <v>57</v>
      </c>
      <c r="F316" s="1" t="s">
        <v>118</v>
      </c>
    </row>
    <row r="317" spans="1:6" x14ac:dyDescent="0.35">
      <c r="A317" s="1" t="s">
        <v>732</v>
      </c>
      <c r="B317" s="1" t="s">
        <v>733</v>
      </c>
      <c r="C317" s="1" t="s">
        <v>109</v>
      </c>
      <c r="D317" s="1" t="s">
        <v>110</v>
      </c>
      <c r="E317" s="1" t="s">
        <v>45</v>
      </c>
      <c r="F317" s="1" t="s">
        <v>252</v>
      </c>
    </row>
    <row r="318" spans="1:6" x14ac:dyDescent="0.35">
      <c r="A318" s="1" t="s">
        <v>734</v>
      </c>
      <c r="B318" s="1" t="s">
        <v>402</v>
      </c>
      <c r="C318" s="1" t="s">
        <v>188</v>
      </c>
      <c r="D318" s="1" t="s">
        <v>192</v>
      </c>
      <c r="E318" s="1" t="s">
        <v>57</v>
      </c>
      <c r="F318" s="1" t="s">
        <v>252</v>
      </c>
    </row>
    <row r="319" spans="1:6" x14ac:dyDescent="0.35">
      <c r="A319" s="1" t="s">
        <v>735</v>
      </c>
      <c r="B319" s="1" t="s">
        <v>291</v>
      </c>
      <c r="C319" s="1" t="s">
        <v>149</v>
      </c>
      <c r="D319" s="1" t="s">
        <v>107</v>
      </c>
      <c r="E319" s="1" t="s">
        <v>69</v>
      </c>
      <c r="F319" s="1" t="s">
        <v>128</v>
      </c>
    </row>
    <row r="320" spans="1:6" x14ac:dyDescent="0.35">
      <c r="A320" s="1" t="s">
        <v>736</v>
      </c>
      <c r="B320" s="1" t="s">
        <v>737</v>
      </c>
      <c r="C320" s="1" t="s">
        <v>188</v>
      </c>
      <c r="D320" s="1" t="s">
        <v>183</v>
      </c>
      <c r="E320" s="1" t="s">
        <v>87</v>
      </c>
      <c r="F320" s="1" t="s">
        <v>143</v>
      </c>
    </row>
    <row r="321" spans="1:6" x14ac:dyDescent="0.35">
      <c r="A321" s="1" t="s">
        <v>738</v>
      </c>
      <c r="B321" s="1" t="s">
        <v>739</v>
      </c>
      <c r="C321" s="1" t="s">
        <v>176</v>
      </c>
      <c r="D321" s="1" t="s">
        <v>138</v>
      </c>
      <c r="E321" s="1" t="s">
        <v>8</v>
      </c>
      <c r="F321" s="1" t="s">
        <v>419</v>
      </c>
    </row>
    <row r="322" spans="1:6" x14ac:dyDescent="0.35">
      <c r="A322" s="1" t="s">
        <v>740</v>
      </c>
      <c r="B322" s="1" t="s">
        <v>741</v>
      </c>
      <c r="C322" s="1" t="s">
        <v>149</v>
      </c>
      <c r="D322" s="1" t="s">
        <v>142</v>
      </c>
      <c r="E322" s="1" t="s">
        <v>21</v>
      </c>
      <c r="F322" s="1" t="s">
        <v>143</v>
      </c>
    </row>
    <row r="323" spans="1:6" x14ac:dyDescent="0.35">
      <c r="A323" s="1" t="s">
        <v>742</v>
      </c>
      <c r="B323" s="1" t="s">
        <v>743</v>
      </c>
      <c r="C323" s="1" t="s">
        <v>141</v>
      </c>
      <c r="D323" s="1" t="s">
        <v>214</v>
      </c>
      <c r="E323" s="1" t="s">
        <v>57</v>
      </c>
      <c r="F323" s="1" t="s">
        <v>261</v>
      </c>
    </row>
    <row r="324" spans="1:6" x14ac:dyDescent="0.35">
      <c r="A324" s="1" t="s">
        <v>744</v>
      </c>
      <c r="B324" s="1" t="s">
        <v>745</v>
      </c>
      <c r="C324" s="1" t="s">
        <v>188</v>
      </c>
      <c r="D324" s="1" t="s">
        <v>127</v>
      </c>
      <c r="E324" s="1" t="s">
        <v>78</v>
      </c>
      <c r="F324" s="1" t="s">
        <v>171</v>
      </c>
    </row>
    <row r="325" spans="1:6" x14ac:dyDescent="0.35">
      <c r="A325" s="1" t="s">
        <v>746</v>
      </c>
      <c r="B325" s="1" t="s">
        <v>747</v>
      </c>
      <c r="C325" s="1" t="s">
        <v>113</v>
      </c>
      <c r="D325" s="1" t="s">
        <v>112</v>
      </c>
      <c r="E325" s="1" t="s">
        <v>21</v>
      </c>
      <c r="F325" s="1" t="s">
        <v>124</v>
      </c>
    </row>
    <row r="326" spans="1:6" x14ac:dyDescent="0.35">
      <c r="A326" s="1" t="s">
        <v>748</v>
      </c>
      <c r="B326" s="1" t="s">
        <v>749</v>
      </c>
      <c r="C326" s="1" t="s">
        <v>149</v>
      </c>
      <c r="D326" s="1" t="s">
        <v>112</v>
      </c>
      <c r="E326" s="1" t="s">
        <v>8</v>
      </c>
      <c r="F326" s="1" t="s">
        <v>157</v>
      </c>
    </row>
    <row r="327" spans="1:6" x14ac:dyDescent="0.35">
      <c r="A327" s="1" t="s">
        <v>750</v>
      </c>
      <c r="B327" s="1" t="s">
        <v>751</v>
      </c>
      <c r="C327" s="1" t="s">
        <v>240</v>
      </c>
      <c r="D327" s="1" t="s">
        <v>204</v>
      </c>
      <c r="E327" s="1" t="s">
        <v>8</v>
      </c>
      <c r="F327" s="1" t="s">
        <v>121</v>
      </c>
    </row>
    <row r="328" spans="1:6" x14ac:dyDescent="0.35">
      <c r="A328" s="1" t="s">
        <v>752</v>
      </c>
      <c r="B328" s="1" t="s">
        <v>753</v>
      </c>
      <c r="C328" s="1" t="s">
        <v>248</v>
      </c>
      <c r="D328" s="1" t="s">
        <v>127</v>
      </c>
      <c r="E328" s="1" t="s">
        <v>15</v>
      </c>
      <c r="F328" s="1" t="s">
        <v>143</v>
      </c>
    </row>
    <row r="329" spans="1:6" x14ac:dyDescent="0.35">
      <c r="A329" s="1" t="s">
        <v>754</v>
      </c>
      <c r="B329" s="1" t="s">
        <v>755</v>
      </c>
      <c r="C329" s="1" t="s">
        <v>240</v>
      </c>
      <c r="D329" s="1" t="s">
        <v>243</v>
      </c>
      <c r="E329" s="1" t="s">
        <v>57</v>
      </c>
      <c r="F329" s="1" t="s">
        <v>121</v>
      </c>
    </row>
    <row r="330" spans="1:6" x14ac:dyDescent="0.35">
      <c r="A330" s="1" t="s">
        <v>756</v>
      </c>
      <c r="B330" s="1" t="s">
        <v>757</v>
      </c>
      <c r="C330" s="1" t="s">
        <v>248</v>
      </c>
      <c r="D330" s="1" t="s">
        <v>204</v>
      </c>
      <c r="E330" s="1" t="s">
        <v>69</v>
      </c>
      <c r="F330" s="1" t="s">
        <v>171</v>
      </c>
    </row>
    <row r="331" spans="1:6" x14ac:dyDescent="0.35">
      <c r="A331" s="1" t="s">
        <v>758</v>
      </c>
      <c r="B331" s="1" t="s">
        <v>759</v>
      </c>
      <c r="C331" s="1" t="s">
        <v>240</v>
      </c>
      <c r="D331" s="1" t="s">
        <v>204</v>
      </c>
      <c r="E331" s="1" t="s">
        <v>15</v>
      </c>
      <c r="F331" s="1" t="s">
        <v>121</v>
      </c>
    </row>
    <row r="332" spans="1:6" x14ac:dyDescent="0.35">
      <c r="A332" s="1" t="s">
        <v>760</v>
      </c>
      <c r="B332" s="1" t="s">
        <v>761</v>
      </c>
      <c r="C332" s="1" t="s">
        <v>173</v>
      </c>
      <c r="D332" s="1" t="s">
        <v>183</v>
      </c>
      <c r="E332" s="1" t="s">
        <v>15</v>
      </c>
      <c r="F332" s="1" t="s">
        <v>121</v>
      </c>
    </row>
    <row r="333" spans="1:6" x14ac:dyDescent="0.35">
      <c r="A333" s="1" t="s">
        <v>762</v>
      </c>
      <c r="B333" s="1" t="s">
        <v>763</v>
      </c>
      <c r="C333" s="1" t="s">
        <v>176</v>
      </c>
      <c r="D333" s="1" t="s">
        <v>165</v>
      </c>
      <c r="E333" s="1" t="s">
        <v>35</v>
      </c>
      <c r="F333" s="1" t="s">
        <v>157</v>
      </c>
    </row>
    <row r="334" spans="1:6" x14ac:dyDescent="0.35">
      <c r="A334" s="1" t="s">
        <v>764</v>
      </c>
      <c r="B334" s="1" t="s">
        <v>765</v>
      </c>
      <c r="C334" s="1" t="s">
        <v>168</v>
      </c>
      <c r="D334" s="1" t="s">
        <v>138</v>
      </c>
      <c r="E334" s="1" t="s">
        <v>78</v>
      </c>
      <c r="F334" s="1" t="s">
        <v>128</v>
      </c>
    </row>
    <row r="335" spans="1:6" x14ac:dyDescent="0.35">
      <c r="A335" s="1" t="s">
        <v>766</v>
      </c>
      <c r="B335" s="1" t="s">
        <v>767</v>
      </c>
      <c r="C335" s="1" t="s">
        <v>111</v>
      </c>
      <c r="D335" s="1" t="s">
        <v>112</v>
      </c>
      <c r="E335" s="1" t="s">
        <v>87</v>
      </c>
      <c r="F335" s="1" t="s">
        <v>143</v>
      </c>
    </row>
    <row r="336" spans="1:6" x14ac:dyDescent="0.35">
      <c r="A336" s="1" t="s">
        <v>768</v>
      </c>
      <c r="B336" s="1" t="s">
        <v>769</v>
      </c>
      <c r="C336" s="1" t="s">
        <v>113</v>
      </c>
      <c r="D336" s="1" t="s">
        <v>214</v>
      </c>
      <c r="E336" s="1" t="s">
        <v>21</v>
      </c>
      <c r="F336" s="1" t="s">
        <v>143</v>
      </c>
    </row>
    <row r="337" spans="1:6" x14ac:dyDescent="0.35">
      <c r="A337" s="1" t="s">
        <v>770</v>
      </c>
      <c r="B337" s="1" t="s">
        <v>771</v>
      </c>
      <c r="C337" s="1" t="s">
        <v>272</v>
      </c>
      <c r="D337" s="1" t="s">
        <v>142</v>
      </c>
      <c r="E337" s="1" t="s">
        <v>78</v>
      </c>
      <c r="F337" s="1" t="s">
        <v>275</v>
      </c>
    </row>
    <row r="338" spans="1:6" x14ac:dyDescent="0.35">
      <c r="A338" s="1" t="s">
        <v>772</v>
      </c>
      <c r="B338" s="1" t="s">
        <v>773</v>
      </c>
      <c r="C338" s="1" t="s">
        <v>248</v>
      </c>
      <c r="D338" s="1" t="s">
        <v>107</v>
      </c>
      <c r="E338" s="1" t="s">
        <v>45</v>
      </c>
      <c r="F338" s="1" t="s">
        <v>171</v>
      </c>
    </row>
    <row r="339" spans="1:6" x14ac:dyDescent="0.35">
      <c r="A339" s="1" t="s">
        <v>774</v>
      </c>
      <c r="B339" s="1" t="s">
        <v>775</v>
      </c>
      <c r="C339" s="1" t="s">
        <v>168</v>
      </c>
      <c r="D339" s="1" t="s">
        <v>142</v>
      </c>
      <c r="E339" s="1" t="s">
        <v>78</v>
      </c>
      <c r="F339" s="1" t="s">
        <v>211</v>
      </c>
    </row>
    <row r="340" spans="1:6" x14ac:dyDescent="0.35">
      <c r="A340" s="1" t="s">
        <v>776</v>
      </c>
      <c r="B340" s="1" t="s">
        <v>305</v>
      </c>
      <c r="C340" s="1" t="s">
        <v>106</v>
      </c>
      <c r="D340" s="1" t="s">
        <v>117</v>
      </c>
      <c r="E340" s="1" t="s">
        <v>51</v>
      </c>
      <c r="F340" s="1" t="s">
        <v>143</v>
      </c>
    </row>
    <row r="341" spans="1:6" x14ac:dyDescent="0.35">
      <c r="A341" s="1" t="s">
        <v>777</v>
      </c>
      <c r="B341" s="1" t="s">
        <v>778</v>
      </c>
      <c r="C341" s="1" t="s">
        <v>111</v>
      </c>
      <c r="D341" s="1" t="s">
        <v>107</v>
      </c>
      <c r="E341" s="1" t="s">
        <v>35</v>
      </c>
      <c r="F341" s="1" t="s">
        <v>171</v>
      </c>
    </row>
    <row r="342" spans="1:6" x14ac:dyDescent="0.35">
      <c r="A342" s="1" t="s">
        <v>779</v>
      </c>
      <c r="B342" s="1" t="s">
        <v>780</v>
      </c>
      <c r="C342" s="1" t="s">
        <v>164</v>
      </c>
      <c r="D342" s="1" t="s">
        <v>112</v>
      </c>
      <c r="E342" s="1" t="s">
        <v>73</v>
      </c>
      <c r="F342" s="1" t="s">
        <v>157</v>
      </c>
    </row>
    <row r="343" spans="1:6" x14ac:dyDescent="0.35">
      <c r="A343" s="1" t="s">
        <v>781</v>
      </c>
      <c r="B343" s="1" t="s">
        <v>782</v>
      </c>
      <c r="C343" s="1" t="s">
        <v>137</v>
      </c>
      <c r="D343" s="1" t="s">
        <v>138</v>
      </c>
      <c r="E343" s="1" t="s">
        <v>69</v>
      </c>
      <c r="F343" s="1" t="s">
        <v>121</v>
      </c>
    </row>
    <row r="344" spans="1:6" x14ac:dyDescent="0.35">
      <c r="A344" s="1" t="s">
        <v>783</v>
      </c>
      <c r="B344" s="1" t="s">
        <v>784</v>
      </c>
      <c r="C344" s="1" t="s">
        <v>188</v>
      </c>
      <c r="D344" s="1" t="s">
        <v>165</v>
      </c>
      <c r="E344" s="1" t="s">
        <v>35</v>
      </c>
      <c r="F344" s="1" t="s">
        <v>146</v>
      </c>
    </row>
    <row r="345" spans="1:6" x14ac:dyDescent="0.35">
      <c r="A345" s="1" t="s">
        <v>785</v>
      </c>
      <c r="B345" s="1" t="s">
        <v>786</v>
      </c>
      <c r="C345" s="1" t="s">
        <v>172</v>
      </c>
      <c r="D345" s="1" t="s">
        <v>183</v>
      </c>
      <c r="E345" s="1" t="s">
        <v>73</v>
      </c>
      <c r="F345" s="1" t="s">
        <v>143</v>
      </c>
    </row>
    <row r="346" spans="1:6" x14ac:dyDescent="0.35">
      <c r="A346" s="1" t="s">
        <v>787</v>
      </c>
      <c r="B346" s="1" t="s">
        <v>788</v>
      </c>
      <c r="C346" s="1" t="s">
        <v>188</v>
      </c>
      <c r="D346" s="1" t="s">
        <v>117</v>
      </c>
      <c r="E346" s="1" t="s">
        <v>45</v>
      </c>
      <c r="F346" s="1" t="s">
        <v>124</v>
      </c>
    </row>
    <row r="347" spans="1:6" x14ac:dyDescent="0.35">
      <c r="A347" s="1" t="s">
        <v>789</v>
      </c>
      <c r="B347" s="1" t="s">
        <v>790</v>
      </c>
      <c r="C347" s="1" t="s">
        <v>141</v>
      </c>
      <c r="D347" s="1" t="s">
        <v>138</v>
      </c>
      <c r="E347" s="1" t="s">
        <v>78</v>
      </c>
      <c r="F347" s="1" t="s">
        <v>146</v>
      </c>
    </row>
    <row r="348" spans="1:6" x14ac:dyDescent="0.35">
      <c r="A348" s="1" t="s">
        <v>791</v>
      </c>
      <c r="B348" s="1" t="s">
        <v>792</v>
      </c>
      <c r="C348" s="1" t="s">
        <v>116</v>
      </c>
      <c r="D348" s="1" t="s">
        <v>107</v>
      </c>
      <c r="E348" s="1" t="s">
        <v>35</v>
      </c>
      <c r="F348" s="1" t="s">
        <v>124</v>
      </c>
    </row>
    <row r="349" spans="1:6" x14ac:dyDescent="0.35">
      <c r="A349" s="1" t="s">
        <v>793</v>
      </c>
      <c r="B349" s="1" t="s">
        <v>794</v>
      </c>
      <c r="C349" s="1" t="s">
        <v>191</v>
      </c>
      <c r="D349" s="1" t="s">
        <v>117</v>
      </c>
      <c r="E349" s="1" t="s">
        <v>63</v>
      </c>
      <c r="F349" s="1" t="s">
        <v>108</v>
      </c>
    </row>
    <row r="350" spans="1:6" x14ac:dyDescent="0.35">
      <c r="A350" s="1" t="s">
        <v>795</v>
      </c>
      <c r="B350" s="1" t="s">
        <v>796</v>
      </c>
      <c r="C350" s="1" t="s">
        <v>141</v>
      </c>
      <c r="D350" s="1" t="s">
        <v>204</v>
      </c>
      <c r="E350" s="1" t="s">
        <v>8</v>
      </c>
      <c r="F350" s="1" t="s">
        <v>124</v>
      </c>
    </row>
    <row r="351" spans="1:6" x14ac:dyDescent="0.35">
      <c r="A351" s="1" t="s">
        <v>797</v>
      </c>
      <c r="B351" s="1" t="s">
        <v>798</v>
      </c>
      <c r="C351" s="1" t="s">
        <v>109</v>
      </c>
      <c r="D351" s="1" t="s">
        <v>165</v>
      </c>
      <c r="E351" s="1" t="s">
        <v>63</v>
      </c>
      <c r="F351" s="1" t="s">
        <v>128</v>
      </c>
    </row>
    <row r="352" spans="1:6" x14ac:dyDescent="0.35">
      <c r="A352" s="1" t="s">
        <v>799</v>
      </c>
      <c r="B352" s="1" t="s">
        <v>800</v>
      </c>
      <c r="C352" s="1" t="s">
        <v>113</v>
      </c>
      <c r="D352" s="1" t="s">
        <v>183</v>
      </c>
      <c r="E352" s="1" t="s">
        <v>73</v>
      </c>
      <c r="F352" s="1" t="s">
        <v>314</v>
      </c>
    </row>
    <row r="353" spans="1:6" x14ac:dyDescent="0.35">
      <c r="A353" s="1" t="s">
        <v>801</v>
      </c>
      <c r="B353" s="1" t="s">
        <v>802</v>
      </c>
      <c r="C353" s="1" t="s">
        <v>111</v>
      </c>
      <c r="D353" s="1" t="s">
        <v>110</v>
      </c>
      <c r="E353" s="1" t="s">
        <v>82</v>
      </c>
      <c r="F353" s="1" t="s">
        <v>121</v>
      </c>
    </row>
    <row r="354" spans="1:6" x14ac:dyDescent="0.35">
      <c r="A354" s="1" t="s">
        <v>803</v>
      </c>
      <c r="B354" s="1" t="s">
        <v>804</v>
      </c>
      <c r="C354" s="1" t="s">
        <v>149</v>
      </c>
      <c r="D354" s="1" t="s">
        <v>117</v>
      </c>
      <c r="E354" s="1" t="s">
        <v>45</v>
      </c>
      <c r="F354" s="1" t="s">
        <v>124</v>
      </c>
    </row>
    <row r="355" spans="1:6" x14ac:dyDescent="0.35">
      <c r="A355" s="1" t="s">
        <v>805</v>
      </c>
      <c r="B355" s="1" t="s">
        <v>806</v>
      </c>
      <c r="C355" s="1" t="s">
        <v>116</v>
      </c>
      <c r="D355" s="1" t="s">
        <v>214</v>
      </c>
      <c r="E355" s="1" t="s">
        <v>15</v>
      </c>
      <c r="F355" s="1" t="s">
        <v>128</v>
      </c>
    </row>
    <row r="356" spans="1:6" x14ac:dyDescent="0.35">
      <c r="A356" s="1" t="s">
        <v>807</v>
      </c>
      <c r="B356" s="1" t="s">
        <v>808</v>
      </c>
      <c r="C356" s="1" t="s">
        <v>191</v>
      </c>
      <c r="D356" s="1" t="s">
        <v>112</v>
      </c>
      <c r="E356" s="1" t="s">
        <v>78</v>
      </c>
      <c r="F356" s="1" t="s">
        <v>121</v>
      </c>
    </row>
    <row r="357" spans="1:6" x14ac:dyDescent="0.35">
      <c r="A357" s="1" t="s">
        <v>809</v>
      </c>
      <c r="B357" s="1" t="s">
        <v>810</v>
      </c>
      <c r="C357" s="1" t="s">
        <v>149</v>
      </c>
      <c r="D357" s="1" t="s">
        <v>28</v>
      </c>
      <c r="E357" s="1" t="s">
        <v>39</v>
      </c>
      <c r="F357" s="1" t="s">
        <v>314</v>
      </c>
    </row>
    <row r="358" spans="1:6" x14ac:dyDescent="0.35">
      <c r="A358" s="1" t="s">
        <v>811</v>
      </c>
      <c r="B358" s="1" t="s">
        <v>812</v>
      </c>
      <c r="C358" s="1" t="s">
        <v>188</v>
      </c>
      <c r="D358" s="1" t="s">
        <v>112</v>
      </c>
      <c r="E358" s="1" t="s">
        <v>51</v>
      </c>
      <c r="F358" s="1" t="s">
        <v>419</v>
      </c>
    </row>
    <row r="359" spans="1:6" x14ac:dyDescent="0.35">
      <c r="A359" s="1" t="s">
        <v>813</v>
      </c>
      <c r="B359" s="1" t="s">
        <v>814</v>
      </c>
      <c r="C359" s="1" t="s">
        <v>164</v>
      </c>
      <c r="D359" s="1" t="s">
        <v>112</v>
      </c>
      <c r="E359" s="1" t="s">
        <v>82</v>
      </c>
      <c r="F359" s="1" t="s">
        <v>261</v>
      </c>
    </row>
    <row r="360" spans="1:6" x14ac:dyDescent="0.35">
      <c r="A360" s="1" t="s">
        <v>815</v>
      </c>
      <c r="B360" s="1" t="s">
        <v>816</v>
      </c>
      <c r="C360" s="1" t="s">
        <v>113</v>
      </c>
      <c r="D360" s="1" t="s">
        <v>112</v>
      </c>
      <c r="E360" s="1" t="s">
        <v>39</v>
      </c>
      <c r="F360" s="1" t="s">
        <v>124</v>
      </c>
    </row>
    <row r="361" spans="1:6" x14ac:dyDescent="0.35">
      <c r="A361" s="1" t="s">
        <v>817</v>
      </c>
      <c r="B361" s="1" t="s">
        <v>818</v>
      </c>
      <c r="C361" s="1" t="s">
        <v>133</v>
      </c>
      <c r="D361" s="1" t="s">
        <v>142</v>
      </c>
      <c r="E361" s="1" t="s">
        <v>73</v>
      </c>
      <c r="F361" s="1" t="s">
        <v>157</v>
      </c>
    </row>
    <row r="362" spans="1:6" x14ac:dyDescent="0.35">
      <c r="A362" s="1" t="s">
        <v>819</v>
      </c>
      <c r="B362" s="1" t="s">
        <v>820</v>
      </c>
      <c r="C362" s="1" t="s">
        <v>172</v>
      </c>
      <c r="D362" s="1" t="s">
        <v>117</v>
      </c>
      <c r="E362" s="1" t="s">
        <v>73</v>
      </c>
      <c r="F362" s="1" t="s">
        <v>124</v>
      </c>
    </row>
    <row r="363" spans="1:6" x14ac:dyDescent="0.35">
      <c r="A363" s="1" t="s">
        <v>821</v>
      </c>
      <c r="B363" s="1" t="s">
        <v>822</v>
      </c>
      <c r="C363" s="1" t="s">
        <v>197</v>
      </c>
      <c r="D363" s="1" t="s">
        <v>138</v>
      </c>
      <c r="E363" s="1" t="s">
        <v>45</v>
      </c>
      <c r="F363" s="1" t="s">
        <v>134</v>
      </c>
    </row>
    <row r="364" spans="1:6" x14ac:dyDescent="0.35">
      <c r="A364" s="1" t="s">
        <v>823</v>
      </c>
      <c r="B364" s="1" t="s">
        <v>824</v>
      </c>
      <c r="C364" s="1" t="s">
        <v>141</v>
      </c>
      <c r="D364" s="1" t="s">
        <v>214</v>
      </c>
      <c r="E364" s="1" t="s">
        <v>51</v>
      </c>
      <c r="F364" s="1" t="s">
        <v>121</v>
      </c>
    </row>
    <row r="365" spans="1:6" x14ac:dyDescent="0.35">
      <c r="A365" s="1" t="s">
        <v>825</v>
      </c>
      <c r="B365" s="1" t="s">
        <v>826</v>
      </c>
      <c r="C365" s="1" t="s">
        <v>106</v>
      </c>
      <c r="D365" s="1" t="s">
        <v>110</v>
      </c>
      <c r="E365" s="1" t="s">
        <v>21</v>
      </c>
      <c r="F365" s="1" t="s">
        <v>143</v>
      </c>
    </row>
    <row r="366" spans="1:6" x14ac:dyDescent="0.35">
      <c r="A366" s="1" t="s">
        <v>827</v>
      </c>
      <c r="B366" s="1" t="s">
        <v>828</v>
      </c>
      <c r="C366" s="1" t="s">
        <v>137</v>
      </c>
      <c r="D366" s="1" t="s">
        <v>183</v>
      </c>
      <c r="E366" s="1" t="s">
        <v>63</v>
      </c>
      <c r="F366" s="1" t="s">
        <v>211</v>
      </c>
    </row>
    <row r="367" spans="1:6" x14ac:dyDescent="0.35">
      <c r="A367" s="1" t="s">
        <v>829</v>
      </c>
      <c r="B367" s="1" t="s">
        <v>653</v>
      </c>
      <c r="C367" s="1" t="s">
        <v>109</v>
      </c>
      <c r="D367" s="1" t="s">
        <v>192</v>
      </c>
      <c r="E367" s="1" t="s">
        <v>73</v>
      </c>
      <c r="F367" s="1" t="s">
        <v>171</v>
      </c>
    </row>
    <row r="368" spans="1:6" x14ac:dyDescent="0.35">
      <c r="A368" s="1" t="s">
        <v>830</v>
      </c>
      <c r="B368" s="1" t="s">
        <v>831</v>
      </c>
      <c r="C368" s="1" t="s">
        <v>240</v>
      </c>
      <c r="D368" s="1" t="s">
        <v>142</v>
      </c>
      <c r="E368" s="1" t="s">
        <v>73</v>
      </c>
      <c r="F368" s="1" t="s">
        <v>171</v>
      </c>
    </row>
    <row r="369" spans="1:6" x14ac:dyDescent="0.35">
      <c r="A369" s="1" t="s">
        <v>832</v>
      </c>
      <c r="B369" s="1" t="s">
        <v>833</v>
      </c>
      <c r="C369" s="1" t="s">
        <v>172</v>
      </c>
      <c r="D369" s="1" t="s">
        <v>142</v>
      </c>
      <c r="E369" s="1" t="s">
        <v>73</v>
      </c>
      <c r="F369" s="1" t="s">
        <v>157</v>
      </c>
    </row>
    <row r="370" spans="1:6" x14ac:dyDescent="0.35">
      <c r="A370" s="1" t="s">
        <v>834</v>
      </c>
      <c r="B370" s="1" t="s">
        <v>835</v>
      </c>
      <c r="C370" s="1" t="s">
        <v>176</v>
      </c>
      <c r="D370" s="1" t="s">
        <v>156</v>
      </c>
      <c r="E370" s="1" t="s">
        <v>39</v>
      </c>
      <c r="F370" s="1" t="s">
        <v>171</v>
      </c>
    </row>
    <row r="371" spans="1:6" x14ac:dyDescent="0.35">
      <c r="A371" s="1" t="s">
        <v>836</v>
      </c>
      <c r="B371" s="1" t="s">
        <v>837</v>
      </c>
      <c r="C371" s="1" t="s">
        <v>133</v>
      </c>
      <c r="D371" s="1" t="s">
        <v>138</v>
      </c>
      <c r="E371" s="1" t="s">
        <v>45</v>
      </c>
      <c r="F371" s="1" t="s">
        <v>128</v>
      </c>
    </row>
    <row r="372" spans="1:6" x14ac:dyDescent="0.35">
      <c r="A372" s="1" t="s">
        <v>838</v>
      </c>
      <c r="B372" s="1" t="s">
        <v>839</v>
      </c>
      <c r="C372" s="1" t="s">
        <v>188</v>
      </c>
      <c r="D372" s="1" t="s">
        <v>243</v>
      </c>
      <c r="E372" s="1" t="s">
        <v>69</v>
      </c>
      <c r="F372" s="1" t="s">
        <v>171</v>
      </c>
    </row>
    <row r="373" spans="1:6" x14ac:dyDescent="0.35">
      <c r="A373" s="1" t="s">
        <v>840</v>
      </c>
      <c r="B373" s="1" t="s">
        <v>841</v>
      </c>
      <c r="C373" s="1" t="s">
        <v>240</v>
      </c>
      <c r="D373" s="1" t="s">
        <v>112</v>
      </c>
      <c r="E373" s="1" t="s">
        <v>45</v>
      </c>
      <c r="F373" s="1" t="s">
        <v>157</v>
      </c>
    </row>
    <row r="374" spans="1:6" x14ac:dyDescent="0.35">
      <c r="A374" s="1" t="s">
        <v>842</v>
      </c>
      <c r="B374" s="1" t="s">
        <v>843</v>
      </c>
      <c r="C374" s="1" t="s">
        <v>141</v>
      </c>
      <c r="D374" s="1" t="s">
        <v>110</v>
      </c>
      <c r="E374" s="1" t="s">
        <v>78</v>
      </c>
      <c r="F374" s="1" t="s">
        <v>121</v>
      </c>
    </row>
    <row r="375" spans="1:6" x14ac:dyDescent="0.35">
      <c r="A375" s="1" t="s">
        <v>844</v>
      </c>
      <c r="B375" s="1" t="s">
        <v>839</v>
      </c>
      <c r="C375" s="1" t="s">
        <v>109</v>
      </c>
      <c r="D375" s="1" t="s">
        <v>204</v>
      </c>
      <c r="E375" s="1" t="s">
        <v>21</v>
      </c>
      <c r="F375" s="1" t="s">
        <v>171</v>
      </c>
    </row>
    <row r="376" spans="1:6" x14ac:dyDescent="0.35">
      <c r="A376" s="1" t="s">
        <v>845</v>
      </c>
      <c r="B376" s="1" t="s">
        <v>846</v>
      </c>
      <c r="C376" s="1" t="s">
        <v>197</v>
      </c>
      <c r="D376" s="1" t="s">
        <v>243</v>
      </c>
      <c r="E376" s="1" t="s">
        <v>51</v>
      </c>
      <c r="F376" s="1" t="s">
        <v>108</v>
      </c>
    </row>
    <row r="377" spans="1:6" x14ac:dyDescent="0.35">
      <c r="A377" s="1" t="s">
        <v>847</v>
      </c>
      <c r="B377" s="1" t="s">
        <v>848</v>
      </c>
      <c r="C377" s="1" t="s">
        <v>149</v>
      </c>
      <c r="D377" s="1" t="s">
        <v>153</v>
      </c>
      <c r="E377" s="1" t="s">
        <v>69</v>
      </c>
      <c r="F377" s="1" t="s">
        <v>121</v>
      </c>
    </row>
    <row r="378" spans="1:6" x14ac:dyDescent="0.35">
      <c r="A378" s="1" t="s">
        <v>849</v>
      </c>
      <c r="B378" s="1" t="s">
        <v>850</v>
      </c>
      <c r="C378" s="1" t="s">
        <v>240</v>
      </c>
      <c r="D378" s="1" t="s">
        <v>153</v>
      </c>
      <c r="E378" s="1" t="s">
        <v>35</v>
      </c>
      <c r="F378" s="1" t="s">
        <v>143</v>
      </c>
    </row>
    <row r="379" spans="1:6" x14ac:dyDescent="0.35">
      <c r="A379" s="1" t="s">
        <v>851</v>
      </c>
      <c r="B379" s="1" t="s">
        <v>852</v>
      </c>
      <c r="C379" s="1" t="s">
        <v>133</v>
      </c>
      <c r="D379" s="1" t="s">
        <v>127</v>
      </c>
      <c r="E379" s="1" t="s">
        <v>87</v>
      </c>
      <c r="F379" s="1" t="s">
        <v>157</v>
      </c>
    </row>
    <row r="380" spans="1:6" x14ac:dyDescent="0.35">
      <c r="A380" s="1" t="s">
        <v>853</v>
      </c>
      <c r="B380" s="1" t="s">
        <v>854</v>
      </c>
      <c r="C380" s="1" t="s">
        <v>164</v>
      </c>
      <c r="D380" s="1" t="s">
        <v>183</v>
      </c>
      <c r="E380" s="1" t="s">
        <v>69</v>
      </c>
      <c r="F380" s="1" t="s">
        <v>171</v>
      </c>
    </row>
    <row r="381" spans="1:6" x14ac:dyDescent="0.35">
      <c r="A381" s="1" t="s">
        <v>855</v>
      </c>
      <c r="B381" s="1" t="s">
        <v>856</v>
      </c>
      <c r="C381" s="1" t="s">
        <v>197</v>
      </c>
      <c r="D381" s="1" t="s">
        <v>127</v>
      </c>
      <c r="E381" s="1" t="s">
        <v>45</v>
      </c>
      <c r="F381" s="1" t="s">
        <v>171</v>
      </c>
    </row>
    <row r="382" spans="1:6" x14ac:dyDescent="0.35">
      <c r="A382" s="1" t="s">
        <v>857</v>
      </c>
      <c r="B382" s="1" t="s">
        <v>858</v>
      </c>
      <c r="C382" s="1" t="s">
        <v>191</v>
      </c>
      <c r="D382" s="1" t="s">
        <v>28</v>
      </c>
      <c r="E382" s="1" t="s">
        <v>21</v>
      </c>
      <c r="F382" s="1" t="s">
        <v>171</v>
      </c>
    </row>
    <row r="383" spans="1:6" x14ac:dyDescent="0.35">
      <c r="A383" s="1" t="s">
        <v>859</v>
      </c>
      <c r="B383" s="1" t="s">
        <v>860</v>
      </c>
      <c r="C383" s="1" t="s">
        <v>172</v>
      </c>
      <c r="D383" s="1" t="s">
        <v>112</v>
      </c>
      <c r="E383" s="1" t="s">
        <v>73</v>
      </c>
      <c r="F383" s="1" t="s">
        <v>124</v>
      </c>
    </row>
    <row r="384" spans="1:6" x14ac:dyDescent="0.35">
      <c r="A384" s="1" t="s">
        <v>861</v>
      </c>
      <c r="B384" s="1" t="s">
        <v>862</v>
      </c>
      <c r="C384" s="1" t="s">
        <v>149</v>
      </c>
      <c r="D384" s="1" t="s">
        <v>165</v>
      </c>
      <c r="E384" s="1" t="s">
        <v>63</v>
      </c>
      <c r="F384" s="1" t="s">
        <v>252</v>
      </c>
    </row>
    <row r="385" spans="1:6" x14ac:dyDescent="0.35">
      <c r="A385" s="1" t="s">
        <v>863</v>
      </c>
      <c r="B385" s="1" t="s">
        <v>864</v>
      </c>
      <c r="C385" s="1" t="s">
        <v>176</v>
      </c>
      <c r="D385" s="1" t="s">
        <v>183</v>
      </c>
      <c r="E385" s="1" t="s">
        <v>29</v>
      </c>
      <c r="F385" s="1" t="s">
        <v>157</v>
      </c>
    </row>
    <row r="386" spans="1:6" x14ac:dyDescent="0.35">
      <c r="A386" s="1" t="s">
        <v>28</v>
      </c>
      <c r="B386" s="1" t="s">
        <v>28</v>
      </c>
      <c r="C386" s="1" t="s">
        <v>28</v>
      </c>
      <c r="D386" s="1" t="s">
        <v>28</v>
      </c>
      <c r="E386" s="1" t="s">
        <v>28</v>
      </c>
      <c r="F386" s="1" t="s">
        <v>28</v>
      </c>
    </row>
    <row r="387" spans="1:6" x14ac:dyDescent="0.35">
      <c r="A387" s="1" t="s">
        <v>28</v>
      </c>
      <c r="B387" s="1" t="s">
        <v>28</v>
      </c>
      <c r="C387" s="1" t="s">
        <v>28</v>
      </c>
      <c r="D387" s="1" t="s">
        <v>28</v>
      </c>
      <c r="E387" s="1" t="s">
        <v>28</v>
      </c>
      <c r="F387" s="1" t="s">
        <v>28</v>
      </c>
    </row>
    <row r="388" spans="1:6" x14ac:dyDescent="0.35">
      <c r="A388" s="1" t="s">
        <v>865</v>
      </c>
      <c r="B388" s="1" t="s">
        <v>461</v>
      </c>
      <c r="C388" s="1" t="s">
        <v>149</v>
      </c>
      <c r="D388" s="1" t="s">
        <v>110</v>
      </c>
      <c r="E388" s="1" t="s">
        <v>78</v>
      </c>
      <c r="F388" s="1" t="s">
        <v>143</v>
      </c>
    </row>
    <row r="389" spans="1:6" x14ac:dyDescent="0.35">
      <c r="A389" s="1" t="s">
        <v>866</v>
      </c>
      <c r="B389" s="1" t="s">
        <v>867</v>
      </c>
      <c r="C389" s="1" t="s">
        <v>197</v>
      </c>
      <c r="D389" s="1" t="s">
        <v>142</v>
      </c>
      <c r="E389" s="1" t="s">
        <v>29</v>
      </c>
      <c r="F389" s="1" t="s">
        <v>121</v>
      </c>
    </row>
    <row r="390" spans="1:6" x14ac:dyDescent="0.35">
      <c r="A390" s="1" t="s">
        <v>868</v>
      </c>
      <c r="B390" s="1" t="s">
        <v>869</v>
      </c>
      <c r="C390" s="1" t="s">
        <v>133</v>
      </c>
      <c r="D390" s="1" t="s">
        <v>192</v>
      </c>
      <c r="E390" s="1" t="s">
        <v>35</v>
      </c>
      <c r="F390" s="1" t="s">
        <v>143</v>
      </c>
    </row>
    <row r="391" spans="1:6" x14ac:dyDescent="0.35">
      <c r="A391" s="1" t="s">
        <v>870</v>
      </c>
      <c r="B391" s="1" t="s">
        <v>871</v>
      </c>
      <c r="C391" s="1" t="s">
        <v>176</v>
      </c>
      <c r="D391" s="1" t="s">
        <v>204</v>
      </c>
      <c r="E391" s="1" t="s">
        <v>35</v>
      </c>
      <c r="F391" s="1" t="s">
        <v>143</v>
      </c>
    </row>
    <row r="392" spans="1:6" x14ac:dyDescent="0.35">
      <c r="A392" s="1" t="s">
        <v>872</v>
      </c>
      <c r="B392" s="1" t="s">
        <v>873</v>
      </c>
      <c r="C392" s="1" t="s">
        <v>164</v>
      </c>
      <c r="D392" s="1" t="s">
        <v>153</v>
      </c>
      <c r="E392" s="1" t="s">
        <v>8</v>
      </c>
      <c r="F392" s="1" t="s">
        <v>143</v>
      </c>
    </row>
    <row r="393" spans="1:6" x14ac:dyDescent="0.35">
      <c r="A393" s="1" t="s">
        <v>874</v>
      </c>
      <c r="B393" s="1" t="s">
        <v>875</v>
      </c>
      <c r="C393" s="1" t="s">
        <v>188</v>
      </c>
      <c r="D393" s="1" t="s">
        <v>138</v>
      </c>
      <c r="E393" s="1" t="s">
        <v>87</v>
      </c>
      <c r="F393" s="1" t="s">
        <v>314</v>
      </c>
    </row>
    <row r="394" spans="1:6" x14ac:dyDescent="0.35">
      <c r="A394" s="1" t="s">
        <v>876</v>
      </c>
      <c r="B394" s="1" t="s">
        <v>877</v>
      </c>
      <c r="C394" s="1" t="s">
        <v>111</v>
      </c>
      <c r="D394" s="1" t="s">
        <v>183</v>
      </c>
      <c r="E394" s="1" t="s">
        <v>21</v>
      </c>
      <c r="F394" s="1" t="s">
        <v>124</v>
      </c>
    </row>
    <row r="395" spans="1:6" x14ac:dyDescent="0.35">
      <c r="A395" s="1" t="s">
        <v>878</v>
      </c>
      <c r="B395" s="1" t="s">
        <v>879</v>
      </c>
      <c r="C395" s="1" t="s">
        <v>188</v>
      </c>
      <c r="D395" s="1" t="s">
        <v>112</v>
      </c>
      <c r="E395" s="1" t="s">
        <v>35</v>
      </c>
      <c r="F395" s="1" t="s">
        <v>157</v>
      </c>
    </row>
    <row r="396" spans="1:6" x14ac:dyDescent="0.35">
      <c r="A396" s="1" t="s">
        <v>880</v>
      </c>
      <c r="B396" s="1" t="s">
        <v>881</v>
      </c>
      <c r="C396" s="1" t="s">
        <v>133</v>
      </c>
      <c r="D396" s="1" t="s">
        <v>127</v>
      </c>
      <c r="E396" s="1" t="s">
        <v>69</v>
      </c>
      <c r="F396" s="1" t="s">
        <v>121</v>
      </c>
    </row>
    <row r="397" spans="1:6" x14ac:dyDescent="0.35">
      <c r="A397" s="1" t="s">
        <v>882</v>
      </c>
      <c r="B397" s="1" t="s">
        <v>883</v>
      </c>
      <c r="C397" s="1" t="s">
        <v>164</v>
      </c>
      <c r="D397" s="1" t="s">
        <v>165</v>
      </c>
      <c r="E397" s="1" t="s">
        <v>45</v>
      </c>
      <c r="F397" s="1" t="s">
        <v>128</v>
      </c>
    </row>
    <row r="398" spans="1:6" x14ac:dyDescent="0.35">
      <c r="A398" s="1" t="s">
        <v>884</v>
      </c>
      <c r="B398" s="1" t="s">
        <v>885</v>
      </c>
      <c r="C398" s="1" t="s">
        <v>106</v>
      </c>
      <c r="D398" s="1" t="s">
        <v>117</v>
      </c>
      <c r="E398" s="1" t="s">
        <v>15</v>
      </c>
      <c r="F398" s="1" t="s">
        <v>171</v>
      </c>
    </row>
    <row r="399" spans="1:6" x14ac:dyDescent="0.35">
      <c r="A399" s="1" t="s">
        <v>886</v>
      </c>
      <c r="B399" s="1" t="s">
        <v>557</v>
      </c>
      <c r="C399" s="1" t="s">
        <v>106</v>
      </c>
      <c r="D399" s="1" t="s">
        <v>165</v>
      </c>
      <c r="E399" s="1" t="s">
        <v>63</v>
      </c>
      <c r="F399" s="1" t="s">
        <v>128</v>
      </c>
    </row>
    <row r="400" spans="1:6" x14ac:dyDescent="0.35">
      <c r="A400" s="1" t="s">
        <v>887</v>
      </c>
      <c r="B400" s="1" t="s">
        <v>888</v>
      </c>
      <c r="C400" s="1" t="s">
        <v>111</v>
      </c>
      <c r="D400" s="1" t="s">
        <v>107</v>
      </c>
      <c r="E400" s="1" t="s">
        <v>8</v>
      </c>
      <c r="F400" s="1" t="s">
        <v>143</v>
      </c>
    </row>
    <row r="401" spans="1:6" x14ac:dyDescent="0.35">
      <c r="A401" s="1" t="s">
        <v>889</v>
      </c>
      <c r="B401" s="1" t="s">
        <v>890</v>
      </c>
      <c r="C401" s="1" t="s">
        <v>173</v>
      </c>
      <c r="D401" s="1" t="s">
        <v>142</v>
      </c>
      <c r="E401" s="1" t="s">
        <v>73</v>
      </c>
      <c r="F401" s="1" t="s">
        <v>419</v>
      </c>
    </row>
    <row r="402" spans="1:6" x14ac:dyDescent="0.35">
      <c r="A402" s="1" t="s">
        <v>891</v>
      </c>
      <c r="B402" s="1" t="s">
        <v>892</v>
      </c>
      <c r="C402" s="1" t="s">
        <v>191</v>
      </c>
      <c r="D402" s="1" t="s">
        <v>243</v>
      </c>
      <c r="E402" s="1" t="s">
        <v>39</v>
      </c>
      <c r="F402" s="1" t="s">
        <v>143</v>
      </c>
    </row>
    <row r="403" spans="1:6" x14ac:dyDescent="0.35">
      <c r="A403" s="1" t="s">
        <v>893</v>
      </c>
      <c r="B403" s="1" t="s">
        <v>894</v>
      </c>
      <c r="C403" s="1" t="s">
        <v>149</v>
      </c>
      <c r="D403" s="1" t="s">
        <v>117</v>
      </c>
      <c r="E403" s="1" t="s">
        <v>35</v>
      </c>
      <c r="F403" s="1" t="s">
        <v>128</v>
      </c>
    </row>
    <row r="404" spans="1:6" x14ac:dyDescent="0.35">
      <c r="A404" s="1" t="s">
        <v>895</v>
      </c>
      <c r="B404" s="1" t="s">
        <v>896</v>
      </c>
      <c r="C404" s="1" t="s">
        <v>240</v>
      </c>
      <c r="D404" s="1" t="s">
        <v>214</v>
      </c>
      <c r="E404" s="1" t="s">
        <v>63</v>
      </c>
      <c r="F404" s="1" t="s">
        <v>118</v>
      </c>
    </row>
    <row r="405" spans="1:6" x14ac:dyDescent="0.35">
      <c r="A405" s="1" t="s">
        <v>897</v>
      </c>
      <c r="B405" s="1" t="s">
        <v>898</v>
      </c>
      <c r="C405" s="1" t="s">
        <v>191</v>
      </c>
      <c r="D405" s="1" t="s">
        <v>243</v>
      </c>
      <c r="E405" s="1" t="s">
        <v>73</v>
      </c>
      <c r="F405" s="1" t="s">
        <v>171</v>
      </c>
    </row>
    <row r="406" spans="1:6" x14ac:dyDescent="0.35">
      <c r="A406" s="1" t="s">
        <v>899</v>
      </c>
      <c r="B406" s="1" t="s">
        <v>900</v>
      </c>
      <c r="C406" s="1" t="s">
        <v>191</v>
      </c>
      <c r="D406" s="1" t="s">
        <v>110</v>
      </c>
      <c r="E406" s="1" t="s">
        <v>15</v>
      </c>
      <c r="F406" s="1" t="s">
        <v>252</v>
      </c>
    </row>
    <row r="407" spans="1:6" x14ac:dyDescent="0.35">
      <c r="A407" s="1" t="s">
        <v>901</v>
      </c>
      <c r="B407" s="1" t="s">
        <v>571</v>
      </c>
      <c r="C407" s="1" t="s">
        <v>109</v>
      </c>
      <c r="D407" s="1" t="s">
        <v>165</v>
      </c>
      <c r="E407" s="1" t="s">
        <v>35</v>
      </c>
      <c r="F407" s="1" t="s">
        <v>157</v>
      </c>
    </row>
    <row r="408" spans="1:6" x14ac:dyDescent="0.35">
      <c r="A408" s="1" t="s">
        <v>902</v>
      </c>
      <c r="B408" s="1" t="s">
        <v>903</v>
      </c>
      <c r="C408" s="1" t="s">
        <v>164</v>
      </c>
      <c r="D408" s="1" t="s">
        <v>243</v>
      </c>
      <c r="E408" s="1" t="s">
        <v>87</v>
      </c>
      <c r="F408" s="1" t="s">
        <v>121</v>
      </c>
    </row>
    <row r="409" spans="1:6" x14ac:dyDescent="0.35">
      <c r="A409" s="1" t="s">
        <v>904</v>
      </c>
      <c r="B409" s="1" t="s">
        <v>905</v>
      </c>
      <c r="C409" s="1" t="s">
        <v>272</v>
      </c>
      <c r="D409" s="1" t="s">
        <v>112</v>
      </c>
      <c r="E409" s="1" t="s">
        <v>21</v>
      </c>
      <c r="F409" s="1" t="s">
        <v>124</v>
      </c>
    </row>
    <row r="410" spans="1:6" x14ac:dyDescent="0.35">
      <c r="A410" s="1" t="s">
        <v>906</v>
      </c>
      <c r="B410" s="1" t="s">
        <v>907</v>
      </c>
      <c r="C410" s="1" t="s">
        <v>272</v>
      </c>
      <c r="D410" s="1" t="s">
        <v>110</v>
      </c>
      <c r="E410" s="1" t="s">
        <v>45</v>
      </c>
      <c r="F410" s="1" t="s">
        <v>124</v>
      </c>
    </row>
    <row r="411" spans="1:6" x14ac:dyDescent="0.35">
      <c r="A411" s="1" t="s">
        <v>908</v>
      </c>
      <c r="B411" s="1" t="s">
        <v>909</v>
      </c>
      <c r="C411" s="1" t="s">
        <v>272</v>
      </c>
      <c r="D411" s="1" t="s">
        <v>156</v>
      </c>
      <c r="E411" s="1" t="s">
        <v>15</v>
      </c>
      <c r="F411" s="1" t="s">
        <v>128</v>
      </c>
    </row>
    <row r="412" spans="1:6" x14ac:dyDescent="0.35">
      <c r="A412" s="1" t="s">
        <v>910</v>
      </c>
      <c r="B412" s="1" t="s">
        <v>911</v>
      </c>
      <c r="C412" s="1" t="s">
        <v>137</v>
      </c>
      <c r="D412" s="1" t="s">
        <v>153</v>
      </c>
      <c r="E412" s="1" t="s">
        <v>78</v>
      </c>
      <c r="F412" s="1" t="s">
        <v>275</v>
      </c>
    </row>
    <row r="413" spans="1:6" x14ac:dyDescent="0.35">
      <c r="A413" s="1" t="s">
        <v>912</v>
      </c>
      <c r="B413" s="1" t="s">
        <v>913</v>
      </c>
      <c r="C413" s="1" t="s">
        <v>113</v>
      </c>
      <c r="D413" s="1" t="s">
        <v>156</v>
      </c>
      <c r="E413" s="1" t="s">
        <v>45</v>
      </c>
      <c r="F413" s="1" t="s">
        <v>143</v>
      </c>
    </row>
    <row r="414" spans="1:6" x14ac:dyDescent="0.35">
      <c r="A414" s="1" t="s">
        <v>914</v>
      </c>
      <c r="B414" s="1" t="s">
        <v>824</v>
      </c>
      <c r="C414" s="1" t="s">
        <v>248</v>
      </c>
      <c r="D414" s="1" t="s">
        <v>28</v>
      </c>
      <c r="E414" s="1" t="s">
        <v>8</v>
      </c>
      <c r="F414" s="1" t="s">
        <v>128</v>
      </c>
    </row>
    <row r="415" spans="1:6" x14ac:dyDescent="0.35">
      <c r="A415" s="1" t="s">
        <v>914</v>
      </c>
      <c r="B415" s="1" t="s">
        <v>824</v>
      </c>
      <c r="C415" s="1" t="s">
        <v>168</v>
      </c>
      <c r="D415" s="1" t="s">
        <v>28</v>
      </c>
      <c r="E415" s="1" t="s">
        <v>8</v>
      </c>
      <c r="F415" s="1" t="s">
        <v>128</v>
      </c>
    </row>
    <row r="416" spans="1:6" x14ac:dyDescent="0.35">
      <c r="A416" s="1" t="s">
        <v>914</v>
      </c>
      <c r="B416" s="1" t="s">
        <v>824</v>
      </c>
      <c r="C416" s="1" t="s">
        <v>172</v>
      </c>
      <c r="D416" s="1" t="s">
        <v>28</v>
      </c>
      <c r="E416" s="1" t="s">
        <v>8</v>
      </c>
      <c r="F416" s="1" t="s">
        <v>128</v>
      </c>
    </row>
    <row r="417" spans="1:6" x14ac:dyDescent="0.35">
      <c r="A417" s="1" t="s">
        <v>914</v>
      </c>
      <c r="B417" s="1" t="s">
        <v>824</v>
      </c>
      <c r="C417" s="1" t="s">
        <v>173</v>
      </c>
      <c r="D417" s="1" t="s">
        <v>28</v>
      </c>
      <c r="E417" s="1" t="s">
        <v>8</v>
      </c>
      <c r="F417" s="1" t="s">
        <v>128</v>
      </c>
    </row>
    <row r="418" spans="1:6" x14ac:dyDescent="0.35">
      <c r="A418" s="1" t="s">
        <v>914</v>
      </c>
      <c r="B418" s="1" t="s">
        <v>824</v>
      </c>
      <c r="C418" s="1" t="s">
        <v>111</v>
      </c>
      <c r="D418" s="1" t="s">
        <v>28</v>
      </c>
      <c r="E418" s="1" t="s">
        <v>8</v>
      </c>
      <c r="F418" s="1" t="s">
        <v>128</v>
      </c>
    </row>
    <row r="419" spans="1:6" x14ac:dyDescent="0.35">
      <c r="A419" s="1" t="s">
        <v>914</v>
      </c>
      <c r="B419" s="1" t="s">
        <v>824</v>
      </c>
      <c r="C419" s="1" t="s">
        <v>113</v>
      </c>
      <c r="D419" s="1" t="s">
        <v>28</v>
      </c>
      <c r="E419" s="1" t="s">
        <v>8</v>
      </c>
      <c r="F419" s="1" t="s">
        <v>128</v>
      </c>
    </row>
    <row r="420" spans="1:6" x14ac:dyDescent="0.35">
      <c r="A420" s="1" t="s">
        <v>914</v>
      </c>
      <c r="B420" s="1" t="s">
        <v>824</v>
      </c>
      <c r="C420" s="1" t="s">
        <v>106</v>
      </c>
      <c r="D420" s="1" t="s">
        <v>28</v>
      </c>
      <c r="E420" s="1" t="s">
        <v>8</v>
      </c>
      <c r="F420" s="1" t="s">
        <v>128</v>
      </c>
    </row>
    <row r="421" spans="1:6" x14ac:dyDescent="0.35">
      <c r="A421" s="1" t="s">
        <v>914</v>
      </c>
      <c r="B421" s="1" t="s">
        <v>824</v>
      </c>
      <c r="C421" s="1" t="s">
        <v>197</v>
      </c>
      <c r="D421" s="1" t="s">
        <v>28</v>
      </c>
      <c r="E421" s="1" t="s">
        <v>8</v>
      </c>
      <c r="F421" s="1" t="s">
        <v>128</v>
      </c>
    </row>
    <row r="422" spans="1:6" x14ac:dyDescent="0.35">
      <c r="A422" s="1" t="s">
        <v>914</v>
      </c>
      <c r="B422" s="1" t="s">
        <v>824</v>
      </c>
      <c r="C422" s="1" t="s">
        <v>116</v>
      </c>
      <c r="D422" s="1" t="s">
        <v>28</v>
      </c>
      <c r="E422" s="1" t="s">
        <v>8</v>
      </c>
      <c r="F422" s="1" t="s">
        <v>128</v>
      </c>
    </row>
    <row r="423" spans="1:6" x14ac:dyDescent="0.35">
      <c r="A423" s="1" t="s">
        <v>914</v>
      </c>
      <c r="B423" s="1" t="s">
        <v>824</v>
      </c>
      <c r="C423" s="1" t="s">
        <v>133</v>
      </c>
      <c r="D423" s="1" t="s">
        <v>28</v>
      </c>
      <c r="E423" s="1" t="s">
        <v>8</v>
      </c>
      <c r="F423" s="1" t="s">
        <v>128</v>
      </c>
    </row>
    <row r="424" spans="1:6" x14ac:dyDescent="0.35">
      <c r="A424" s="1" t="s">
        <v>914</v>
      </c>
      <c r="B424" s="1" t="s">
        <v>824</v>
      </c>
      <c r="C424" s="1" t="s">
        <v>141</v>
      </c>
      <c r="D424" s="1" t="s">
        <v>28</v>
      </c>
      <c r="E424" s="1" t="s">
        <v>8</v>
      </c>
      <c r="F424" s="1" t="s">
        <v>128</v>
      </c>
    </row>
    <row r="425" spans="1:6" x14ac:dyDescent="0.35">
      <c r="A425" s="1" t="s">
        <v>914</v>
      </c>
      <c r="B425" s="1" t="s">
        <v>824</v>
      </c>
      <c r="C425" s="1" t="s">
        <v>109</v>
      </c>
      <c r="D425" s="1" t="s">
        <v>28</v>
      </c>
      <c r="E425" s="1" t="s">
        <v>8</v>
      </c>
      <c r="F425" s="1" t="s">
        <v>128</v>
      </c>
    </row>
    <row r="426" spans="1:6" x14ac:dyDescent="0.35">
      <c r="A426" s="1" t="s">
        <v>915</v>
      </c>
      <c r="B426" s="1" t="s">
        <v>916</v>
      </c>
      <c r="C426" s="1" t="s">
        <v>141</v>
      </c>
      <c r="D426" s="1" t="s">
        <v>142</v>
      </c>
      <c r="E426" s="1" t="s">
        <v>51</v>
      </c>
      <c r="F426" s="1" t="s">
        <v>128</v>
      </c>
    </row>
    <row r="427" spans="1:6" x14ac:dyDescent="0.35">
      <c r="A427" s="1" t="s">
        <v>917</v>
      </c>
      <c r="B427" s="1" t="s">
        <v>918</v>
      </c>
      <c r="C427" s="1" t="s">
        <v>109</v>
      </c>
      <c r="D427" s="1" t="s">
        <v>112</v>
      </c>
      <c r="E427" s="1" t="s">
        <v>57</v>
      </c>
      <c r="F427" s="1" t="s">
        <v>143</v>
      </c>
    </row>
    <row r="428" spans="1:6" x14ac:dyDescent="0.35">
      <c r="A428" s="1" t="s">
        <v>919</v>
      </c>
      <c r="B428" s="1" t="s">
        <v>920</v>
      </c>
      <c r="C428" s="1" t="s">
        <v>109</v>
      </c>
      <c r="D428" s="1" t="s">
        <v>117</v>
      </c>
      <c r="E428" s="1" t="s">
        <v>63</v>
      </c>
      <c r="F428" s="1" t="s">
        <v>171</v>
      </c>
    </row>
    <row r="429" spans="1:6" x14ac:dyDescent="0.35">
      <c r="A429" s="1" t="s">
        <v>921</v>
      </c>
      <c r="B429" s="1" t="s">
        <v>922</v>
      </c>
      <c r="C429" s="1" t="s">
        <v>106</v>
      </c>
      <c r="D429" s="1" t="s">
        <v>204</v>
      </c>
      <c r="E429" s="1" t="s">
        <v>78</v>
      </c>
      <c r="F429" s="1" t="s">
        <v>157</v>
      </c>
    </row>
    <row r="430" spans="1:6" x14ac:dyDescent="0.35">
      <c r="A430" s="1" t="s">
        <v>923</v>
      </c>
      <c r="B430" s="1" t="s">
        <v>924</v>
      </c>
      <c r="C430" s="1" t="s">
        <v>173</v>
      </c>
      <c r="D430" s="1" t="s">
        <v>117</v>
      </c>
      <c r="E430" s="1" t="s">
        <v>51</v>
      </c>
      <c r="F430" s="1" t="s">
        <v>121</v>
      </c>
    </row>
    <row r="431" spans="1:6" x14ac:dyDescent="0.35">
      <c r="A431" s="1" t="s">
        <v>925</v>
      </c>
      <c r="B431" s="1" t="s">
        <v>210</v>
      </c>
      <c r="C431" s="1" t="s">
        <v>106</v>
      </c>
      <c r="D431" s="1" t="s">
        <v>192</v>
      </c>
      <c r="E431" s="1" t="s">
        <v>78</v>
      </c>
      <c r="F431" s="1" t="s">
        <v>128</v>
      </c>
    </row>
    <row r="432" spans="1:6" x14ac:dyDescent="0.35">
      <c r="A432" s="1" t="s">
        <v>926</v>
      </c>
      <c r="B432" s="1" t="s">
        <v>927</v>
      </c>
      <c r="C432" s="1" t="s">
        <v>133</v>
      </c>
      <c r="D432" s="1" t="s">
        <v>107</v>
      </c>
      <c r="E432" s="1" t="s">
        <v>15</v>
      </c>
      <c r="F432" s="1" t="s">
        <v>134</v>
      </c>
    </row>
    <row r="433" spans="1:6" x14ac:dyDescent="0.35">
      <c r="A433" s="1" t="s">
        <v>928</v>
      </c>
      <c r="B433" s="1" t="s">
        <v>929</v>
      </c>
      <c r="C433" s="1" t="s">
        <v>141</v>
      </c>
      <c r="D433" s="1" t="s">
        <v>117</v>
      </c>
      <c r="E433" s="1" t="s">
        <v>73</v>
      </c>
      <c r="F433" s="1" t="s">
        <v>124</v>
      </c>
    </row>
    <row r="434" spans="1:6" x14ac:dyDescent="0.35">
      <c r="A434" s="1" t="s">
        <v>930</v>
      </c>
      <c r="B434" s="1" t="s">
        <v>931</v>
      </c>
      <c r="C434" s="1" t="s">
        <v>191</v>
      </c>
      <c r="D434" s="1" t="s">
        <v>117</v>
      </c>
      <c r="E434" s="1" t="s">
        <v>78</v>
      </c>
      <c r="F434" s="1" t="s">
        <v>157</v>
      </c>
    </row>
    <row r="435" spans="1:6" x14ac:dyDescent="0.35">
      <c r="A435" s="1" t="s">
        <v>932</v>
      </c>
      <c r="B435" s="1" t="s">
        <v>933</v>
      </c>
      <c r="C435" s="1" t="s">
        <v>173</v>
      </c>
      <c r="D435" s="1" t="s">
        <v>112</v>
      </c>
      <c r="E435" s="1" t="s">
        <v>63</v>
      </c>
      <c r="F435" s="1" t="s">
        <v>157</v>
      </c>
    </row>
    <row r="436" spans="1:6" x14ac:dyDescent="0.35">
      <c r="A436" s="1" t="s">
        <v>934</v>
      </c>
      <c r="B436" s="1" t="s">
        <v>935</v>
      </c>
      <c r="C436" s="1" t="s">
        <v>137</v>
      </c>
      <c r="D436" s="1" t="s">
        <v>183</v>
      </c>
      <c r="E436" s="1" t="s">
        <v>51</v>
      </c>
      <c r="F436" s="1" t="s">
        <v>252</v>
      </c>
    </row>
    <row r="437" spans="1:6" x14ac:dyDescent="0.35">
      <c r="A437" s="1" t="s">
        <v>936</v>
      </c>
      <c r="B437" s="1" t="s">
        <v>937</v>
      </c>
      <c r="C437" s="1" t="s">
        <v>106</v>
      </c>
      <c r="D437" s="1" t="s">
        <v>204</v>
      </c>
      <c r="E437" s="1" t="s">
        <v>45</v>
      </c>
      <c r="F437" s="1" t="s">
        <v>171</v>
      </c>
    </row>
    <row r="438" spans="1:6" x14ac:dyDescent="0.35">
      <c r="A438" s="1" t="s">
        <v>938</v>
      </c>
      <c r="B438" s="1" t="s">
        <v>939</v>
      </c>
      <c r="C438" s="1" t="s">
        <v>164</v>
      </c>
      <c r="D438" s="1" t="s">
        <v>156</v>
      </c>
      <c r="E438" s="1" t="s">
        <v>63</v>
      </c>
      <c r="F438" s="1" t="s">
        <v>121</v>
      </c>
    </row>
    <row r="439" spans="1:6" x14ac:dyDescent="0.35">
      <c r="A439" s="1" t="s">
        <v>940</v>
      </c>
      <c r="B439" s="1" t="s">
        <v>561</v>
      </c>
      <c r="C439" s="1" t="s">
        <v>176</v>
      </c>
      <c r="D439" s="1" t="s">
        <v>138</v>
      </c>
      <c r="E439" s="1" t="s">
        <v>15</v>
      </c>
      <c r="F439" s="1" t="s">
        <v>252</v>
      </c>
    </row>
    <row r="440" spans="1:6" x14ac:dyDescent="0.35">
      <c r="A440" s="1" t="s">
        <v>941</v>
      </c>
      <c r="B440" s="1" t="s">
        <v>942</v>
      </c>
      <c r="C440" s="1" t="s">
        <v>272</v>
      </c>
      <c r="D440" s="1" t="s">
        <v>117</v>
      </c>
      <c r="E440" s="1" t="s">
        <v>69</v>
      </c>
      <c r="F440" s="1" t="s">
        <v>121</v>
      </c>
    </row>
    <row r="441" spans="1:6" x14ac:dyDescent="0.35">
      <c r="A441" s="1" t="s">
        <v>943</v>
      </c>
      <c r="B441" s="1" t="s">
        <v>944</v>
      </c>
      <c r="C441" s="1" t="s">
        <v>197</v>
      </c>
      <c r="D441" s="1" t="s">
        <v>107</v>
      </c>
      <c r="E441" s="1" t="s">
        <v>45</v>
      </c>
      <c r="F441" s="1" t="s">
        <v>143</v>
      </c>
    </row>
    <row r="442" spans="1:6" x14ac:dyDescent="0.35">
      <c r="A442" s="1" t="s">
        <v>945</v>
      </c>
      <c r="B442" s="1" t="s">
        <v>406</v>
      </c>
      <c r="C442" s="1" t="s">
        <v>149</v>
      </c>
      <c r="D442" s="1" t="s">
        <v>107</v>
      </c>
      <c r="E442" s="1" t="s">
        <v>39</v>
      </c>
      <c r="F442" s="1" t="s">
        <v>143</v>
      </c>
    </row>
    <row r="443" spans="1:6" x14ac:dyDescent="0.35">
      <c r="A443" s="1" t="s">
        <v>946</v>
      </c>
      <c r="B443" s="1" t="s">
        <v>944</v>
      </c>
      <c r="C443" s="1" t="s">
        <v>188</v>
      </c>
      <c r="D443" s="1" t="s">
        <v>138</v>
      </c>
      <c r="E443" s="1" t="s">
        <v>29</v>
      </c>
      <c r="F443" s="1" t="s">
        <v>128</v>
      </c>
    </row>
    <row r="444" spans="1:6" x14ac:dyDescent="0.35">
      <c r="A444" s="1" t="s">
        <v>947</v>
      </c>
      <c r="B444" s="1" t="s">
        <v>948</v>
      </c>
      <c r="C444" s="1" t="s">
        <v>168</v>
      </c>
      <c r="D444" s="1" t="s">
        <v>214</v>
      </c>
      <c r="E444" s="1" t="s">
        <v>21</v>
      </c>
      <c r="F444" s="1" t="s">
        <v>157</v>
      </c>
    </row>
    <row r="445" spans="1:6" x14ac:dyDescent="0.35">
      <c r="A445" s="1" t="s">
        <v>949</v>
      </c>
      <c r="B445" s="1" t="s">
        <v>950</v>
      </c>
      <c r="C445" s="1" t="s">
        <v>172</v>
      </c>
      <c r="D445" s="1" t="s">
        <v>110</v>
      </c>
      <c r="E445" s="1" t="s">
        <v>63</v>
      </c>
      <c r="F445" s="1" t="s">
        <v>314</v>
      </c>
    </row>
    <row r="446" spans="1:6" x14ac:dyDescent="0.35">
      <c r="A446" s="1" t="s">
        <v>951</v>
      </c>
      <c r="B446" s="1" t="s">
        <v>952</v>
      </c>
      <c r="C446" s="1" t="s">
        <v>172</v>
      </c>
      <c r="D446" s="1" t="s">
        <v>127</v>
      </c>
      <c r="E446" s="1" t="s">
        <v>21</v>
      </c>
      <c r="F446" s="1" t="s">
        <v>143</v>
      </c>
    </row>
    <row r="447" spans="1:6" x14ac:dyDescent="0.35">
      <c r="A447" s="1" t="s">
        <v>953</v>
      </c>
      <c r="B447" s="1" t="s">
        <v>954</v>
      </c>
      <c r="C447" s="1" t="s">
        <v>173</v>
      </c>
      <c r="D447" s="1" t="s">
        <v>142</v>
      </c>
      <c r="E447" s="1" t="s">
        <v>78</v>
      </c>
      <c r="F447" s="1" t="s">
        <v>128</v>
      </c>
    </row>
    <row r="448" spans="1:6" x14ac:dyDescent="0.35">
      <c r="A448" s="1" t="s">
        <v>955</v>
      </c>
      <c r="B448" s="1" t="s">
        <v>956</v>
      </c>
      <c r="C448" s="1" t="s">
        <v>141</v>
      </c>
      <c r="D448" s="1" t="s">
        <v>153</v>
      </c>
      <c r="E448" s="1" t="s">
        <v>21</v>
      </c>
      <c r="F448" s="1" t="s">
        <v>275</v>
      </c>
    </row>
    <row r="449" spans="1:6" x14ac:dyDescent="0.35">
      <c r="A449" s="1" t="s">
        <v>957</v>
      </c>
      <c r="B449" s="1" t="s">
        <v>958</v>
      </c>
      <c r="C449" s="1" t="s">
        <v>106</v>
      </c>
      <c r="D449" s="1" t="s">
        <v>153</v>
      </c>
      <c r="E449" s="1" t="s">
        <v>8</v>
      </c>
      <c r="F449" s="1" t="s">
        <v>143</v>
      </c>
    </row>
    <row r="450" spans="1:6" x14ac:dyDescent="0.35">
      <c r="A450" s="1" t="s">
        <v>959</v>
      </c>
      <c r="B450" s="1" t="s">
        <v>960</v>
      </c>
      <c r="C450" s="1" t="s">
        <v>248</v>
      </c>
      <c r="D450" s="1" t="s">
        <v>142</v>
      </c>
      <c r="E450" s="1" t="s">
        <v>87</v>
      </c>
      <c r="F450" s="1" t="s">
        <v>124</v>
      </c>
    </row>
    <row r="451" spans="1:6" x14ac:dyDescent="0.35">
      <c r="A451" s="1" t="s">
        <v>961</v>
      </c>
      <c r="B451" s="1" t="s">
        <v>621</v>
      </c>
      <c r="C451" s="1" t="s">
        <v>172</v>
      </c>
      <c r="D451" s="1" t="s">
        <v>156</v>
      </c>
      <c r="E451" s="1" t="s">
        <v>39</v>
      </c>
      <c r="F451" s="1" t="s">
        <v>143</v>
      </c>
    </row>
    <row r="452" spans="1:6" x14ac:dyDescent="0.35">
      <c r="A452" s="1" t="s">
        <v>962</v>
      </c>
      <c r="B452" s="1" t="s">
        <v>963</v>
      </c>
      <c r="C452" s="1" t="s">
        <v>113</v>
      </c>
      <c r="D452" s="1" t="s">
        <v>165</v>
      </c>
      <c r="E452" s="1" t="s">
        <v>39</v>
      </c>
      <c r="F452" s="1" t="s">
        <v>261</v>
      </c>
    </row>
    <row r="453" spans="1:6" x14ac:dyDescent="0.35">
      <c r="A453" s="1" t="s">
        <v>964</v>
      </c>
      <c r="B453" s="1" t="s">
        <v>965</v>
      </c>
      <c r="C453" s="1" t="s">
        <v>113</v>
      </c>
      <c r="D453" s="1" t="s">
        <v>165</v>
      </c>
      <c r="E453" s="1" t="s">
        <v>21</v>
      </c>
      <c r="F453" s="1" t="s">
        <v>171</v>
      </c>
    </row>
    <row r="454" spans="1:6" x14ac:dyDescent="0.35">
      <c r="A454" s="1" t="s">
        <v>966</v>
      </c>
      <c r="B454" s="1" t="s">
        <v>967</v>
      </c>
      <c r="C454" s="1" t="s">
        <v>168</v>
      </c>
      <c r="D454" s="1" t="s">
        <v>192</v>
      </c>
      <c r="E454" s="1" t="s">
        <v>78</v>
      </c>
      <c r="F454" s="1" t="s">
        <v>157</v>
      </c>
    </row>
    <row r="455" spans="1:6" x14ac:dyDescent="0.35">
      <c r="A455" s="1" t="s">
        <v>968</v>
      </c>
      <c r="B455" s="1" t="s">
        <v>969</v>
      </c>
      <c r="C455" s="1" t="s">
        <v>172</v>
      </c>
      <c r="D455" s="1" t="s">
        <v>243</v>
      </c>
      <c r="E455" s="1" t="s">
        <v>29</v>
      </c>
      <c r="F455" s="1" t="s">
        <v>128</v>
      </c>
    </row>
    <row r="456" spans="1:6" x14ac:dyDescent="0.35">
      <c r="A456" s="1" t="s">
        <v>970</v>
      </c>
      <c r="B456" s="1" t="s">
        <v>971</v>
      </c>
      <c r="C456" s="1" t="s">
        <v>106</v>
      </c>
      <c r="D456" s="1" t="s">
        <v>142</v>
      </c>
      <c r="E456" s="1" t="s">
        <v>69</v>
      </c>
      <c r="F456" s="1" t="s">
        <v>171</v>
      </c>
    </row>
    <row r="457" spans="1:6" x14ac:dyDescent="0.35">
      <c r="A457" s="1" t="s">
        <v>972</v>
      </c>
      <c r="B457" s="1" t="s">
        <v>973</v>
      </c>
      <c r="C457" s="1" t="s">
        <v>106</v>
      </c>
      <c r="D457" s="1" t="s">
        <v>243</v>
      </c>
      <c r="E457" s="1" t="s">
        <v>15</v>
      </c>
      <c r="F457" s="1" t="s">
        <v>157</v>
      </c>
    </row>
    <row r="458" spans="1:6" x14ac:dyDescent="0.35">
      <c r="A458" s="1" t="s">
        <v>974</v>
      </c>
      <c r="B458" s="1" t="s">
        <v>975</v>
      </c>
      <c r="C458" s="1" t="s">
        <v>248</v>
      </c>
      <c r="D458" s="1" t="s">
        <v>165</v>
      </c>
      <c r="E458" s="1" t="s">
        <v>29</v>
      </c>
      <c r="F458" s="1" t="s">
        <v>171</v>
      </c>
    </row>
    <row r="459" spans="1:6" x14ac:dyDescent="0.35">
      <c r="A459" s="1" t="s">
        <v>976</v>
      </c>
      <c r="B459" s="1" t="s">
        <v>977</v>
      </c>
      <c r="C459" s="1" t="s">
        <v>141</v>
      </c>
      <c r="D459" s="1" t="s">
        <v>183</v>
      </c>
      <c r="E459" s="1" t="s">
        <v>51</v>
      </c>
      <c r="F459" s="1" t="s">
        <v>134</v>
      </c>
    </row>
    <row r="460" spans="1:6" x14ac:dyDescent="0.35">
      <c r="A460" s="1" t="s">
        <v>978</v>
      </c>
      <c r="B460" s="1" t="s">
        <v>802</v>
      </c>
      <c r="C460" s="1" t="s">
        <v>133</v>
      </c>
      <c r="D460" s="1" t="s">
        <v>142</v>
      </c>
      <c r="E460" s="1" t="s">
        <v>69</v>
      </c>
      <c r="F460" s="1" t="s">
        <v>171</v>
      </c>
    </row>
    <row r="461" spans="1:6" x14ac:dyDescent="0.35">
      <c r="A461" s="1" t="s">
        <v>979</v>
      </c>
      <c r="B461" s="1" t="s">
        <v>980</v>
      </c>
      <c r="C461" s="1" t="s">
        <v>111</v>
      </c>
      <c r="D461" s="1" t="s">
        <v>165</v>
      </c>
      <c r="E461" s="1" t="s">
        <v>21</v>
      </c>
      <c r="F461" s="1" t="s">
        <v>128</v>
      </c>
    </row>
    <row r="462" spans="1:6" x14ac:dyDescent="0.35">
      <c r="A462" s="1" t="s">
        <v>981</v>
      </c>
      <c r="B462" s="1" t="s">
        <v>982</v>
      </c>
      <c r="C462" s="1" t="s">
        <v>109</v>
      </c>
      <c r="D462" s="1" t="s">
        <v>243</v>
      </c>
      <c r="E462" s="1" t="s">
        <v>69</v>
      </c>
      <c r="F462" s="1" t="s">
        <v>146</v>
      </c>
    </row>
    <row r="463" spans="1:6" x14ac:dyDescent="0.35">
      <c r="A463" s="1" t="s">
        <v>983</v>
      </c>
      <c r="B463" s="1" t="s">
        <v>984</v>
      </c>
      <c r="C463" s="1" t="s">
        <v>191</v>
      </c>
      <c r="D463" s="1" t="s">
        <v>107</v>
      </c>
      <c r="E463" s="1" t="s">
        <v>73</v>
      </c>
      <c r="F463" s="1" t="s">
        <v>157</v>
      </c>
    </row>
    <row r="464" spans="1:6" x14ac:dyDescent="0.35">
      <c r="A464" s="1" t="s">
        <v>985</v>
      </c>
      <c r="B464" s="1" t="s">
        <v>986</v>
      </c>
      <c r="C464" s="1" t="s">
        <v>106</v>
      </c>
      <c r="D464" s="1" t="s">
        <v>138</v>
      </c>
      <c r="E464" s="1" t="s">
        <v>39</v>
      </c>
      <c r="F464" s="1" t="s">
        <v>128</v>
      </c>
    </row>
    <row r="465" spans="1:6" x14ac:dyDescent="0.35">
      <c r="A465" s="1" t="s">
        <v>987</v>
      </c>
      <c r="B465" s="1" t="s">
        <v>988</v>
      </c>
      <c r="C465" s="1" t="s">
        <v>176</v>
      </c>
      <c r="D465" s="1" t="s">
        <v>28</v>
      </c>
      <c r="E465" s="1" t="s">
        <v>69</v>
      </c>
      <c r="F465" s="1" t="s">
        <v>108</v>
      </c>
    </row>
    <row r="466" spans="1:6" x14ac:dyDescent="0.35">
      <c r="A466" s="1" t="s">
        <v>989</v>
      </c>
      <c r="B466" s="1" t="s">
        <v>990</v>
      </c>
      <c r="C466" s="1" t="s">
        <v>172</v>
      </c>
      <c r="D466" s="1" t="s">
        <v>192</v>
      </c>
      <c r="E466" s="1" t="s">
        <v>15</v>
      </c>
      <c r="F466" s="1" t="s">
        <v>124</v>
      </c>
    </row>
    <row r="467" spans="1:6" x14ac:dyDescent="0.35">
      <c r="A467" s="1" t="s">
        <v>991</v>
      </c>
      <c r="B467" s="1" t="s">
        <v>992</v>
      </c>
      <c r="C467" s="1" t="s">
        <v>116</v>
      </c>
      <c r="D467" s="1" t="s">
        <v>156</v>
      </c>
      <c r="E467" s="1" t="s">
        <v>82</v>
      </c>
      <c r="F467" s="1" t="s">
        <v>419</v>
      </c>
    </row>
    <row r="468" spans="1:6" x14ac:dyDescent="0.35">
      <c r="A468" s="1" t="s">
        <v>993</v>
      </c>
      <c r="B468" s="1" t="s">
        <v>994</v>
      </c>
      <c r="C468" s="1" t="s">
        <v>191</v>
      </c>
      <c r="D468" s="1" t="s">
        <v>110</v>
      </c>
      <c r="E468" s="1" t="s">
        <v>45</v>
      </c>
      <c r="F468" s="1" t="s">
        <v>128</v>
      </c>
    </row>
    <row r="469" spans="1:6" x14ac:dyDescent="0.35">
      <c r="A469" s="1" t="s">
        <v>995</v>
      </c>
      <c r="B469" s="1" t="s">
        <v>996</v>
      </c>
      <c r="C469" s="1" t="s">
        <v>176</v>
      </c>
      <c r="D469" s="1" t="s">
        <v>142</v>
      </c>
      <c r="E469" s="1" t="s">
        <v>82</v>
      </c>
      <c r="F469" s="1" t="s">
        <v>128</v>
      </c>
    </row>
    <row r="470" spans="1:6" x14ac:dyDescent="0.35">
      <c r="A470" s="1" t="s">
        <v>997</v>
      </c>
      <c r="B470" s="1" t="s">
        <v>998</v>
      </c>
      <c r="C470" s="1" t="s">
        <v>133</v>
      </c>
      <c r="D470" s="1" t="s">
        <v>138</v>
      </c>
      <c r="E470" s="1" t="s">
        <v>57</v>
      </c>
      <c r="F470" s="1" t="s">
        <v>124</v>
      </c>
    </row>
    <row r="471" spans="1:6" x14ac:dyDescent="0.35">
      <c r="A471" s="1" t="s">
        <v>999</v>
      </c>
      <c r="B471" s="1" t="s">
        <v>1000</v>
      </c>
      <c r="C471" s="1" t="s">
        <v>168</v>
      </c>
      <c r="D471" s="1" t="s">
        <v>156</v>
      </c>
      <c r="E471" s="1" t="s">
        <v>35</v>
      </c>
      <c r="F471" s="1" t="s">
        <v>124</v>
      </c>
    </row>
    <row r="472" spans="1:6" x14ac:dyDescent="0.35">
      <c r="A472" s="1" t="s">
        <v>1001</v>
      </c>
      <c r="B472" s="1" t="s">
        <v>1002</v>
      </c>
      <c r="C472" s="1" t="s">
        <v>137</v>
      </c>
      <c r="D472" s="1" t="s">
        <v>117</v>
      </c>
      <c r="E472" s="1" t="s">
        <v>63</v>
      </c>
      <c r="F472" s="1" t="s">
        <v>128</v>
      </c>
    </row>
    <row r="473" spans="1:6" x14ac:dyDescent="0.35">
      <c r="A473" s="1" t="s">
        <v>1003</v>
      </c>
      <c r="B473" s="1" t="s">
        <v>1004</v>
      </c>
      <c r="C473" s="1" t="s">
        <v>149</v>
      </c>
      <c r="D473" s="1" t="s">
        <v>243</v>
      </c>
      <c r="E473" s="1" t="s">
        <v>57</v>
      </c>
      <c r="F473" s="1" t="s">
        <v>157</v>
      </c>
    </row>
    <row r="474" spans="1:6" x14ac:dyDescent="0.35">
      <c r="A474" s="1" t="s">
        <v>1005</v>
      </c>
      <c r="B474" s="1" t="s">
        <v>1006</v>
      </c>
      <c r="C474" s="1" t="s">
        <v>191</v>
      </c>
      <c r="D474" s="1" t="s">
        <v>153</v>
      </c>
      <c r="E474" s="1" t="s">
        <v>87</v>
      </c>
      <c r="F474" s="1" t="s">
        <v>143</v>
      </c>
    </row>
    <row r="475" spans="1:6" x14ac:dyDescent="0.35">
      <c r="A475" s="1" t="s">
        <v>1007</v>
      </c>
      <c r="B475" s="1" t="s">
        <v>1008</v>
      </c>
      <c r="C475" s="1" t="s">
        <v>111</v>
      </c>
      <c r="D475" s="1" t="s">
        <v>183</v>
      </c>
      <c r="E475" s="1" t="s">
        <v>15</v>
      </c>
      <c r="F475" s="1" t="s">
        <v>157</v>
      </c>
    </row>
    <row r="476" spans="1:6" x14ac:dyDescent="0.35">
      <c r="A476" s="1" t="s">
        <v>1009</v>
      </c>
      <c r="B476" s="1" t="s">
        <v>1010</v>
      </c>
      <c r="C476" s="1" t="s">
        <v>116</v>
      </c>
      <c r="D476" s="1" t="s">
        <v>204</v>
      </c>
      <c r="E476" s="1" t="s">
        <v>82</v>
      </c>
      <c r="F476" s="1" t="s">
        <v>128</v>
      </c>
    </row>
    <row r="477" spans="1:6" x14ac:dyDescent="0.35">
      <c r="A477" s="1" t="s">
        <v>1011</v>
      </c>
      <c r="B477" s="1" t="s">
        <v>1012</v>
      </c>
      <c r="C477" s="1" t="s">
        <v>164</v>
      </c>
      <c r="D477" s="1" t="s">
        <v>183</v>
      </c>
      <c r="E477" s="1" t="s">
        <v>15</v>
      </c>
      <c r="F477" s="1" t="s">
        <v>143</v>
      </c>
    </row>
    <row r="478" spans="1:6" x14ac:dyDescent="0.35">
      <c r="A478" s="1" t="s">
        <v>1013</v>
      </c>
      <c r="B478" s="1" t="s">
        <v>695</v>
      </c>
      <c r="C478" s="1" t="s">
        <v>172</v>
      </c>
      <c r="D478" s="1" t="s">
        <v>183</v>
      </c>
      <c r="E478" s="1" t="s">
        <v>15</v>
      </c>
      <c r="F478" s="1" t="s">
        <v>150</v>
      </c>
    </row>
    <row r="479" spans="1:6" x14ac:dyDescent="0.35">
      <c r="A479" s="1" t="s">
        <v>1014</v>
      </c>
      <c r="B479" s="1" t="s">
        <v>1015</v>
      </c>
      <c r="C479" s="1" t="s">
        <v>240</v>
      </c>
      <c r="D479" s="1" t="s">
        <v>153</v>
      </c>
      <c r="E479" s="1" t="s">
        <v>73</v>
      </c>
      <c r="F479" s="1" t="s">
        <v>171</v>
      </c>
    </row>
    <row r="480" spans="1:6" x14ac:dyDescent="0.35">
      <c r="A480" s="1" t="s">
        <v>1016</v>
      </c>
      <c r="B480" s="1" t="s">
        <v>1017</v>
      </c>
      <c r="C480" s="1" t="s">
        <v>109</v>
      </c>
      <c r="D480" s="1" t="s">
        <v>127</v>
      </c>
      <c r="E480" s="1" t="s">
        <v>8</v>
      </c>
      <c r="F480" s="1" t="s">
        <v>157</v>
      </c>
    </row>
    <row r="481" spans="1:6" x14ac:dyDescent="0.35">
      <c r="A481" s="1" t="s">
        <v>1018</v>
      </c>
      <c r="B481" s="1" t="s">
        <v>1019</v>
      </c>
      <c r="C481" s="1" t="s">
        <v>197</v>
      </c>
      <c r="D481" s="1" t="s">
        <v>165</v>
      </c>
      <c r="E481" s="1" t="s">
        <v>63</v>
      </c>
      <c r="F481" s="1" t="s">
        <v>211</v>
      </c>
    </row>
    <row r="482" spans="1:6" x14ac:dyDescent="0.35">
      <c r="A482" s="1" t="s">
        <v>1020</v>
      </c>
      <c r="B482" s="1" t="s">
        <v>1021</v>
      </c>
      <c r="C482" s="1" t="s">
        <v>111</v>
      </c>
      <c r="D482" s="1" t="s">
        <v>183</v>
      </c>
      <c r="E482" s="1" t="s">
        <v>35</v>
      </c>
      <c r="F482" s="1" t="s">
        <v>124</v>
      </c>
    </row>
    <row r="483" spans="1:6" x14ac:dyDescent="0.35">
      <c r="A483" s="1" t="s">
        <v>1022</v>
      </c>
      <c r="B483" s="1" t="s">
        <v>1023</v>
      </c>
      <c r="C483" s="1" t="s">
        <v>109</v>
      </c>
      <c r="D483" s="1" t="s">
        <v>142</v>
      </c>
      <c r="E483" s="1" t="s">
        <v>57</v>
      </c>
      <c r="F483" s="1" t="s">
        <v>118</v>
      </c>
    </row>
    <row r="484" spans="1:6" x14ac:dyDescent="0.35">
      <c r="A484" s="1" t="s">
        <v>1024</v>
      </c>
      <c r="B484" s="1" t="s">
        <v>1025</v>
      </c>
      <c r="C484" s="1" t="s">
        <v>149</v>
      </c>
      <c r="D484" s="1" t="s">
        <v>112</v>
      </c>
      <c r="E484" s="1" t="s">
        <v>63</v>
      </c>
      <c r="F484" s="1" t="s">
        <v>157</v>
      </c>
    </row>
    <row r="485" spans="1:6" x14ac:dyDescent="0.35">
      <c r="A485" s="1" t="s">
        <v>1026</v>
      </c>
      <c r="B485" s="1" t="s">
        <v>1027</v>
      </c>
      <c r="C485" s="1" t="s">
        <v>168</v>
      </c>
      <c r="D485" s="1" t="s">
        <v>112</v>
      </c>
      <c r="E485" s="1" t="s">
        <v>69</v>
      </c>
      <c r="F485" s="1" t="s">
        <v>124</v>
      </c>
    </row>
    <row r="486" spans="1:6" x14ac:dyDescent="0.35">
      <c r="A486" s="1" t="s">
        <v>1028</v>
      </c>
      <c r="B486" s="1" t="s">
        <v>1029</v>
      </c>
      <c r="C486" s="1" t="s">
        <v>197</v>
      </c>
      <c r="D486" s="1" t="s">
        <v>153</v>
      </c>
      <c r="E486" s="1" t="s">
        <v>21</v>
      </c>
      <c r="F486" s="1" t="s">
        <v>157</v>
      </c>
    </row>
    <row r="487" spans="1:6" x14ac:dyDescent="0.35">
      <c r="A487" s="1" t="s">
        <v>1030</v>
      </c>
      <c r="B487" s="1" t="s">
        <v>1031</v>
      </c>
      <c r="C487" s="1" t="s">
        <v>137</v>
      </c>
      <c r="D487" s="1" t="s">
        <v>165</v>
      </c>
      <c r="E487" s="1" t="s">
        <v>39</v>
      </c>
      <c r="F487" s="1" t="s">
        <v>128</v>
      </c>
    </row>
    <row r="488" spans="1:6" x14ac:dyDescent="0.35">
      <c r="A488" s="1" t="s">
        <v>1032</v>
      </c>
      <c r="B488" s="1" t="s">
        <v>1033</v>
      </c>
      <c r="C488" s="1" t="s">
        <v>272</v>
      </c>
      <c r="D488" s="1" t="s">
        <v>183</v>
      </c>
      <c r="E488" s="1" t="s">
        <v>15</v>
      </c>
      <c r="F488" s="1" t="s">
        <v>171</v>
      </c>
    </row>
    <row r="489" spans="1:6" x14ac:dyDescent="0.35">
      <c r="A489" s="1" t="s">
        <v>1034</v>
      </c>
      <c r="B489" s="1" t="s">
        <v>1035</v>
      </c>
      <c r="C489" s="1" t="s">
        <v>137</v>
      </c>
      <c r="D489" s="1" t="s">
        <v>112</v>
      </c>
      <c r="E489" s="1" t="s">
        <v>51</v>
      </c>
      <c r="F489" s="1" t="s">
        <v>171</v>
      </c>
    </row>
    <row r="490" spans="1:6" x14ac:dyDescent="0.35">
      <c r="A490" s="1" t="s">
        <v>1036</v>
      </c>
      <c r="B490" s="1" t="s">
        <v>1037</v>
      </c>
      <c r="C490" s="1" t="s">
        <v>272</v>
      </c>
      <c r="D490" s="1" t="s">
        <v>165</v>
      </c>
      <c r="E490" s="1" t="s">
        <v>8</v>
      </c>
      <c r="F490" s="1" t="s">
        <v>275</v>
      </c>
    </row>
    <row r="491" spans="1:6" x14ac:dyDescent="0.35">
      <c r="A491" s="1" t="s">
        <v>1036</v>
      </c>
      <c r="B491" s="1" t="s">
        <v>1037</v>
      </c>
      <c r="C491" s="1" t="s">
        <v>137</v>
      </c>
      <c r="D491" s="1" t="s">
        <v>165</v>
      </c>
      <c r="E491" s="1" t="s">
        <v>8</v>
      </c>
      <c r="F491" s="1" t="s">
        <v>275</v>
      </c>
    </row>
    <row r="492" spans="1:6" x14ac:dyDescent="0.35">
      <c r="A492" s="1" t="s">
        <v>1036</v>
      </c>
      <c r="B492" s="1" t="s">
        <v>1037</v>
      </c>
      <c r="C492" s="1" t="s">
        <v>240</v>
      </c>
      <c r="D492" s="1" t="s">
        <v>165</v>
      </c>
      <c r="E492" s="1" t="s">
        <v>8</v>
      </c>
      <c r="F492" s="1" t="s">
        <v>275</v>
      </c>
    </row>
    <row r="493" spans="1:6" x14ac:dyDescent="0.35">
      <c r="A493" s="1" t="s">
        <v>1038</v>
      </c>
      <c r="B493" s="1" t="s">
        <v>673</v>
      </c>
      <c r="C493" s="1" t="s">
        <v>111</v>
      </c>
      <c r="D493" s="1" t="s">
        <v>156</v>
      </c>
      <c r="E493" s="1" t="s">
        <v>45</v>
      </c>
      <c r="F493" s="1" t="s">
        <v>157</v>
      </c>
    </row>
    <row r="494" spans="1:6" x14ac:dyDescent="0.35">
      <c r="A494" s="1" t="s">
        <v>1039</v>
      </c>
      <c r="B494" s="1" t="s">
        <v>1040</v>
      </c>
      <c r="C494" s="1" t="s">
        <v>111</v>
      </c>
      <c r="D494" s="1" t="s">
        <v>112</v>
      </c>
      <c r="E494" s="1" t="s">
        <v>39</v>
      </c>
      <c r="F494" s="1" t="s">
        <v>157</v>
      </c>
    </row>
    <row r="495" spans="1:6" x14ac:dyDescent="0.35">
      <c r="A495" s="1" t="s">
        <v>1041</v>
      </c>
      <c r="B495" s="1" t="s">
        <v>1042</v>
      </c>
      <c r="C495" s="1" t="s">
        <v>188</v>
      </c>
      <c r="D495" s="1" t="s">
        <v>112</v>
      </c>
      <c r="E495" s="1" t="s">
        <v>87</v>
      </c>
      <c r="F495" s="1" t="s">
        <v>143</v>
      </c>
    </row>
    <row r="496" spans="1:6" x14ac:dyDescent="0.35">
      <c r="A496" s="1" t="s">
        <v>1043</v>
      </c>
      <c r="B496" s="1" t="s">
        <v>494</v>
      </c>
      <c r="C496" s="1" t="s">
        <v>173</v>
      </c>
      <c r="D496" s="1" t="s">
        <v>28</v>
      </c>
      <c r="E496" s="1" t="s">
        <v>35</v>
      </c>
      <c r="F496" s="1" t="s">
        <v>124</v>
      </c>
    </row>
    <row r="497" spans="1:6" x14ac:dyDescent="0.35">
      <c r="A497" s="1" t="s">
        <v>1044</v>
      </c>
      <c r="B497" s="1" t="s">
        <v>1045</v>
      </c>
      <c r="C497" s="1" t="s">
        <v>240</v>
      </c>
      <c r="D497" s="1" t="s">
        <v>153</v>
      </c>
      <c r="E497" s="1" t="s">
        <v>29</v>
      </c>
      <c r="F497" s="1" t="s">
        <v>171</v>
      </c>
    </row>
    <row r="498" spans="1:6" x14ac:dyDescent="0.35">
      <c r="A498" s="1" t="s">
        <v>1046</v>
      </c>
      <c r="B498" s="1" t="s">
        <v>1047</v>
      </c>
      <c r="C498" s="1" t="s">
        <v>149</v>
      </c>
      <c r="D498" s="1" t="s">
        <v>156</v>
      </c>
      <c r="E498" s="1" t="s">
        <v>8</v>
      </c>
      <c r="F498" s="1" t="s">
        <v>121</v>
      </c>
    </row>
    <row r="499" spans="1:6" x14ac:dyDescent="0.35">
      <c r="A499" s="1" t="s">
        <v>1048</v>
      </c>
      <c r="B499" s="1" t="s">
        <v>1049</v>
      </c>
      <c r="C499" s="1" t="s">
        <v>240</v>
      </c>
      <c r="D499" s="1" t="s">
        <v>204</v>
      </c>
      <c r="E499" s="1" t="s">
        <v>57</v>
      </c>
      <c r="F499" s="1" t="s">
        <v>157</v>
      </c>
    </row>
    <row r="500" spans="1:6" x14ac:dyDescent="0.35">
      <c r="A500" s="1" t="s">
        <v>1050</v>
      </c>
      <c r="B500" s="1" t="s">
        <v>1051</v>
      </c>
      <c r="C500" s="1" t="s">
        <v>116</v>
      </c>
      <c r="D500" s="1" t="s">
        <v>183</v>
      </c>
      <c r="E500" s="1" t="s">
        <v>45</v>
      </c>
      <c r="F500" s="1" t="s">
        <v>150</v>
      </c>
    </row>
    <row r="501" spans="1:6" x14ac:dyDescent="0.35">
      <c r="A501" s="1" t="s">
        <v>1052</v>
      </c>
      <c r="B501" s="1" t="s">
        <v>1053</v>
      </c>
      <c r="C501" s="1" t="s">
        <v>172</v>
      </c>
      <c r="D501" s="1" t="s">
        <v>112</v>
      </c>
      <c r="E501" s="1" t="s">
        <v>73</v>
      </c>
      <c r="F501" s="1" t="s">
        <v>314</v>
      </c>
    </row>
    <row r="502" spans="1:6" x14ac:dyDescent="0.35">
      <c r="A502" s="1" t="s">
        <v>1054</v>
      </c>
      <c r="B502" s="1" t="s">
        <v>709</v>
      </c>
      <c r="C502" s="1" t="s">
        <v>164</v>
      </c>
      <c r="D502" s="1" t="s">
        <v>243</v>
      </c>
      <c r="E502" s="1" t="s">
        <v>69</v>
      </c>
      <c r="F502" s="1" t="s">
        <v>124</v>
      </c>
    </row>
    <row r="503" spans="1:6" x14ac:dyDescent="0.35">
      <c r="A503" s="1" t="s">
        <v>1055</v>
      </c>
      <c r="B503" s="1" t="s">
        <v>1056</v>
      </c>
      <c r="C503" s="1" t="s">
        <v>133</v>
      </c>
      <c r="D503" s="1" t="s">
        <v>112</v>
      </c>
      <c r="E503" s="1" t="s">
        <v>29</v>
      </c>
      <c r="F503" s="1" t="s">
        <v>134</v>
      </c>
    </row>
    <row r="504" spans="1:6" x14ac:dyDescent="0.35">
      <c r="A504" s="1" t="s">
        <v>1057</v>
      </c>
      <c r="B504" s="1" t="s">
        <v>1058</v>
      </c>
      <c r="C504" s="1" t="s">
        <v>172</v>
      </c>
      <c r="D504" s="1" t="s">
        <v>127</v>
      </c>
      <c r="E504" s="1" t="s">
        <v>8</v>
      </c>
      <c r="F504" s="1" t="s">
        <v>143</v>
      </c>
    </row>
    <row r="505" spans="1:6" x14ac:dyDescent="0.35">
      <c r="A505" s="1" t="s">
        <v>1059</v>
      </c>
      <c r="B505" s="1" t="s">
        <v>1060</v>
      </c>
      <c r="C505" s="1" t="s">
        <v>141</v>
      </c>
      <c r="D505" s="1" t="s">
        <v>112</v>
      </c>
      <c r="E505" s="1" t="s">
        <v>15</v>
      </c>
      <c r="F505" s="1" t="s">
        <v>157</v>
      </c>
    </row>
    <row r="506" spans="1:6" x14ac:dyDescent="0.35">
      <c r="A506" s="1" t="s">
        <v>1061</v>
      </c>
      <c r="B506" s="1" t="s">
        <v>1062</v>
      </c>
      <c r="C506" s="1" t="s">
        <v>106</v>
      </c>
      <c r="D506" s="1" t="s">
        <v>214</v>
      </c>
      <c r="E506" s="1" t="s">
        <v>21</v>
      </c>
      <c r="F506" s="1" t="s">
        <v>143</v>
      </c>
    </row>
    <row r="507" spans="1:6" x14ac:dyDescent="0.35">
      <c r="A507" s="1" t="s">
        <v>1063</v>
      </c>
      <c r="B507" s="1" t="s">
        <v>1064</v>
      </c>
      <c r="C507" s="1" t="s">
        <v>168</v>
      </c>
      <c r="D507" s="1" t="s">
        <v>127</v>
      </c>
      <c r="E507" s="1" t="s">
        <v>69</v>
      </c>
      <c r="F507" s="1" t="s">
        <v>128</v>
      </c>
    </row>
    <row r="508" spans="1:6" x14ac:dyDescent="0.35">
      <c r="A508" s="1" t="s">
        <v>1065</v>
      </c>
      <c r="B508" s="1" t="s">
        <v>1066</v>
      </c>
      <c r="C508" s="1" t="s">
        <v>137</v>
      </c>
      <c r="D508" s="1" t="s">
        <v>153</v>
      </c>
      <c r="E508" s="1" t="s">
        <v>51</v>
      </c>
      <c r="F508" s="1" t="s">
        <v>150</v>
      </c>
    </row>
    <row r="509" spans="1:6" x14ac:dyDescent="0.35">
      <c r="A509" s="1" t="s">
        <v>1067</v>
      </c>
      <c r="B509" s="1" t="s">
        <v>1068</v>
      </c>
      <c r="C509" s="1" t="s">
        <v>176</v>
      </c>
      <c r="D509" s="1" t="s">
        <v>107</v>
      </c>
      <c r="E509" s="1" t="s">
        <v>69</v>
      </c>
      <c r="F509" s="1" t="s">
        <v>121</v>
      </c>
    </row>
    <row r="510" spans="1:6" x14ac:dyDescent="0.35">
      <c r="A510" s="1" t="s">
        <v>1069</v>
      </c>
      <c r="B510" s="1" t="s">
        <v>1031</v>
      </c>
      <c r="C510" s="1" t="s">
        <v>188</v>
      </c>
      <c r="D510" s="1" t="s">
        <v>214</v>
      </c>
      <c r="E510" s="1" t="s">
        <v>15</v>
      </c>
      <c r="F510" s="1" t="s">
        <v>121</v>
      </c>
    </row>
    <row r="511" spans="1:6" x14ac:dyDescent="0.35">
      <c r="A511" s="1" t="s">
        <v>1070</v>
      </c>
      <c r="B511" s="1" t="s">
        <v>1071</v>
      </c>
      <c r="C511" s="1" t="s">
        <v>172</v>
      </c>
      <c r="D511" s="1" t="s">
        <v>214</v>
      </c>
      <c r="E511" s="1" t="s">
        <v>69</v>
      </c>
      <c r="F511" s="1" t="s">
        <v>171</v>
      </c>
    </row>
    <row r="512" spans="1:6" x14ac:dyDescent="0.35">
      <c r="A512" s="1" t="s">
        <v>1072</v>
      </c>
      <c r="B512" s="1" t="s">
        <v>220</v>
      </c>
      <c r="C512" s="1" t="s">
        <v>272</v>
      </c>
      <c r="D512" s="1" t="s">
        <v>110</v>
      </c>
      <c r="E512" s="1" t="s">
        <v>8</v>
      </c>
      <c r="F512" s="1" t="s">
        <v>124</v>
      </c>
    </row>
    <row r="513" spans="1:6" x14ac:dyDescent="0.35">
      <c r="A513" s="1" t="s">
        <v>1073</v>
      </c>
      <c r="B513" s="1" t="s">
        <v>1074</v>
      </c>
      <c r="C513" s="1" t="s">
        <v>133</v>
      </c>
      <c r="D513" s="1" t="s">
        <v>214</v>
      </c>
      <c r="E513" s="1" t="s">
        <v>15</v>
      </c>
      <c r="F513" s="1" t="s">
        <v>143</v>
      </c>
    </row>
    <row r="514" spans="1:6" x14ac:dyDescent="0.35">
      <c r="A514" s="1" t="s">
        <v>1075</v>
      </c>
      <c r="B514" s="1" t="s">
        <v>1076</v>
      </c>
      <c r="C514" s="1" t="s">
        <v>141</v>
      </c>
      <c r="D514" s="1" t="s">
        <v>112</v>
      </c>
      <c r="E514" s="1" t="s">
        <v>51</v>
      </c>
      <c r="F514" s="1" t="s">
        <v>157</v>
      </c>
    </row>
    <row r="515" spans="1:6" x14ac:dyDescent="0.35">
      <c r="A515" s="1" t="s">
        <v>1077</v>
      </c>
      <c r="B515" s="1" t="s">
        <v>1078</v>
      </c>
      <c r="C515" s="1" t="s">
        <v>109</v>
      </c>
      <c r="D515" s="1" t="s">
        <v>138</v>
      </c>
      <c r="E515" s="1" t="s">
        <v>29</v>
      </c>
      <c r="F515" s="1" t="s">
        <v>143</v>
      </c>
    </row>
    <row r="516" spans="1:6" x14ac:dyDescent="0.35">
      <c r="A516" s="1" t="s">
        <v>1079</v>
      </c>
      <c r="B516" s="1" t="s">
        <v>1080</v>
      </c>
      <c r="C516" s="1" t="s">
        <v>240</v>
      </c>
      <c r="D516" s="1" t="s">
        <v>138</v>
      </c>
      <c r="E516" s="1" t="s">
        <v>63</v>
      </c>
      <c r="F516" s="1" t="s">
        <v>124</v>
      </c>
    </row>
    <row r="517" spans="1:6" x14ac:dyDescent="0.35">
      <c r="A517" s="1" t="s">
        <v>1081</v>
      </c>
      <c r="B517" s="1" t="s">
        <v>1082</v>
      </c>
      <c r="C517" s="1" t="s">
        <v>137</v>
      </c>
      <c r="D517" s="1" t="s">
        <v>127</v>
      </c>
      <c r="E517" s="1" t="s">
        <v>15</v>
      </c>
      <c r="F517" s="1" t="s">
        <v>171</v>
      </c>
    </row>
    <row r="518" spans="1:6" x14ac:dyDescent="0.35">
      <c r="A518" s="1" t="s">
        <v>1083</v>
      </c>
      <c r="B518" s="1" t="s">
        <v>216</v>
      </c>
      <c r="C518" s="1" t="s">
        <v>240</v>
      </c>
      <c r="D518" s="1" t="s">
        <v>153</v>
      </c>
      <c r="E518" s="1" t="s">
        <v>21</v>
      </c>
      <c r="F518" s="1" t="s">
        <v>121</v>
      </c>
    </row>
    <row r="519" spans="1:6" x14ac:dyDescent="0.35">
      <c r="A519" s="1" t="s">
        <v>1084</v>
      </c>
      <c r="B519" s="1" t="s">
        <v>1085</v>
      </c>
      <c r="C519" s="1" t="s">
        <v>106</v>
      </c>
      <c r="D519" s="1" t="s">
        <v>117</v>
      </c>
      <c r="E519" s="1" t="s">
        <v>21</v>
      </c>
      <c r="F519" s="1" t="s">
        <v>121</v>
      </c>
    </row>
    <row r="520" spans="1:6" x14ac:dyDescent="0.35">
      <c r="A520" s="1" t="s">
        <v>1086</v>
      </c>
      <c r="B520" s="1" t="s">
        <v>1087</v>
      </c>
      <c r="C520" s="1" t="s">
        <v>141</v>
      </c>
      <c r="D520" s="1" t="s">
        <v>165</v>
      </c>
      <c r="E520" s="1" t="s">
        <v>51</v>
      </c>
      <c r="F520" s="1" t="s">
        <v>143</v>
      </c>
    </row>
    <row r="521" spans="1:6" x14ac:dyDescent="0.35">
      <c r="A521" s="1" t="s">
        <v>1088</v>
      </c>
      <c r="B521" s="1" t="s">
        <v>1089</v>
      </c>
      <c r="C521" s="1" t="s">
        <v>116</v>
      </c>
      <c r="D521" s="1" t="s">
        <v>110</v>
      </c>
      <c r="E521" s="1" t="s">
        <v>73</v>
      </c>
      <c r="F521" s="1" t="s">
        <v>143</v>
      </c>
    </row>
    <row r="522" spans="1:6" x14ac:dyDescent="0.35">
      <c r="A522" s="1" t="s">
        <v>1090</v>
      </c>
      <c r="B522" s="1" t="s">
        <v>1091</v>
      </c>
      <c r="C522" s="1" t="s">
        <v>109</v>
      </c>
      <c r="D522" s="1" t="s">
        <v>112</v>
      </c>
      <c r="E522" s="1" t="s">
        <v>15</v>
      </c>
      <c r="F522" s="1" t="s">
        <v>128</v>
      </c>
    </row>
    <row r="523" spans="1:6" x14ac:dyDescent="0.35">
      <c r="A523" s="1" t="s">
        <v>1092</v>
      </c>
      <c r="B523" s="1" t="s">
        <v>352</v>
      </c>
      <c r="C523" s="1" t="s">
        <v>172</v>
      </c>
      <c r="D523" s="1" t="s">
        <v>214</v>
      </c>
      <c r="E523" s="1" t="s">
        <v>35</v>
      </c>
      <c r="F523" s="1" t="s">
        <v>121</v>
      </c>
    </row>
    <row r="524" spans="1:6" x14ac:dyDescent="0.35">
      <c r="A524" s="1" t="s">
        <v>1093</v>
      </c>
      <c r="B524" s="1" t="s">
        <v>366</v>
      </c>
      <c r="C524" s="1" t="s">
        <v>173</v>
      </c>
      <c r="D524" s="1" t="s">
        <v>156</v>
      </c>
      <c r="E524" s="1" t="s">
        <v>45</v>
      </c>
      <c r="F524" s="1" t="s">
        <v>124</v>
      </c>
    </row>
    <row r="525" spans="1:6" x14ac:dyDescent="0.35">
      <c r="A525" s="1" t="s">
        <v>1094</v>
      </c>
      <c r="B525" s="1" t="s">
        <v>1095</v>
      </c>
      <c r="C525" s="1" t="s">
        <v>248</v>
      </c>
      <c r="D525" s="1" t="s">
        <v>127</v>
      </c>
      <c r="E525" s="1" t="s">
        <v>82</v>
      </c>
      <c r="F525" s="1" t="s">
        <v>171</v>
      </c>
    </row>
    <row r="526" spans="1:6" x14ac:dyDescent="0.35">
      <c r="A526" s="1" t="s">
        <v>1096</v>
      </c>
      <c r="B526" s="1" t="s">
        <v>1097</v>
      </c>
      <c r="C526" s="1" t="s">
        <v>191</v>
      </c>
      <c r="D526" s="1" t="s">
        <v>183</v>
      </c>
      <c r="E526" s="1" t="s">
        <v>63</v>
      </c>
      <c r="F526" s="1" t="s">
        <v>171</v>
      </c>
    </row>
    <row r="527" spans="1:6" x14ac:dyDescent="0.35">
      <c r="A527" s="1" t="s">
        <v>1098</v>
      </c>
      <c r="B527" s="1" t="s">
        <v>1099</v>
      </c>
      <c r="C527" s="1" t="s">
        <v>141</v>
      </c>
      <c r="D527" s="1" t="s">
        <v>165</v>
      </c>
      <c r="E527" s="1" t="s">
        <v>39</v>
      </c>
      <c r="F527" s="1" t="s">
        <v>171</v>
      </c>
    </row>
    <row r="528" spans="1:6" x14ac:dyDescent="0.35">
      <c r="A528" s="1" t="s">
        <v>1100</v>
      </c>
      <c r="B528" s="1" t="s">
        <v>1101</v>
      </c>
      <c r="C528" s="1" t="s">
        <v>133</v>
      </c>
      <c r="D528" s="1" t="s">
        <v>107</v>
      </c>
      <c r="E528" s="1" t="s">
        <v>51</v>
      </c>
      <c r="F528" s="1" t="s">
        <v>124</v>
      </c>
    </row>
    <row r="529" spans="1:6" x14ac:dyDescent="0.35">
      <c r="A529" s="1" t="s">
        <v>1102</v>
      </c>
      <c r="B529" s="1" t="s">
        <v>1103</v>
      </c>
      <c r="C529" s="1" t="s">
        <v>173</v>
      </c>
      <c r="D529" s="1" t="s">
        <v>165</v>
      </c>
      <c r="E529" s="1" t="s">
        <v>82</v>
      </c>
      <c r="F529" s="1" t="s">
        <v>211</v>
      </c>
    </row>
    <row r="530" spans="1:6" x14ac:dyDescent="0.35">
      <c r="A530" s="1" t="s">
        <v>1104</v>
      </c>
      <c r="B530" s="1" t="s">
        <v>1105</v>
      </c>
      <c r="C530" s="1" t="s">
        <v>164</v>
      </c>
      <c r="D530" s="1" t="s">
        <v>142</v>
      </c>
      <c r="E530" s="1" t="s">
        <v>21</v>
      </c>
      <c r="F530" s="1" t="s">
        <v>171</v>
      </c>
    </row>
    <row r="531" spans="1:6" x14ac:dyDescent="0.35">
      <c r="A531" s="1" t="s">
        <v>1106</v>
      </c>
      <c r="B531" s="1" t="s">
        <v>1107</v>
      </c>
      <c r="C531" s="1" t="s">
        <v>106</v>
      </c>
      <c r="D531" s="1" t="s">
        <v>110</v>
      </c>
      <c r="E531" s="1" t="s">
        <v>21</v>
      </c>
      <c r="F531" s="1" t="s">
        <v>171</v>
      </c>
    </row>
    <row r="532" spans="1:6" x14ac:dyDescent="0.35">
      <c r="A532" s="1" t="s">
        <v>1108</v>
      </c>
      <c r="B532" s="1" t="s">
        <v>1109</v>
      </c>
      <c r="C532" s="1" t="s">
        <v>197</v>
      </c>
      <c r="D532" s="1" t="s">
        <v>153</v>
      </c>
      <c r="E532" s="1" t="s">
        <v>82</v>
      </c>
      <c r="F532" s="1" t="s">
        <v>157</v>
      </c>
    </row>
    <row r="533" spans="1:6" x14ac:dyDescent="0.35">
      <c r="A533" s="1" t="s">
        <v>1110</v>
      </c>
      <c r="B533" s="1" t="s">
        <v>1111</v>
      </c>
      <c r="C533" s="1" t="s">
        <v>248</v>
      </c>
      <c r="D533" s="1" t="s">
        <v>117</v>
      </c>
      <c r="E533" s="1" t="s">
        <v>87</v>
      </c>
      <c r="F533" s="1" t="s">
        <v>157</v>
      </c>
    </row>
    <row r="534" spans="1:6" x14ac:dyDescent="0.35">
      <c r="A534" s="1" t="s">
        <v>1112</v>
      </c>
      <c r="B534" s="1" t="s">
        <v>1113</v>
      </c>
      <c r="C534" s="1" t="s">
        <v>173</v>
      </c>
      <c r="D534" s="1" t="s">
        <v>107</v>
      </c>
      <c r="E534" s="1" t="s">
        <v>63</v>
      </c>
      <c r="F534" s="1" t="s">
        <v>211</v>
      </c>
    </row>
    <row r="535" spans="1:6" x14ac:dyDescent="0.35">
      <c r="A535" s="1" t="s">
        <v>1114</v>
      </c>
      <c r="B535" s="1" t="s">
        <v>1115</v>
      </c>
      <c r="C535" s="1" t="s">
        <v>111</v>
      </c>
      <c r="D535" s="1" t="s">
        <v>165</v>
      </c>
      <c r="E535" s="1" t="s">
        <v>45</v>
      </c>
      <c r="F535" s="1" t="s">
        <v>252</v>
      </c>
    </row>
    <row r="536" spans="1:6" x14ac:dyDescent="0.35">
      <c r="A536" s="1" t="s">
        <v>1116</v>
      </c>
      <c r="B536" s="1" t="s">
        <v>1117</v>
      </c>
      <c r="C536" s="1" t="s">
        <v>176</v>
      </c>
      <c r="D536" s="1" t="s">
        <v>138</v>
      </c>
      <c r="E536" s="1" t="s">
        <v>63</v>
      </c>
      <c r="F536" s="1" t="s">
        <v>108</v>
      </c>
    </row>
    <row r="537" spans="1:6" x14ac:dyDescent="0.35">
      <c r="A537" s="1" t="s">
        <v>1118</v>
      </c>
      <c r="B537" s="1" t="s">
        <v>1119</v>
      </c>
      <c r="C537" s="1" t="s">
        <v>106</v>
      </c>
      <c r="D537" s="1" t="s">
        <v>243</v>
      </c>
      <c r="E537" s="1" t="s">
        <v>15</v>
      </c>
      <c r="F537" s="1" t="s">
        <v>419</v>
      </c>
    </row>
    <row r="538" spans="1:6" x14ac:dyDescent="0.35">
      <c r="A538" s="1" t="s">
        <v>1120</v>
      </c>
      <c r="B538" s="1" t="s">
        <v>1121</v>
      </c>
      <c r="C538" s="1" t="s">
        <v>168</v>
      </c>
      <c r="D538" s="1" t="s">
        <v>156</v>
      </c>
      <c r="E538" s="1" t="s">
        <v>39</v>
      </c>
      <c r="F538" s="1" t="s">
        <v>171</v>
      </c>
    </row>
    <row r="539" spans="1:6" x14ac:dyDescent="0.35">
      <c r="A539" s="1" t="s">
        <v>1122</v>
      </c>
      <c r="B539" s="1" t="s">
        <v>1123</v>
      </c>
      <c r="C539" s="1" t="s">
        <v>106</v>
      </c>
      <c r="D539" s="1" t="s">
        <v>165</v>
      </c>
      <c r="E539" s="1" t="s">
        <v>82</v>
      </c>
      <c r="F539" s="1" t="s">
        <v>124</v>
      </c>
    </row>
    <row r="540" spans="1:6" x14ac:dyDescent="0.35">
      <c r="A540" s="1" t="s">
        <v>1124</v>
      </c>
      <c r="B540" s="1" t="s">
        <v>1125</v>
      </c>
      <c r="C540" s="1" t="s">
        <v>109</v>
      </c>
      <c r="D540" s="1" t="s">
        <v>153</v>
      </c>
      <c r="E540" s="1" t="s">
        <v>69</v>
      </c>
      <c r="F540" s="1" t="s">
        <v>121</v>
      </c>
    </row>
    <row r="541" spans="1:6" x14ac:dyDescent="0.35">
      <c r="A541" s="1" t="s">
        <v>1126</v>
      </c>
      <c r="B541" s="1" t="s">
        <v>1127</v>
      </c>
      <c r="C541" s="1" t="s">
        <v>191</v>
      </c>
      <c r="D541" s="1" t="s">
        <v>165</v>
      </c>
      <c r="E541" s="1" t="s">
        <v>78</v>
      </c>
      <c r="F541" s="1" t="s">
        <v>128</v>
      </c>
    </row>
    <row r="542" spans="1:6" x14ac:dyDescent="0.35">
      <c r="A542" s="1" t="s">
        <v>1128</v>
      </c>
      <c r="B542" s="1" t="s">
        <v>1129</v>
      </c>
      <c r="C542" s="1" t="s">
        <v>141</v>
      </c>
      <c r="D542" s="1" t="s">
        <v>107</v>
      </c>
      <c r="E542" s="1" t="s">
        <v>45</v>
      </c>
      <c r="F542" s="1" t="s">
        <v>157</v>
      </c>
    </row>
    <row r="543" spans="1:6" x14ac:dyDescent="0.35">
      <c r="A543" s="1" t="s">
        <v>1130</v>
      </c>
      <c r="B543" s="1" t="s">
        <v>1131</v>
      </c>
      <c r="C543" s="1" t="s">
        <v>176</v>
      </c>
      <c r="D543" s="1" t="s">
        <v>117</v>
      </c>
      <c r="E543" s="1" t="s">
        <v>21</v>
      </c>
      <c r="F543" s="1" t="s">
        <v>121</v>
      </c>
    </row>
    <row r="544" spans="1:6" x14ac:dyDescent="0.35">
      <c r="A544" s="1" t="s">
        <v>1132</v>
      </c>
      <c r="B544" s="1" t="s">
        <v>1133</v>
      </c>
      <c r="C544" s="1" t="s">
        <v>109</v>
      </c>
      <c r="D544" s="1" t="s">
        <v>165</v>
      </c>
      <c r="E544" s="1" t="s">
        <v>21</v>
      </c>
      <c r="F544" s="1" t="s">
        <v>128</v>
      </c>
    </row>
    <row r="545" spans="1:6" x14ac:dyDescent="0.35">
      <c r="A545" s="1" t="s">
        <v>1134</v>
      </c>
      <c r="B545" s="1" t="s">
        <v>429</v>
      </c>
      <c r="C545" s="1" t="s">
        <v>197</v>
      </c>
      <c r="D545" s="1" t="s">
        <v>214</v>
      </c>
      <c r="E545" s="1" t="s">
        <v>45</v>
      </c>
      <c r="F545" s="1" t="s">
        <v>121</v>
      </c>
    </row>
    <row r="546" spans="1:6" x14ac:dyDescent="0.35">
      <c r="A546" s="1" t="s">
        <v>1135</v>
      </c>
      <c r="B546" s="1" t="s">
        <v>1136</v>
      </c>
      <c r="C546" s="1" t="s">
        <v>272</v>
      </c>
      <c r="D546" s="1" t="s">
        <v>183</v>
      </c>
      <c r="E546" s="1" t="s">
        <v>45</v>
      </c>
      <c r="F546" s="1" t="s">
        <v>108</v>
      </c>
    </row>
    <row r="547" spans="1:6" x14ac:dyDescent="0.35">
      <c r="A547" s="1" t="s">
        <v>1137</v>
      </c>
      <c r="B547" s="1" t="s">
        <v>1074</v>
      </c>
      <c r="C547" s="1" t="s">
        <v>272</v>
      </c>
      <c r="D547" s="1" t="s">
        <v>138</v>
      </c>
      <c r="E547" s="1" t="s">
        <v>78</v>
      </c>
      <c r="F547" s="1" t="s">
        <v>157</v>
      </c>
    </row>
    <row r="548" spans="1:6" x14ac:dyDescent="0.35">
      <c r="A548" s="1" t="s">
        <v>1138</v>
      </c>
      <c r="B548" s="1" t="s">
        <v>1139</v>
      </c>
      <c r="C548" s="1" t="s">
        <v>248</v>
      </c>
      <c r="D548" s="1" t="s">
        <v>110</v>
      </c>
      <c r="E548" s="1" t="s">
        <v>82</v>
      </c>
      <c r="F548" s="1" t="s">
        <v>143</v>
      </c>
    </row>
    <row r="549" spans="1:6" x14ac:dyDescent="0.35">
      <c r="A549" s="1" t="s">
        <v>1140</v>
      </c>
      <c r="B549" s="1" t="s">
        <v>1141</v>
      </c>
      <c r="C549" s="1" t="s">
        <v>172</v>
      </c>
      <c r="D549" s="1" t="s">
        <v>153</v>
      </c>
      <c r="E549" s="1" t="s">
        <v>39</v>
      </c>
      <c r="F549" s="1" t="s">
        <v>128</v>
      </c>
    </row>
    <row r="550" spans="1:6" x14ac:dyDescent="0.35">
      <c r="A550" s="1" t="s">
        <v>1142</v>
      </c>
      <c r="B550" s="1" t="s">
        <v>1143</v>
      </c>
      <c r="C550" s="1" t="s">
        <v>133</v>
      </c>
      <c r="D550" s="1" t="s">
        <v>214</v>
      </c>
      <c r="E550" s="1" t="s">
        <v>82</v>
      </c>
      <c r="F550" s="1" t="s">
        <v>128</v>
      </c>
    </row>
    <row r="551" spans="1:6" x14ac:dyDescent="0.35">
      <c r="A551" s="1" t="s">
        <v>1144</v>
      </c>
      <c r="B551" s="1" t="s">
        <v>1145</v>
      </c>
      <c r="C551" s="1" t="s">
        <v>272</v>
      </c>
      <c r="D551" s="1" t="s">
        <v>110</v>
      </c>
      <c r="E551" s="1" t="s">
        <v>39</v>
      </c>
      <c r="F551" s="1" t="s">
        <v>157</v>
      </c>
    </row>
    <row r="552" spans="1:6" x14ac:dyDescent="0.35">
      <c r="A552" s="1" t="s">
        <v>1146</v>
      </c>
      <c r="B552" s="1" t="s">
        <v>1147</v>
      </c>
      <c r="C552" s="1" t="s">
        <v>197</v>
      </c>
      <c r="D552" s="1" t="s">
        <v>107</v>
      </c>
      <c r="E552" s="1" t="s">
        <v>69</v>
      </c>
      <c r="F552" s="1" t="s">
        <v>157</v>
      </c>
    </row>
    <row r="553" spans="1:6" x14ac:dyDescent="0.35">
      <c r="A553" s="1" t="s">
        <v>1148</v>
      </c>
      <c r="B553" s="1" t="s">
        <v>944</v>
      </c>
      <c r="C553" s="1" t="s">
        <v>106</v>
      </c>
      <c r="D553" s="1" t="s">
        <v>112</v>
      </c>
      <c r="E553" s="1" t="s">
        <v>69</v>
      </c>
      <c r="F553" s="1" t="s">
        <v>171</v>
      </c>
    </row>
    <row r="554" spans="1:6" x14ac:dyDescent="0.35">
      <c r="A554" s="1" t="s">
        <v>1149</v>
      </c>
      <c r="B554" s="1" t="s">
        <v>1150</v>
      </c>
      <c r="C554" s="1" t="s">
        <v>149</v>
      </c>
      <c r="D554" s="1" t="s">
        <v>117</v>
      </c>
      <c r="E554" s="1" t="s">
        <v>39</v>
      </c>
      <c r="F554" s="1" t="s">
        <v>157</v>
      </c>
    </row>
    <row r="555" spans="1:6" x14ac:dyDescent="0.35">
      <c r="A555" s="1" t="s">
        <v>1151</v>
      </c>
      <c r="B555" s="1" t="s">
        <v>1152</v>
      </c>
      <c r="C555" s="1" t="s">
        <v>188</v>
      </c>
      <c r="D555" s="1" t="s">
        <v>192</v>
      </c>
      <c r="E555" s="1" t="s">
        <v>35</v>
      </c>
      <c r="F555" s="1" t="s">
        <v>128</v>
      </c>
    </row>
    <row r="556" spans="1:6" x14ac:dyDescent="0.35">
      <c r="A556" s="1" t="s">
        <v>1153</v>
      </c>
      <c r="B556" s="1" t="s">
        <v>1154</v>
      </c>
      <c r="C556" s="1" t="s">
        <v>173</v>
      </c>
      <c r="D556" s="1" t="s">
        <v>204</v>
      </c>
      <c r="E556" s="1" t="s">
        <v>45</v>
      </c>
      <c r="F556" s="1" t="s">
        <v>157</v>
      </c>
    </row>
    <row r="557" spans="1:6" x14ac:dyDescent="0.35">
      <c r="A557" s="1" t="s">
        <v>1155</v>
      </c>
      <c r="B557" s="1" t="s">
        <v>1156</v>
      </c>
      <c r="C557" s="1" t="s">
        <v>176</v>
      </c>
      <c r="D557" s="1" t="s">
        <v>192</v>
      </c>
      <c r="E557" s="1" t="s">
        <v>45</v>
      </c>
      <c r="F557" s="1" t="s">
        <v>171</v>
      </c>
    </row>
    <row r="558" spans="1:6" x14ac:dyDescent="0.35">
      <c r="A558" s="1" t="s">
        <v>1157</v>
      </c>
      <c r="B558" s="1" t="s">
        <v>1158</v>
      </c>
      <c r="C558" s="1" t="s">
        <v>188</v>
      </c>
      <c r="D558" s="1" t="s">
        <v>153</v>
      </c>
      <c r="E558" s="1" t="s">
        <v>57</v>
      </c>
      <c r="F558" s="1" t="s">
        <v>252</v>
      </c>
    </row>
    <row r="559" spans="1:6" x14ac:dyDescent="0.35">
      <c r="A559" s="1" t="s">
        <v>1159</v>
      </c>
      <c r="B559" s="1" t="s">
        <v>1160</v>
      </c>
      <c r="C559" s="1" t="s">
        <v>116</v>
      </c>
      <c r="D559" s="1" t="s">
        <v>138</v>
      </c>
      <c r="E559" s="1" t="s">
        <v>73</v>
      </c>
      <c r="F559" s="1" t="s">
        <v>121</v>
      </c>
    </row>
    <row r="560" spans="1:6" x14ac:dyDescent="0.35">
      <c r="A560" s="1" t="s">
        <v>1161</v>
      </c>
      <c r="B560" s="1" t="s">
        <v>1162</v>
      </c>
      <c r="C560" s="1" t="s">
        <v>141</v>
      </c>
      <c r="D560" s="1" t="s">
        <v>183</v>
      </c>
      <c r="E560" s="1" t="s">
        <v>39</v>
      </c>
      <c r="F560" s="1" t="s">
        <v>124</v>
      </c>
    </row>
    <row r="561" spans="1:6" x14ac:dyDescent="0.35">
      <c r="A561" s="1" t="s">
        <v>1163</v>
      </c>
      <c r="B561" s="1" t="s">
        <v>1164</v>
      </c>
      <c r="C561" s="1" t="s">
        <v>176</v>
      </c>
      <c r="D561" s="1" t="s">
        <v>156</v>
      </c>
      <c r="E561" s="1" t="s">
        <v>82</v>
      </c>
      <c r="F561" s="1" t="s">
        <v>143</v>
      </c>
    </row>
    <row r="562" spans="1:6" x14ac:dyDescent="0.35">
      <c r="A562" s="1" t="s">
        <v>1163</v>
      </c>
      <c r="B562" s="1" t="s">
        <v>1164</v>
      </c>
      <c r="C562" s="1" t="s">
        <v>164</v>
      </c>
      <c r="D562" s="1" t="s">
        <v>156</v>
      </c>
      <c r="E562" s="1" t="s">
        <v>82</v>
      </c>
      <c r="F562" s="1" t="s">
        <v>143</v>
      </c>
    </row>
    <row r="563" spans="1:6" x14ac:dyDescent="0.35">
      <c r="A563" s="1" t="s">
        <v>1163</v>
      </c>
      <c r="B563" s="1" t="s">
        <v>1164</v>
      </c>
      <c r="C563" s="1" t="s">
        <v>113</v>
      </c>
      <c r="D563" s="1" t="s">
        <v>156</v>
      </c>
      <c r="E563" s="1" t="s">
        <v>82</v>
      </c>
      <c r="F563" s="1" t="s">
        <v>143</v>
      </c>
    </row>
    <row r="564" spans="1:6" x14ac:dyDescent="0.35">
      <c r="A564" s="1" t="s">
        <v>1163</v>
      </c>
      <c r="B564" s="1" t="s">
        <v>1164</v>
      </c>
      <c r="C564" s="1" t="s">
        <v>106</v>
      </c>
      <c r="D564" s="1" t="s">
        <v>156</v>
      </c>
      <c r="E564" s="1" t="s">
        <v>82</v>
      </c>
      <c r="F564" s="1" t="s">
        <v>143</v>
      </c>
    </row>
    <row r="565" spans="1:6" x14ac:dyDescent="0.35">
      <c r="A565" s="1" t="s">
        <v>1163</v>
      </c>
      <c r="B565" s="1" t="s">
        <v>1164</v>
      </c>
      <c r="C565" s="1" t="s">
        <v>113</v>
      </c>
      <c r="D565" s="1" t="s">
        <v>156</v>
      </c>
      <c r="E565" s="1" t="s">
        <v>82</v>
      </c>
      <c r="F565" s="1" t="s">
        <v>143</v>
      </c>
    </row>
    <row r="566" spans="1:6" x14ac:dyDescent="0.35">
      <c r="A566" s="1" t="s">
        <v>1165</v>
      </c>
      <c r="B566" s="1" t="s">
        <v>1166</v>
      </c>
      <c r="C566" s="1" t="s">
        <v>141</v>
      </c>
      <c r="D566" s="1" t="s">
        <v>214</v>
      </c>
      <c r="E566" s="1" t="s">
        <v>87</v>
      </c>
      <c r="F566" s="1" t="s">
        <v>124</v>
      </c>
    </row>
    <row r="567" spans="1:6" x14ac:dyDescent="0.35">
      <c r="A567" s="1" t="s">
        <v>1167</v>
      </c>
      <c r="B567" s="1" t="s">
        <v>1168</v>
      </c>
      <c r="C567" s="1" t="s">
        <v>109</v>
      </c>
      <c r="D567" s="1" t="s">
        <v>165</v>
      </c>
      <c r="E567" s="1" t="s">
        <v>63</v>
      </c>
      <c r="F567" s="1" t="s">
        <v>121</v>
      </c>
    </row>
    <row r="568" spans="1:6" x14ac:dyDescent="0.35">
      <c r="A568" s="1" t="s">
        <v>1169</v>
      </c>
      <c r="B568" s="1" t="s">
        <v>1170</v>
      </c>
      <c r="C568" s="1" t="s">
        <v>248</v>
      </c>
      <c r="D568" s="1" t="s">
        <v>117</v>
      </c>
      <c r="E568" s="1" t="s">
        <v>21</v>
      </c>
      <c r="F568" s="1" t="s">
        <v>124</v>
      </c>
    </row>
    <row r="569" spans="1:6" x14ac:dyDescent="0.35">
      <c r="A569" s="1" t="s">
        <v>1171</v>
      </c>
      <c r="B569" s="1" t="s">
        <v>1172</v>
      </c>
      <c r="C569" s="1" t="s">
        <v>141</v>
      </c>
      <c r="D569" s="1" t="s">
        <v>142</v>
      </c>
      <c r="E569" s="1" t="s">
        <v>15</v>
      </c>
      <c r="F569" s="1" t="s">
        <v>157</v>
      </c>
    </row>
    <row r="570" spans="1:6" x14ac:dyDescent="0.35">
      <c r="A570" s="1" t="s">
        <v>1173</v>
      </c>
      <c r="B570" s="1" t="s">
        <v>1174</v>
      </c>
      <c r="C570" s="1" t="s">
        <v>188</v>
      </c>
      <c r="D570" s="1" t="s">
        <v>153</v>
      </c>
      <c r="E570" s="1" t="s">
        <v>8</v>
      </c>
      <c r="F570" s="1" t="s">
        <v>157</v>
      </c>
    </row>
    <row r="571" spans="1:6" x14ac:dyDescent="0.35">
      <c r="A571" s="1" t="s">
        <v>1175</v>
      </c>
      <c r="B571" s="1" t="s">
        <v>1176</v>
      </c>
      <c r="C571" s="1" t="s">
        <v>197</v>
      </c>
      <c r="D571" s="1" t="s">
        <v>243</v>
      </c>
      <c r="E571" s="1" t="s">
        <v>87</v>
      </c>
      <c r="F571" s="1" t="s">
        <v>419</v>
      </c>
    </row>
    <row r="572" spans="1:6" x14ac:dyDescent="0.35">
      <c r="A572" s="1" t="s">
        <v>1177</v>
      </c>
      <c r="B572" s="1" t="s">
        <v>1178</v>
      </c>
      <c r="C572" s="1" t="s">
        <v>116</v>
      </c>
      <c r="D572" s="1" t="s">
        <v>156</v>
      </c>
      <c r="E572" s="1" t="s">
        <v>8</v>
      </c>
      <c r="F572" s="1" t="s">
        <v>143</v>
      </c>
    </row>
    <row r="573" spans="1:6" x14ac:dyDescent="0.35">
      <c r="A573" s="1" t="s">
        <v>1179</v>
      </c>
      <c r="B573" s="1" t="s">
        <v>1180</v>
      </c>
      <c r="C573" s="1" t="s">
        <v>172</v>
      </c>
      <c r="D573" s="1" t="s">
        <v>165</v>
      </c>
      <c r="E573" s="1" t="s">
        <v>45</v>
      </c>
      <c r="F573" s="1" t="s">
        <v>314</v>
      </c>
    </row>
    <row r="574" spans="1:6" x14ac:dyDescent="0.35">
      <c r="A574" s="1" t="s">
        <v>1181</v>
      </c>
      <c r="B574" s="1" t="s">
        <v>1182</v>
      </c>
      <c r="C574" s="1" t="s">
        <v>133</v>
      </c>
      <c r="D574" s="1" t="s">
        <v>214</v>
      </c>
      <c r="E574" s="1" t="s">
        <v>63</v>
      </c>
      <c r="F574" s="1" t="s">
        <v>157</v>
      </c>
    </row>
    <row r="575" spans="1:6" x14ac:dyDescent="0.35">
      <c r="A575" s="1" t="s">
        <v>1183</v>
      </c>
      <c r="B575" s="1" t="s">
        <v>235</v>
      </c>
      <c r="C575" s="1" t="s">
        <v>133</v>
      </c>
      <c r="D575" s="1" t="s">
        <v>28</v>
      </c>
      <c r="E575" s="1" t="s">
        <v>78</v>
      </c>
      <c r="F575" s="1" t="s">
        <v>419</v>
      </c>
    </row>
    <row r="576" spans="1:6" x14ac:dyDescent="0.35">
      <c r="A576" s="1" t="s">
        <v>1184</v>
      </c>
      <c r="B576" s="1" t="s">
        <v>326</v>
      </c>
      <c r="C576" s="1" t="s">
        <v>272</v>
      </c>
      <c r="D576" s="1" t="s">
        <v>243</v>
      </c>
      <c r="E576" s="1" t="s">
        <v>8</v>
      </c>
      <c r="F576" s="1" t="s">
        <v>171</v>
      </c>
    </row>
    <row r="577" spans="1:6" x14ac:dyDescent="0.35">
      <c r="A577" s="1" t="s">
        <v>1185</v>
      </c>
      <c r="B577" s="1" t="s">
        <v>1186</v>
      </c>
      <c r="C577" s="1" t="s">
        <v>164</v>
      </c>
      <c r="D577" s="1" t="s">
        <v>192</v>
      </c>
      <c r="E577" s="1" t="s">
        <v>39</v>
      </c>
      <c r="F577" s="1" t="s">
        <v>157</v>
      </c>
    </row>
    <row r="578" spans="1:6" x14ac:dyDescent="0.35">
      <c r="A578" s="1" t="s">
        <v>1187</v>
      </c>
      <c r="B578" s="1" t="s">
        <v>609</v>
      </c>
      <c r="C578" s="1" t="s">
        <v>168</v>
      </c>
      <c r="D578" s="1" t="s">
        <v>107</v>
      </c>
      <c r="E578" s="1" t="s">
        <v>29</v>
      </c>
      <c r="F578" s="1" t="s">
        <v>121</v>
      </c>
    </row>
    <row r="579" spans="1:6" x14ac:dyDescent="0.35">
      <c r="A579" s="1" t="s">
        <v>1188</v>
      </c>
      <c r="B579" s="1" t="s">
        <v>1189</v>
      </c>
      <c r="C579" s="1" t="s">
        <v>164</v>
      </c>
      <c r="D579" s="1" t="s">
        <v>204</v>
      </c>
      <c r="E579" s="1" t="s">
        <v>73</v>
      </c>
      <c r="F579" s="1" t="s">
        <v>124</v>
      </c>
    </row>
    <row r="580" spans="1:6" x14ac:dyDescent="0.35">
      <c r="A580" s="1" t="s">
        <v>1190</v>
      </c>
      <c r="B580" s="1" t="s">
        <v>1191</v>
      </c>
      <c r="C580" s="1" t="s">
        <v>248</v>
      </c>
      <c r="D580" s="1" t="s">
        <v>243</v>
      </c>
      <c r="E580" s="1" t="s">
        <v>73</v>
      </c>
      <c r="F580" s="1" t="s">
        <v>121</v>
      </c>
    </row>
    <row r="581" spans="1:6" x14ac:dyDescent="0.35">
      <c r="A581" s="1" t="s">
        <v>1192</v>
      </c>
      <c r="B581" s="1" t="s">
        <v>1193</v>
      </c>
      <c r="C581" s="1" t="s">
        <v>272</v>
      </c>
      <c r="D581" s="1" t="s">
        <v>117</v>
      </c>
      <c r="E581" s="1" t="s">
        <v>73</v>
      </c>
      <c r="F581" s="1" t="s">
        <v>128</v>
      </c>
    </row>
    <row r="582" spans="1:6" x14ac:dyDescent="0.35">
      <c r="A582" s="1" t="s">
        <v>1194</v>
      </c>
      <c r="B582" s="1" t="s">
        <v>903</v>
      </c>
      <c r="C582" s="1" t="s">
        <v>191</v>
      </c>
      <c r="D582" s="1" t="s">
        <v>214</v>
      </c>
      <c r="E582" s="1" t="s">
        <v>57</v>
      </c>
      <c r="F582" s="1" t="s">
        <v>171</v>
      </c>
    </row>
    <row r="583" spans="1:6" x14ac:dyDescent="0.35">
      <c r="A583" s="1" t="s">
        <v>1195</v>
      </c>
      <c r="B583" s="1" t="s">
        <v>775</v>
      </c>
      <c r="C583" s="1" t="s">
        <v>176</v>
      </c>
      <c r="D583" s="1" t="s">
        <v>243</v>
      </c>
      <c r="E583" s="1" t="s">
        <v>8</v>
      </c>
      <c r="F583" s="1" t="s">
        <v>124</v>
      </c>
    </row>
    <row r="584" spans="1:6" x14ac:dyDescent="0.35">
      <c r="A584" s="1" t="s">
        <v>1196</v>
      </c>
      <c r="B584" s="1" t="s">
        <v>1197</v>
      </c>
      <c r="C584" s="1" t="s">
        <v>111</v>
      </c>
      <c r="D584" s="1" t="s">
        <v>112</v>
      </c>
      <c r="E584" s="1" t="s">
        <v>69</v>
      </c>
      <c r="F584" s="1" t="s">
        <v>150</v>
      </c>
    </row>
    <row r="585" spans="1:6" x14ac:dyDescent="0.35">
      <c r="A585" s="1" t="s">
        <v>1198</v>
      </c>
      <c r="B585" s="1" t="s">
        <v>1199</v>
      </c>
      <c r="C585" s="1" t="s">
        <v>116</v>
      </c>
      <c r="D585" s="1" t="s">
        <v>117</v>
      </c>
      <c r="E585" s="1" t="s">
        <v>29</v>
      </c>
      <c r="F585" s="1" t="s">
        <v>171</v>
      </c>
    </row>
    <row r="586" spans="1:6" x14ac:dyDescent="0.35">
      <c r="A586" s="1" t="s">
        <v>1200</v>
      </c>
      <c r="B586" s="1" t="s">
        <v>935</v>
      </c>
      <c r="C586" s="1" t="s">
        <v>272</v>
      </c>
      <c r="D586" s="1" t="s">
        <v>243</v>
      </c>
      <c r="E586" s="1" t="s">
        <v>8</v>
      </c>
      <c r="F586" s="1" t="s">
        <v>275</v>
      </c>
    </row>
    <row r="587" spans="1:6" x14ac:dyDescent="0.35">
      <c r="A587" s="1" t="s">
        <v>1201</v>
      </c>
      <c r="B587" s="1" t="s">
        <v>1202</v>
      </c>
      <c r="C587" s="1" t="s">
        <v>149</v>
      </c>
      <c r="D587" s="1" t="s">
        <v>28</v>
      </c>
      <c r="E587" s="1" t="s">
        <v>51</v>
      </c>
      <c r="F587" s="1" t="s">
        <v>124</v>
      </c>
    </row>
    <row r="588" spans="1:6" x14ac:dyDescent="0.35">
      <c r="A588" s="1" t="s">
        <v>1203</v>
      </c>
      <c r="B588" s="1" t="s">
        <v>1204</v>
      </c>
      <c r="C588" s="1" t="s">
        <v>188</v>
      </c>
      <c r="D588" s="1" t="s">
        <v>112</v>
      </c>
      <c r="E588" s="1" t="s">
        <v>87</v>
      </c>
      <c r="F588" s="1" t="s">
        <v>157</v>
      </c>
    </row>
    <row r="589" spans="1:6" x14ac:dyDescent="0.35">
      <c r="A589" s="1" t="s">
        <v>1205</v>
      </c>
      <c r="B589" s="1" t="s">
        <v>1206</v>
      </c>
      <c r="C589" s="1" t="s">
        <v>137</v>
      </c>
      <c r="D589" s="1" t="s">
        <v>110</v>
      </c>
      <c r="E589" s="1" t="s">
        <v>35</v>
      </c>
      <c r="F589" s="1" t="s">
        <v>128</v>
      </c>
    </row>
    <row r="590" spans="1:6" x14ac:dyDescent="0.35">
      <c r="A590" s="1" t="s">
        <v>1207</v>
      </c>
      <c r="B590" s="1" t="s">
        <v>678</v>
      </c>
      <c r="C590" s="1" t="s">
        <v>188</v>
      </c>
      <c r="D590" s="1" t="s">
        <v>153</v>
      </c>
      <c r="E590" s="1" t="s">
        <v>21</v>
      </c>
      <c r="F590" s="1" t="s">
        <v>121</v>
      </c>
    </row>
    <row r="591" spans="1:6" x14ac:dyDescent="0.35">
      <c r="A591" s="1" t="s">
        <v>1208</v>
      </c>
      <c r="B591" s="1" t="s">
        <v>476</v>
      </c>
      <c r="C591" s="1" t="s">
        <v>113</v>
      </c>
      <c r="D591" s="1" t="s">
        <v>142</v>
      </c>
      <c r="E591" s="1" t="s">
        <v>73</v>
      </c>
      <c r="F591" s="1" t="s">
        <v>157</v>
      </c>
    </row>
    <row r="592" spans="1:6" x14ac:dyDescent="0.35">
      <c r="A592" s="1" t="s">
        <v>1209</v>
      </c>
      <c r="B592" s="1" t="s">
        <v>1210</v>
      </c>
      <c r="C592" s="1" t="s">
        <v>106</v>
      </c>
      <c r="D592" s="1" t="s">
        <v>107</v>
      </c>
      <c r="E592" s="1" t="s">
        <v>35</v>
      </c>
      <c r="F592" s="1" t="s">
        <v>171</v>
      </c>
    </row>
    <row r="593" spans="1:6" x14ac:dyDescent="0.35">
      <c r="A593" s="1" t="s">
        <v>1211</v>
      </c>
      <c r="B593" s="1" t="s">
        <v>1212</v>
      </c>
      <c r="C593" s="1" t="s">
        <v>172</v>
      </c>
      <c r="D593" s="1" t="s">
        <v>153</v>
      </c>
      <c r="E593" s="1" t="s">
        <v>45</v>
      </c>
      <c r="F593" s="1" t="s">
        <v>128</v>
      </c>
    </row>
    <row r="594" spans="1:6" x14ac:dyDescent="0.35">
      <c r="A594" s="1" t="s">
        <v>1213</v>
      </c>
      <c r="B594" s="1" t="s">
        <v>1214</v>
      </c>
      <c r="C594" s="1" t="s">
        <v>113</v>
      </c>
      <c r="D594" s="1" t="s">
        <v>127</v>
      </c>
      <c r="E594" s="1" t="s">
        <v>39</v>
      </c>
      <c r="F594" s="1" t="s">
        <v>143</v>
      </c>
    </row>
    <row r="595" spans="1:6" x14ac:dyDescent="0.35">
      <c r="A595" s="1" t="s">
        <v>1215</v>
      </c>
      <c r="B595" s="1" t="s">
        <v>1216</v>
      </c>
      <c r="C595" s="1" t="s">
        <v>173</v>
      </c>
      <c r="D595" s="1" t="s">
        <v>110</v>
      </c>
      <c r="E595" s="1" t="s">
        <v>63</v>
      </c>
      <c r="F595" s="1" t="s">
        <v>157</v>
      </c>
    </row>
    <row r="596" spans="1:6" x14ac:dyDescent="0.35">
      <c r="A596" s="1" t="s">
        <v>1217</v>
      </c>
      <c r="B596" s="1" t="s">
        <v>1218</v>
      </c>
      <c r="C596" s="1" t="s">
        <v>248</v>
      </c>
      <c r="D596" s="1" t="s">
        <v>138</v>
      </c>
      <c r="E596" s="1" t="s">
        <v>29</v>
      </c>
      <c r="F596" s="1" t="s">
        <v>121</v>
      </c>
    </row>
    <row r="597" spans="1:6" x14ac:dyDescent="0.35">
      <c r="A597" s="1" t="s">
        <v>1219</v>
      </c>
      <c r="B597" s="1" t="s">
        <v>1220</v>
      </c>
      <c r="C597" s="1" t="s">
        <v>188</v>
      </c>
      <c r="D597" s="1" t="s">
        <v>112</v>
      </c>
      <c r="E597" s="1" t="s">
        <v>8</v>
      </c>
      <c r="F597" s="1" t="s">
        <v>143</v>
      </c>
    </row>
    <row r="598" spans="1:6" x14ac:dyDescent="0.35">
      <c r="A598" s="1" t="s">
        <v>1221</v>
      </c>
      <c r="B598" s="1" t="s">
        <v>1222</v>
      </c>
      <c r="C598" s="1" t="s">
        <v>141</v>
      </c>
      <c r="D598" s="1" t="s">
        <v>156</v>
      </c>
      <c r="E598" s="1" t="s">
        <v>82</v>
      </c>
      <c r="F598" s="1" t="s">
        <v>143</v>
      </c>
    </row>
    <row r="599" spans="1:6" x14ac:dyDescent="0.35">
      <c r="A599" s="1" t="s">
        <v>1223</v>
      </c>
      <c r="B599" s="1" t="s">
        <v>1224</v>
      </c>
      <c r="C599" s="1" t="s">
        <v>188</v>
      </c>
      <c r="D599" s="1" t="s">
        <v>192</v>
      </c>
      <c r="E599" s="1" t="s">
        <v>45</v>
      </c>
      <c r="F599" s="1" t="s">
        <v>252</v>
      </c>
    </row>
    <row r="600" spans="1:6" x14ac:dyDescent="0.35">
      <c r="A600" s="1" t="s">
        <v>1225</v>
      </c>
      <c r="B600" s="1" t="s">
        <v>1226</v>
      </c>
      <c r="C600" s="1" t="s">
        <v>141</v>
      </c>
      <c r="D600" s="1" t="s">
        <v>142</v>
      </c>
      <c r="E600" s="1" t="s">
        <v>45</v>
      </c>
      <c r="F600" s="1" t="s">
        <v>171</v>
      </c>
    </row>
    <row r="601" spans="1:6" x14ac:dyDescent="0.35">
      <c r="A601" s="1" t="s">
        <v>1227</v>
      </c>
      <c r="B601" s="1" t="s">
        <v>1228</v>
      </c>
      <c r="C601" s="1" t="s">
        <v>149</v>
      </c>
      <c r="D601" s="1" t="s">
        <v>204</v>
      </c>
      <c r="E601" s="1" t="s">
        <v>69</v>
      </c>
      <c r="F601" s="1" t="s">
        <v>128</v>
      </c>
    </row>
    <row r="602" spans="1:6" x14ac:dyDescent="0.35">
      <c r="A602" s="1" t="s">
        <v>1229</v>
      </c>
      <c r="B602" s="1" t="s">
        <v>1230</v>
      </c>
      <c r="C602" s="1" t="s">
        <v>272</v>
      </c>
      <c r="D602" s="1" t="s">
        <v>156</v>
      </c>
      <c r="E602" s="1" t="s">
        <v>63</v>
      </c>
      <c r="F602" s="1" t="s">
        <v>124</v>
      </c>
    </row>
    <row r="603" spans="1:6" x14ac:dyDescent="0.35">
      <c r="A603" s="1" t="s">
        <v>1231</v>
      </c>
      <c r="B603" s="1" t="s">
        <v>1232</v>
      </c>
      <c r="C603" s="1" t="s">
        <v>191</v>
      </c>
      <c r="D603" s="1" t="s">
        <v>112</v>
      </c>
      <c r="E603" s="1" t="s">
        <v>82</v>
      </c>
      <c r="F603" s="1" t="s">
        <v>124</v>
      </c>
    </row>
    <row r="604" spans="1:6" x14ac:dyDescent="0.35">
      <c r="A604" s="1" t="s">
        <v>1233</v>
      </c>
      <c r="B604" s="1" t="s">
        <v>1234</v>
      </c>
      <c r="C604" s="1" t="s">
        <v>168</v>
      </c>
      <c r="D604" s="1" t="s">
        <v>127</v>
      </c>
      <c r="E604" s="1" t="s">
        <v>69</v>
      </c>
      <c r="F604" s="1" t="s">
        <v>157</v>
      </c>
    </row>
    <row r="605" spans="1:6" x14ac:dyDescent="0.35">
      <c r="A605" s="1" t="s">
        <v>1235</v>
      </c>
      <c r="B605" s="1" t="s">
        <v>1236</v>
      </c>
      <c r="C605" s="1" t="s">
        <v>137</v>
      </c>
      <c r="D605" s="1" t="s">
        <v>165</v>
      </c>
      <c r="E605" s="1" t="s">
        <v>73</v>
      </c>
      <c r="F605" s="1" t="s">
        <v>124</v>
      </c>
    </row>
    <row r="606" spans="1:6" x14ac:dyDescent="0.35">
      <c r="A606" s="1" t="s">
        <v>1237</v>
      </c>
      <c r="B606" s="1" t="s">
        <v>1238</v>
      </c>
      <c r="C606" s="1" t="s">
        <v>141</v>
      </c>
      <c r="D606" s="1" t="s">
        <v>243</v>
      </c>
      <c r="E606" s="1" t="s">
        <v>57</v>
      </c>
      <c r="F606" s="1" t="s">
        <v>118</v>
      </c>
    </row>
    <row r="607" spans="1:6" x14ac:dyDescent="0.35">
      <c r="A607" s="1" t="s">
        <v>1239</v>
      </c>
      <c r="B607" s="1" t="s">
        <v>1240</v>
      </c>
      <c r="C607" s="1" t="s">
        <v>168</v>
      </c>
      <c r="D607" s="1" t="s">
        <v>127</v>
      </c>
      <c r="E607" s="1" t="s">
        <v>73</v>
      </c>
      <c r="F607" s="1" t="s">
        <v>171</v>
      </c>
    </row>
    <row r="608" spans="1:6" x14ac:dyDescent="0.35">
      <c r="A608" s="1" t="s">
        <v>1241</v>
      </c>
      <c r="B608" s="1" t="s">
        <v>1242</v>
      </c>
      <c r="C608" s="1" t="s">
        <v>106</v>
      </c>
      <c r="D608" s="1" t="s">
        <v>204</v>
      </c>
      <c r="E608" s="1" t="s">
        <v>63</v>
      </c>
      <c r="F608" s="1" t="s">
        <v>171</v>
      </c>
    </row>
    <row r="609" spans="1:6" x14ac:dyDescent="0.35">
      <c r="A609" s="1" t="s">
        <v>1243</v>
      </c>
      <c r="B609" s="1" t="s">
        <v>1244</v>
      </c>
      <c r="C609" s="1" t="s">
        <v>173</v>
      </c>
      <c r="D609" s="1" t="s">
        <v>112</v>
      </c>
      <c r="E609" s="1" t="s">
        <v>21</v>
      </c>
      <c r="F609" s="1" t="s">
        <v>128</v>
      </c>
    </row>
    <row r="610" spans="1:6" x14ac:dyDescent="0.35">
      <c r="A610" s="1" t="s">
        <v>1245</v>
      </c>
      <c r="B610" s="1" t="s">
        <v>1246</v>
      </c>
      <c r="C610" s="1" t="s">
        <v>111</v>
      </c>
      <c r="D610" s="1" t="s">
        <v>156</v>
      </c>
      <c r="E610" s="1" t="s">
        <v>78</v>
      </c>
      <c r="F610" s="1" t="s">
        <v>121</v>
      </c>
    </row>
    <row r="611" spans="1:6" x14ac:dyDescent="0.35">
      <c r="A611" s="1" t="s">
        <v>1247</v>
      </c>
      <c r="B611" s="1" t="s">
        <v>579</v>
      </c>
      <c r="C611" s="1" t="s">
        <v>164</v>
      </c>
      <c r="D611" s="1" t="s">
        <v>165</v>
      </c>
      <c r="E611" s="1" t="s">
        <v>87</v>
      </c>
      <c r="F611" s="1" t="s">
        <v>275</v>
      </c>
    </row>
    <row r="612" spans="1:6" x14ac:dyDescent="0.35">
      <c r="A612" s="1" t="s">
        <v>1248</v>
      </c>
      <c r="B612" s="1" t="s">
        <v>1249</v>
      </c>
      <c r="C612" s="1" t="s">
        <v>109</v>
      </c>
      <c r="D612" s="1" t="s">
        <v>112</v>
      </c>
      <c r="E612" s="1" t="s">
        <v>8</v>
      </c>
      <c r="F612" s="1" t="s">
        <v>171</v>
      </c>
    </row>
    <row r="613" spans="1:6" x14ac:dyDescent="0.35">
      <c r="A613" s="1" t="s">
        <v>1250</v>
      </c>
      <c r="B613" s="1" t="s">
        <v>1251</v>
      </c>
      <c r="C613" s="1" t="s">
        <v>137</v>
      </c>
      <c r="D613" s="1" t="s">
        <v>142</v>
      </c>
      <c r="E613" s="1" t="s">
        <v>39</v>
      </c>
      <c r="F613" s="1" t="s">
        <v>419</v>
      </c>
    </row>
    <row r="614" spans="1:6" x14ac:dyDescent="0.35">
      <c r="A614" s="1" t="s">
        <v>1252</v>
      </c>
      <c r="B614" s="1" t="s">
        <v>1253</v>
      </c>
      <c r="C614" s="1" t="s">
        <v>164</v>
      </c>
      <c r="D614" s="1" t="s">
        <v>107</v>
      </c>
      <c r="E614" s="1" t="s">
        <v>51</v>
      </c>
      <c r="F614" s="1" t="s">
        <v>121</v>
      </c>
    </row>
    <row r="615" spans="1:6" x14ac:dyDescent="0.35">
      <c r="A615" s="1" t="s">
        <v>1254</v>
      </c>
      <c r="B615" s="1" t="s">
        <v>1255</v>
      </c>
      <c r="C615" s="1" t="s">
        <v>116</v>
      </c>
      <c r="D615" s="1" t="s">
        <v>127</v>
      </c>
      <c r="E615" s="1" t="s">
        <v>57</v>
      </c>
      <c r="F615" s="1" t="s">
        <v>143</v>
      </c>
    </row>
    <row r="616" spans="1:6" x14ac:dyDescent="0.35">
      <c r="A616" s="1" t="s">
        <v>1256</v>
      </c>
      <c r="B616" s="1" t="s">
        <v>1257</v>
      </c>
      <c r="C616" s="1" t="s">
        <v>141</v>
      </c>
      <c r="D616" s="1" t="s">
        <v>142</v>
      </c>
      <c r="E616" s="1" t="s">
        <v>35</v>
      </c>
      <c r="F616" s="1" t="s">
        <v>124</v>
      </c>
    </row>
    <row r="617" spans="1:6" x14ac:dyDescent="0.35">
      <c r="A617" s="1" t="s">
        <v>1258</v>
      </c>
      <c r="B617" s="1" t="s">
        <v>1259</v>
      </c>
      <c r="C617" s="1" t="s">
        <v>172</v>
      </c>
      <c r="D617" s="1" t="s">
        <v>204</v>
      </c>
      <c r="E617" s="1" t="s">
        <v>69</v>
      </c>
      <c r="F617" s="1" t="s">
        <v>150</v>
      </c>
    </row>
    <row r="618" spans="1:6" x14ac:dyDescent="0.35">
      <c r="A618" s="1" t="s">
        <v>1260</v>
      </c>
      <c r="B618" s="1" t="s">
        <v>729</v>
      </c>
      <c r="C618" s="1" t="s">
        <v>197</v>
      </c>
      <c r="D618" s="1" t="s">
        <v>204</v>
      </c>
      <c r="E618" s="1" t="s">
        <v>45</v>
      </c>
      <c r="F618" s="1" t="s">
        <v>171</v>
      </c>
    </row>
    <row r="619" spans="1:6" x14ac:dyDescent="0.35">
      <c r="A619" s="1" t="s">
        <v>1261</v>
      </c>
      <c r="B619" s="1" t="s">
        <v>1117</v>
      </c>
      <c r="C619" s="1" t="s">
        <v>168</v>
      </c>
      <c r="D619" s="1" t="s">
        <v>183</v>
      </c>
      <c r="E619" s="1" t="s">
        <v>51</v>
      </c>
      <c r="F619" s="1" t="s">
        <v>143</v>
      </c>
    </row>
    <row r="620" spans="1:6" x14ac:dyDescent="0.35">
      <c r="A620" s="1" t="s">
        <v>1262</v>
      </c>
      <c r="B620" s="1" t="s">
        <v>1263</v>
      </c>
      <c r="C620" s="1" t="s">
        <v>113</v>
      </c>
      <c r="D620" s="1" t="s">
        <v>112</v>
      </c>
      <c r="E620" s="1" t="s">
        <v>57</v>
      </c>
      <c r="F620" s="1" t="s">
        <v>419</v>
      </c>
    </row>
    <row r="621" spans="1:6" x14ac:dyDescent="0.35">
      <c r="A621" s="1" t="s">
        <v>1264</v>
      </c>
      <c r="B621" s="1" t="s">
        <v>1265</v>
      </c>
      <c r="C621" s="1" t="s">
        <v>176</v>
      </c>
      <c r="D621" s="1" t="s">
        <v>117</v>
      </c>
      <c r="E621" s="1" t="s">
        <v>8</v>
      </c>
      <c r="F621" s="1" t="s">
        <v>128</v>
      </c>
    </row>
    <row r="622" spans="1:6" x14ac:dyDescent="0.35">
      <c r="A622" s="1" t="s">
        <v>1266</v>
      </c>
      <c r="B622" s="1" t="s">
        <v>1267</v>
      </c>
      <c r="C622" s="1" t="s">
        <v>240</v>
      </c>
      <c r="D622" s="1" t="s">
        <v>127</v>
      </c>
      <c r="E622" s="1" t="s">
        <v>57</v>
      </c>
      <c r="F622" s="1" t="s">
        <v>121</v>
      </c>
    </row>
    <row r="623" spans="1:6" x14ac:dyDescent="0.35">
      <c r="A623" s="1" t="s">
        <v>1268</v>
      </c>
      <c r="B623" s="1" t="s">
        <v>1269</v>
      </c>
      <c r="C623" s="1" t="s">
        <v>164</v>
      </c>
      <c r="D623" s="1" t="s">
        <v>153</v>
      </c>
      <c r="E623" s="1" t="s">
        <v>15</v>
      </c>
      <c r="F623" s="1" t="s">
        <v>121</v>
      </c>
    </row>
    <row r="624" spans="1:6" x14ac:dyDescent="0.35">
      <c r="A624" s="1" t="s">
        <v>1270</v>
      </c>
      <c r="B624" s="1" t="s">
        <v>1271</v>
      </c>
      <c r="C624" s="1" t="s">
        <v>168</v>
      </c>
      <c r="D624" s="1" t="s">
        <v>107</v>
      </c>
      <c r="E624" s="1" t="s">
        <v>57</v>
      </c>
      <c r="F624" s="1" t="s">
        <v>171</v>
      </c>
    </row>
    <row r="625" spans="1:6" x14ac:dyDescent="0.35">
      <c r="A625" s="1" t="s">
        <v>1272</v>
      </c>
      <c r="B625" s="1" t="s">
        <v>1273</v>
      </c>
      <c r="C625" s="1" t="s">
        <v>141</v>
      </c>
      <c r="D625" s="1" t="s">
        <v>110</v>
      </c>
      <c r="E625" s="1" t="s">
        <v>63</v>
      </c>
      <c r="F625" s="1" t="s">
        <v>314</v>
      </c>
    </row>
    <row r="626" spans="1:6" x14ac:dyDescent="0.35">
      <c r="A626" s="1" t="s">
        <v>1274</v>
      </c>
      <c r="B626" s="1" t="s">
        <v>1275</v>
      </c>
      <c r="C626" s="1" t="s">
        <v>116</v>
      </c>
      <c r="D626" s="1" t="s">
        <v>138</v>
      </c>
      <c r="E626" s="1" t="s">
        <v>82</v>
      </c>
      <c r="F626" s="1" t="s">
        <v>128</v>
      </c>
    </row>
    <row r="627" spans="1:6" x14ac:dyDescent="0.35">
      <c r="A627" s="1" t="s">
        <v>1276</v>
      </c>
      <c r="B627" s="1" t="s">
        <v>1277</v>
      </c>
      <c r="C627" s="1" t="s">
        <v>197</v>
      </c>
      <c r="D627" s="1" t="s">
        <v>142</v>
      </c>
      <c r="E627" s="1" t="s">
        <v>63</v>
      </c>
      <c r="F627" s="1" t="s">
        <v>128</v>
      </c>
    </row>
    <row r="628" spans="1:6" x14ac:dyDescent="0.35">
      <c r="A628" s="1" t="s">
        <v>1278</v>
      </c>
      <c r="B628" s="1" t="s">
        <v>1279</v>
      </c>
      <c r="C628" s="1" t="s">
        <v>137</v>
      </c>
      <c r="D628" s="1" t="s">
        <v>156</v>
      </c>
      <c r="E628" s="1" t="s">
        <v>69</v>
      </c>
      <c r="F628" s="1" t="s">
        <v>157</v>
      </c>
    </row>
    <row r="629" spans="1:6" x14ac:dyDescent="0.35">
      <c r="A629" s="1" t="s">
        <v>1280</v>
      </c>
      <c r="B629" s="1" t="s">
        <v>1281</v>
      </c>
      <c r="C629" s="1" t="s">
        <v>172</v>
      </c>
      <c r="D629" s="1" t="s">
        <v>28</v>
      </c>
      <c r="E629" s="1" t="s">
        <v>57</v>
      </c>
      <c r="F629" s="1" t="s">
        <v>128</v>
      </c>
    </row>
    <row r="630" spans="1:6" x14ac:dyDescent="0.35">
      <c r="A630" s="1" t="s">
        <v>1282</v>
      </c>
      <c r="B630" s="1" t="s">
        <v>1283</v>
      </c>
      <c r="C630" s="1" t="s">
        <v>106</v>
      </c>
      <c r="D630" s="1" t="s">
        <v>183</v>
      </c>
      <c r="E630" s="1" t="s">
        <v>78</v>
      </c>
      <c r="F630" s="1" t="s">
        <v>252</v>
      </c>
    </row>
    <row r="631" spans="1:6" x14ac:dyDescent="0.35">
      <c r="A631" s="1" t="s">
        <v>28</v>
      </c>
      <c r="B631" s="1" t="s">
        <v>28</v>
      </c>
      <c r="C631" s="1" t="s">
        <v>28</v>
      </c>
      <c r="D631" s="1" t="s">
        <v>28</v>
      </c>
      <c r="E631" s="1" t="s">
        <v>28</v>
      </c>
      <c r="F631" s="1" t="s">
        <v>28</v>
      </c>
    </row>
    <row r="632" spans="1:6" x14ac:dyDescent="0.35">
      <c r="A632" s="1" t="s">
        <v>28</v>
      </c>
      <c r="B632" s="1" t="s">
        <v>28</v>
      </c>
      <c r="C632" s="1" t="s">
        <v>28</v>
      </c>
      <c r="D632" s="1" t="s">
        <v>28</v>
      </c>
      <c r="E632" s="1" t="s">
        <v>28</v>
      </c>
      <c r="F632" s="1" t="s">
        <v>28</v>
      </c>
    </row>
    <row r="633" spans="1:6" x14ac:dyDescent="0.35">
      <c r="A633" s="1" t="s">
        <v>1282</v>
      </c>
      <c r="B633" s="1" t="s">
        <v>1283</v>
      </c>
      <c r="C633" s="1" t="s">
        <v>197</v>
      </c>
      <c r="D633" s="1" t="s">
        <v>183</v>
      </c>
      <c r="E633" s="1" t="s">
        <v>78</v>
      </c>
      <c r="F633" s="1" t="s">
        <v>252</v>
      </c>
    </row>
    <row r="634" spans="1:6" x14ac:dyDescent="0.35">
      <c r="A634" s="1" t="s">
        <v>1282</v>
      </c>
      <c r="B634" s="1" t="s">
        <v>1283</v>
      </c>
      <c r="C634" s="1" t="s">
        <v>116</v>
      </c>
      <c r="D634" s="1" t="s">
        <v>183</v>
      </c>
      <c r="E634" s="1" t="s">
        <v>78</v>
      </c>
      <c r="F634" s="1" t="s">
        <v>252</v>
      </c>
    </row>
    <row r="635" spans="1:6" x14ac:dyDescent="0.35">
      <c r="A635" s="1" t="s">
        <v>1284</v>
      </c>
      <c r="B635" s="1" t="s">
        <v>1285</v>
      </c>
      <c r="C635" s="1" t="s">
        <v>172</v>
      </c>
      <c r="D635" s="1" t="s">
        <v>204</v>
      </c>
      <c r="E635" s="1" t="s">
        <v>21</v>
      </c>
      <c r="F635" s="1" t="s">
        <v>419</v>
      </c>
    </row>
    <row r="636" spans="1:6" x14ac:dyDescent="0.35">
      <c r="A636" s="1" t="s">
        <v>1286</v>
      </c>
      <c r="B636" s="1" t="s">
        <v>1287</v>
      </c>
      <c r="C636" s="1" t="s">
        <v>168</v>
      </c>
      <c r="D636" s="1" t="s">
        <v>127</v>
      </c>
      <c r="E636" s="1" t="s">
        <v>21</v>
      </c>
      <c r="F636" s="1" t="s">
        <v>171</v>
      </c>
    </row>
    <row r="637" spans="1:6" x14ac:dyDescent="0.35">
      <c r="A637" s="1" t="s">
        <v>1288</v>
      </c>
      <c r="B637" s="1" t="s">
        <v>1289</v>
      </c>
      <c r="C637" s="1" t="s">
        <v>106</v>
      </c>
      <c r="D637" s="1" t="s">
        <v>110</v>
      </c>
      <c r="E637" s="1" t="s">
        <v>29</v>
      </c>
      <c r="F637" s="1" t="s">
        <v>146</v>
      </c>
    </row>
    <row r="638" spans="1:6" x14ac:dyDescent="0.35">
      <c r="A638" s="1" t="s">
        <v>1290</v>
      </c>
      <c r="B638" s="1" t="s">
        <v>1000</v>
      </c>
      <c r="C638" s="1" t="s">
        <v>137</v>
      </c>
      <c r="D638" s="1" t="s">
        <v>112</v>
      </c>
      <c r="E638" s="1" t="s">
        <v>82</v>
      </c>
      <c r="F638" s="1" t="s">
        <v>128</v>
      </c>
    </row>
    <row r="639" spans="1:6" x14ac:dyDescent="0.35">
      <c r="A639" s="1" t="s">
        <v>1291</v>
      </c>
      <c r="B639" s="1" t="s">
        <v>856</v>
      </c>
      <c r="C639" s="1" t="s">
        <v>113</v>
      </c>
      <c r="D639" s="1" t="s">
        <v>153</v>
      </c>
      <c r="E639" s="1" t="s">
        <v>78</v>
      </c>
      <c r="F639" s="1" t="s">
        <v>419</v>
      </c>
    </row>
    <row r="640" spans="1:6" x14ac:dyDescent="0.35">
      <c r="A640" s="1" t="s">
        <v>1292</v>
      </c>
      <c r="B640" s="1" t="s">
        <v>1125</v>
      </c>
      <c r="C640" s="1" t="s">
        <v>149</v>
      </c>
      <c r="D640" s="1" t="s">
        <v>153</v>
      </c>
      <c r="E640" s="1" t="s">
        <v>8</v>
      </c>
      <c r="F640" s="1" t="s">
        <v>171</v>
      </c>
    </row>
    <row r="641" spans="1:6" x14ac:dyDescent="0.35">
      <c r="A641" s="1" t="s">
        <v>1293</v>
      </c>
      <c r="B641" s="1" t="s">
        <v>378</v>
      </c>
      <c r="C641" s="1" t="s">
        <v>116</v>
      </c>
      <c r="D641" s="1" t="s">
        <v>183</v>
      </c>
      <c r="E641" s="1" t="s">
        <v>69</v>
      </c>
      <c r="F641" s="1" t="s">
        <v>143</v>
      </c>
    </row>
    <row r="642" spans="1:6" x14ac:dyDescent="0.35">
      <c r="A642" s="1" t="s">
        <v>1294</v>
      </c>
      <c r="B642" s="1" t="s">
        <v>579</v>
      </c>
      <c r="C642" s="1" t="s">
        <v>172</v>
      </c>
      <c r="D642" s="1" t="s">
        <v>138</v>
      </c>
      <c r="E642" s="1" t="s">
        <v>73</v>
      </c>
      <c r="F642" s="1" t="s">
        <v>121</v>
      </c>
    </row>
    <row r="643" spans="1:6" x14ac:dyDescent="0.35">
      <c r="A643" s="1" t="s">
        <v>1295</v>
      </c>
      <c r="B643" s="1" t="s">
        <v>1189</v>
      </c>
      <c r="C643" s="1" t="s">
        <v>168</v>
      </c>
      <c r="D643" s="1" t="s">
        <v>192</v>
      </c>
      <c r="E643" s="1" t="s">
        <v>8</v>
      </c>
      <c r="F643" s="1" t="s">
        <v>143</v>
      </c>
    </row>
    <row r="644" spans="1:6" x14ac:dyDescent="0.35">
      <c r="A644" s="1" t="s">
        <v>1296</v>
      </c>
      <c r="B644" s="1" t="s">
        <v>1297</v>
      </c>
      <c r="C644" s="1" t="s">
        <v>106</v>
      </c>
      <c r="D644" s="1" t="s">
        <v>142</v>
      </c>
      <c r="E644" s="1" t="s">
        <v>78</v>
      </c>
      <c r="F644" s="1" t="s">
        <v>128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CF4B4-21AA-4B27-B45B-252931E429A3}">
  <dimension ref="A1:H16"/>
  <sheetViews>
    <sheetView workbookViewId="0"/>
  </sheetViews>
  <sheetFormatPr defaultRowHeight="14.5" x14ac:dyDescent="0.35"/>
  <cols>
    <col min="1" max="1" width="14.36328125" bestFit="1" customWidth="1"/>
    <col min="2" max="2" width="21.1796875" bestFit="1" customWidth="1"/>
    <col min="3" max="3" width="9" bestFit="1" customWidth="1"/>
    <col min="4" max="4" width="9.81640625" bestFit="1" customWidth="1"/>
    <col min="5" max="5" width="15.1796875" bestFit="1" customWidth="1"/>
    <col min="6" max="6" width="11.453125" bestFit="1" customWidth="1"/>
    <col min="7" max="7" width="26.7265625" bestFit="1" customWidth="1"/>
    <col min="8" max="8" width="15.54296875" bestFit="1" customWidth="1"/>
  </cols>
  <sheetData>
    <row r="1" spans="1:8" x14ac:dyDescent="0.35">
      <c r="A1" t="s">
        <v>0</v>
      </c>
      <c r="B1" t="s">
        <v>1</v>
      </c>
      <c r="C1" t="s">
        <v>2</v>
      </c>
      <c r="D1" t="s">
        <v>3</v>
      </c>
      <c r="E1" t="s">
        <v>4</v>
      </c>
      <c r="F1" t="s">
        <v>5</v>
      </c>
      <c r="G1" t="s">
        <v>6</v>
      </c>
      <c r="H1" t="s">
        <v>7</v>
      </c>
    </row>
    <row r="2" spans="1:8" x14ac:dyDescent="0.35">
      <c r="A2" s="1" t="s">
        <v>8</v>
      </c>
      <c r="B2" s="1" t="s">
        <v>9</v>
      </c>
      <c r="C2" s="1" t="s">
        <v>10</v>
      </c>
      <c r="D2" s="1" t="s">
        <v>11</v>
      </c>
      <c r="E2" s="1" t="s">
        <v>12</v>
      </c>
      <c r="F2" s="1" t="s">
        <v>13</v>
      </c>
      <c r="G2" s="1" t="s">
        <v>14</v>
      </c>
      <c r="H2" s="2">
        <v>44954</v>
      </c>
    </row>
    <row r="3" spans="1:8" x14ac:dyDescent="0.35">
      <c r="A3" s="1" t="s">
        <v>15</v>
      </c>
      <c r="B3" s="1" t="s">
        <v>16</v>
      </c>
      <c r="C3" s="1" t="s">
        <v>10</v>
      </c>
      <c r="D3" s="1" t="s">
        <v>17</v>
      </c>
      <c r="E3" s="1" t="s">
        <v>18</v>
      </c>
      <c r="F3" s="1" t="s">
        <v>19</v>
      </c>
      <c r="G3" s="1" t="s">
        <v>20</v>
      </c>
      <c r="H3" s="2">
        <v>44996</v>
      </c>
    </row>
    <row r="4" spans="1:8" x14ac:dyDescent="0.35">
      <c r="A4" s="1" t="s">
        <v>21</v>
      </c>
      <c r="B4" s="1" t="s">
        <v>22</v>
      </c>
      <c r="C4" s="1" t="s">
        <v>23</v>
      </c>
      <c r="D4" s="1" t="s">
        <v>24</v>
      </c>
      <c r="E4" s="1" t="s">
        <v>25</v>
      </c>
      <c r="F4" s="1" t="s">
        <v>26</v>
      </c>
      <c r="G4" s="1" t="s">
        <v>27</v>
      </c>
      <c r="H4" s="2">
        <v>45260</v>
      </c>
    </row>
    <row r="5" spans="1:8" x14ac:dyDescent="0.35">
      <c r="A5" s="1" t="s">
        <v>29</v>
      </c>
      <c r="B5" s="1" t="s">
        <v>30</v>
      </c>
      <c r="C5" s="1" t="s">
        <v>23</v>
      </c>
      <c r="D5" s="1" t="s">
        <v>31</v>
      </c>
      <c r="E5" s="1" t="s">
        <v>32</v>
      </c>
      <c r="F5" s="1" t="s">
        <v>33</v>
      </c>
      <c r="G5" s="1" t="s">
        <v>34</v>
      </c>
      <c r="H5" s="2">
        <v>45141</v>
      </c>
    </row>
    <row r="6" spans="1:8" x14ac:dyDescent="0.35">
      <c r="A6" s="1" t="s">
        <v>35</v>
      </c>
      <c r="B6" s="1" t="s">
        <v>36</v>
      </c>
      <c r="C6" s="1" t="s">
        <v>10</v>
      </c>
      <c r="D6" s="1" t="s">
        <v>11</v>
      </c>
      <c r="E6" s="1" t="s">
        <v>12</v>
      </c>
      <c r="F6" s="1" t="s">
        <v>37</v>
      </c>
      <c r="G6" s="1" t="s">
        <v>38</v>
      </c>
      <c r="H6" s="2">
        <v>45288</v>
      </c>
    </row>
    <row r="7" spans="1:8" x14ac:dyDescent="0.35">
      <c r="A7" s="1" t="s">
        <v>39</v>
      </c>
      <c r="B7" s="1" t="s">
        <v>40</v>
      </c>
      <c r="C7" s="1" t="s">
        <v>23</v>
      </c>
      <c r="D7" s="1" t="s">
        <v>41</v>
      </c>
      <c r="E7" s="1" t="s">
        <v>42</v>
      </c>
      <c r="F7" s="1" t="s">
        <v>43</v>
      </c>
      <c r="G7" s="1" t="s">
        <v>44</v>
      </c>
      <c r="H7" s="2">
        <v>45141</v>
      </c>
    </row>
    <row r="8" spans="1:8" x14ac:dyDescent="0.35">
      <c r="A8" s="1" t="s">
        <v>45</v>
      </c>
      <c r="B8" s="1" t="s">
        <v>46</v>
      </c>
      <c r="C8" s="1" t="s">
        <v>10</v>
      </c>
      <c r="D8" s="1" t="s">
        <v>47</v>
      </c>
      <c r="E8" s="1" t="s">
        <v>48</v>
      </c>
      <c r="F8" s="1" t="s">
        <v>49</v>
      </c>
      <c r="G8" s="1" t="s">
        <v>50</v>
      </c>
      <c r="H8" s="2">
        <v>45057</v>
      </c>
    </row>
    <row r="9" spans="1:8" x14ac:dyDescent="0.35">
      <c r="A9" s="1" t="s">
        <v>51</v>
      </c>
      <c r="B9" s="1" t="s">
        <v>52</v>
      </c>
      <c r="C9" s="1" t="s">
        <v>23</v>
      </c>
      <c r="D9" s="1" t="s">
        <v>53</v>
      </c>
      <c r="E9" s="1" t="s">
        <v>54</v>
      </c>
      <c r="F9" s="1" t="s">
        <v>55</v>
      </c>
      <c r="G9" s="1" t="s">
        <v>56</v>
      </c>
      <c r="H9" s="2">
        <v>45114</v>
      </c>
    </row>
    <row r="10" spans="1:8" x14ac:dyDescent="0.35">
      <c r="A10" s="1" t="s">
        <v>57</v>
      </c>
      <c r="B10" s="1" t="s">
        <v>58</v>
      </c>
      <c r="C10" s="1" t="s">
        <v>10</v>
      </c>
      <c r="D10" s="1" t="s">
        <v>59</v>
      </c>
      <c r="E10" s="1" t="s">
        <v>60</v>
      </c>
      <c r="F10" s="1" t="s">
        <v>61</v>
      </c>
      <c r="G10" s="1" t="s">
        <v>62</v>
      </c>
      <c r="H10" s="2">
        <v>45300</v>
      </c>
    </row>
    <row r="11" spans="1:8" x14ac:dyDescent="0.35">
      <c r="A11" s="1" t="s">
        <v>63</v>
      </c>
      <c r="B11" s="1" t="s">
        <v>64</v>
      </c>
      <c r="C11" s="1" t="s">
        <v>23</v>
      </c>
      <c r="D11" s="1" t="s">
        <v>65</v>
      </c>
      <c r="E11" s="1" t="s">
        <v>66</v>
      </c>
      <c r="F11" s="1" t="s">
        <v>67</v>
      </c>
      <c r="G11" s="1" t="s">
        <v>68</v>
      </c>
      <c r="H11" s="2">
        <v>45047</v>
      </c>
    </row>
    <row r="12" spans="1:8" x14ac:dyDescent="0.35">
      <c r="A12" s="1" t="s">
        <v>69</v>
      </c>
      <c r="B12" s="1" t="s">
        <v>70</v>
      </c>
      <c r="C12" s="1" t="s">
        <v>10</v>
      </c>
      <c r="D12" s="1" t="s">
        <v>11</v>
      </c>
      <c r="E12" s="1" t="s">
        <v>12</v>
      </c>
      <c r="F12" s="1" t="s">
        <v>71</v>
      </c>
      <c r="G12" s="1" t="s">
        <v>72</v>
      </c>
      <c r="H12" s="2">
        <v>45075</v>
      </c>
    </row>
    <row r="13" spans="1:8" x14ac:dyDescent="0.35">
      <c r="A13" s="1" t="s">
        <v>73</v>
      </c>
      <c r="B13" s="1" t="s">
        <v>74</v>
      </c>
      <c r="C13" s="1" t="s">
        <v>23</v>
      </c>
      <c r="D13" s="1" t="s">
        <v>75</v>
      </c>
      <c r="E13" s="1" t="s">
        <v>25</v>
      </c>
      <c r="F13" s="1" t="s">
        <v>76</v>
      </c>
      <c r="G13" s="1" t="s">
        <v>77</v>
      </c>
      <c r="H13" s="2">
        <v>44978</v>
      </c>
    </row>
    <row r="14" spans="1:8" x14ac:dyDescent="0.35">
      <c r="A14" s="1" t="s">
        <v>78</v>
      </c>
      <c r="B14" s="1" t="s">
        <v>79</v>
      </c>
      <c r="C14" s="1" t="s">
        <v>10</v>
      </c>
      <c r="D14" s="1" t="s">
        <v>17</v>
      </c>
      <c r="E14" s="1" t="s">
        <v>18</v>
      </c>
      <c r="F14" s="1" t="s">
        <v>80</v>
      </c>
      <c r="G14" s="1" t="s">
        <v>81</v>
      </c>
      <c r="H14" s="2">
        <v>45292</v>
      </c>
    </row>
    <row r="15" spans="1:8" x14ac:dyDescent="0.35">
      <c r="A15" s="1" t="s">
        <v>82</v>
      </c>
      <c r="B15" s="1" t="s">
        <v>83</v>
      </c>
      <c r="C15" s="1" t="s">
        <v>23</v>
      </c>
      <c r="D15" s="1" t="s">
        <v>84</v>
      </c>
      <c r="E15" s="1" t="s">
        <v>42</v>
      </c>
      <c r="F15" s="1" t="s">
        <v>85</v>
      </c>
      <c r="G15" s="1" t="s">
        <v>86</v>
      </c>
      <c r="H15" s="2">
        <v>45195</v>
      </c>
    </row>
    <row r="16" spans="1:8" x14ac:dyDescent="0.35">
      <c r="A16" s="1" t="s">
        <v>87</v>
      </c>
      <c r="B16" s="1" t="s">
        <v>88</v>
      </c>
      <c r="C16" s="1" t="s">
        <v>10</v>
      </c>
      <c r="D16" s="1" t="s">
        <v>89</v>
      </c>
      <c r="E16" s="1" t="s">
        <v>90</v>
      </c>
      <c r="F16" s="1" t="s">
        <v>91</v>
      </c>
      <c r="G16" s="1" t="s">
        <v>92</v>
      </c>
      <c r="H16" s="2">
        <v>45247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348E9D7B8486BE41A2BF9E9A2AAB4435" ma:contentTypeVersion="3" ma:contentTypeDescription="Create a new document." ma:contentTypeScope="" ma:versionID="b3e1b7fd99bd40ab0db29d29a0c0c8c0">
  <xsd:schema xmlns:xsd="http://www.w3.org/2001/XMLSchema" xmlns:xs="http://www.w3.org/2001/XMLSchema" xmlns:p="http://schemas.microsoft.com/office/2006/metadata/properties" xmlns:ns3="454c53d6-556b-420e-8cb4-69a3ff9dc284" targetNamespace="http://schemas.microsoft.com/office/2006/metadata/properties" ma:root="true" ma:fieldsID="1cbc3e52f2ba40663556db8edecb3084" ns3:_="">
    <xsd:import namespace="454c53d6-556b-420e-8cb4-69a3ff9dc284"/>
    <xsd:element name="properties">
      <xsd:complexType>
        <xsd:sequence>
          <xsd:element name="documentManagement">
            <xsd:complexType>
              <xsd:all>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4c53d6-556b-420e-8cb4-69a3ff9dc2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17A121-C4DA-4504-A8EE-C965DDB94A77}">
  <ds:schemaRefs>
    <ds:schemaRef ds:uri="http://schemas.microsoft.com/sharepoint/v3/contenttype/forms"/>
  </ds:schemaRefs>
</ds:datastoreItem>
</file>

<file path=customXml/itemProps2.xml><?xml version="1.0" encoding="utf-8"?>
<ds:datastoreItem xmlns:ds="http://schemas.openxmlformats.org/officeDocument/2006/customXml" ds:itemID="{2311FB9A-FBCA-4BF3-994E-328AAB838B2C}">
  <ds:schemaRefs>
    <ds:schemaRef ds:uri="http://purl.org/dc/terms/"/>
    <ds:schemaRef ds:uri="http://www.w3.org/XML/1998/namespace"/>
    <ds:schemaRef ds:uri="http://schemas.microsoft.com/office/infopath/2007/PartnerControls"/>
    <ds:schemaRef ds:uri="http://schemas.microsoft.com/office/2006/documentManagement/types"/>
    <ds:schemaRef ds:uri="http://purl.org/dc/dcmitype/"/>
    <ds:schemaRef ds:uri="454c53d6-556b-420e-8cb4-69a3ff9dc284"/>
    <ds:schemaRef ds:uri="http://schemas.microsoft.com/office/2006/metadata/properties"/>
    <ds:schemaRef ds:uri="http://purl.org/dc/elements/1.1/"/>
    <ds:schemaRef ds:uri="http://schemas.openxmlformats.org/package/2006/metadata/core-properties"/>
  </ds:schemaRefs>
</ds:datastoreItem>
</file>

<file path=customXml/itemProps3.xml><?xml version="1.0" encoding="utf-8"?>
<ds:datastoreItem xmlns:ds="http://schemas.openxmlformats.org/officeDocument/2006/customXml" ds:itemID="{CBEBB56F-945C-4325-9A58-E26AD2EA46C8}">
  <ds:schemaRefs>
    <ds:schemaRef ds:uri="http://schemas.microsoft.com/DataMashup"/>
  </ds:schemaRefs>
</ds:datastoreItem>
</file>

<file path=customXml/itemProps4.xml><?xml version="1.0" encoding="utf-8"?>
<ds:datastoreItem xmlns:ds="http://schemas.openxmlformats.org/officeDocument/2006/customXml" ds:itemID="{C9B5F8FC-A8ED-4E98-A2DD-EFD53582ED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54c53d6-556b-420e-8cb4-69a3ff9dc2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 COO</vt:lpstr>
      <vt:lpstr>Pivot Table A</vt:lpstr>
      <vt:lpstr>Pivot Table b.2</vt:lpstr>
      <vt:lpstr>Pivot Table b.1</vt:lpstr>
      <vt:lpstr>Pivot Table</vt:lpstr>
      <vt:lpstr>Pivot Table D</vt:lpstr>
      <vt:lpstr>Insight BOD</vt:lpstr>
      <vt:lpstr>Summary Laporan Penjualan 2024</vt:lpstr>
      <vt:lpstr>Summary Penjualan - VL</vt:lpstr>
      <vt:lpstr>Data_Penjualan_Cleaned</vt:lpstr>
      <vt:lpstr>Pivot Table C</vt:lpstr>
      <vt:lpstr>Data_Produk_Cleaned</vt:lpstr>
      <vt:lpstr>Data_Penjualan</vt:lpstr>
      <vt:lpstr>Data_Pelanggan_Cleaned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Alisha Aline Athiyyah</dc:creator>
  <cp:lastModifiedBy>Alisha Aline Athiyyah</cp:lastModifiedBy>
  <dcterms:created xsi:type="dcterms:W3CDTF">2026-03-06T17:39:08Z</dcterms:created>
  <dcterms:modified xsi:type="dcterms:W3CDTF">2026-03-07T14:54:29Z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0x010100348E9D7B8486BE41A2BF9E9A2AAB4435</vt:lpwstr>
  </property>
</Properties>
</file>