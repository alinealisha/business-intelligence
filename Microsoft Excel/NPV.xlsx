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<sst xmlns="http://schemas.openxmlformats.org/spreadsheetml/2006/main" count="137" uniqueCount="85">
  <si>
    <t>Diketahui di Soal</t>
  </si>
  <si>
    <t>Parameter</t>
  </si>
  <si>
    <t>Nilai</t>
  </si>
  <si>
    <t>Permintaan Tahunan Asia (P0)</t>
  </si>
  <si>
    <t>Permintaan Tahunan Eropa (P0)</t>
  </si>
  <si>
    <t>Kapasitas Fasilitas Produksi Asia per Tahun (Existing)</t>
  </si>
  <si>
    <t>Kapasitas Fasilitas Produksi Eropa per Tahun (Existing)</t>
  </si>
  <si>
    <t>Biaya Produksi Asia per Unit</t>
  </si>
  <si>
    <t>Biaya Produksi Eropa per Unit</t>
  </si>
  <si>
    <t>Biaya Pengiriman Antar Wilayah per Unit</t>
  </si>
  <si>
    <t>Harga Jual per Unit (Kedua Pasar)</t>
  </si>
  <si>
    <t>Probabilitas Peningkatan Permintaan Pasar Asia (+40%/tahun)</t>
  </si>
  <si>
    <t>Probabilitas Peningkatan Permintaan Pasar Asia (+20%/tahun)</t>
  </si>
  <si>
    <t>Probabilitas Peningkatan Permintaan Pasar Eropa (+10%/tahun)</t>
  </si>
  <si>
    <t>Probabilitas Penurunan Permintaan Pasar Eropa (-20%/tahun)</t>
  </si>
  <si>
    <t>Opsi 1: Penambahan Kapasitas Asia (Unit)</t>
  </si>
  <si>
    <t>Biaya Investasi Opsi 1</t>
  </si>
  <si>
    <t>Opsi 2: Penambahan Kapasitas Asia (Unit)</t>
  </si>
  <si>
    <t>Biaya Investasi Opsi 2</t>
  </si>
  <si>
    <t>Discount Rate</t>
  </si>
  <si>
    <t>Margin Kontribusi Per Unit</t>
  </si>
  <si>
    <t>Menghitung laba bersih yang dihasilkan dari setiap 1 unit yang diproduksi dan dijual</t>
  </si>
  <si>
    <t>Unit</t>
  </si>
  <si>
    <t>Harga Jual</t>
  </si>
  <si>
    <t>Biaya Produksi</t>
  </si>
  <si>
    <t>Biaya Pengiriman</t>
  </si>
  <si>
    <t>Margin</t>
  </si>
  <si>
    <t>Produksi Asia - Penjualan Asia</t>
  </si>
  <si>
    <t>Produksi Asia - Penjualan Eropa</t>
  </si>
  <si>
    <t>Produksi Eropa - Penjualan Asia</t>
  </si>
  <si>
    <t>Produksi Eropa - Penjualan Eropa</t>
  </si>
  <si>
    <t>Kapasitas Produksi (Setelah Ekspansi)</t>
  </si>
  <si>
    <t>Kapasitas Asia</t>
  </si>
  <si>
    <t>Kapasitas Eropa</t>
  </si>
  <si>
    <t>Periode</t>
  </si>
  <si>
    <t>Saat ini (Existing)</t>
  </si>
  <si>
    <t>P0</t>
  </si>
  <si>
    <t xml:space="preserve">Opsi 1 </t>
  </si>
  <si>
    <t>P1 dan P2</t>
  </si>
  <si>
    <t>Opsi 2</t>
  </si>
  <si>
    <t>Asumsi</t>
  </si>
  <si>
    <t>Karena biaya produksi Asia ($15) lebih murah dari Eropa ($20), maka strategi optimalnya adalah memaksimalkan produksi di Asia terlebih dahulu. Asia diproduksi penuh sampai batas kapasitasnya yaitu 2.400.000 unit. Nantinya, sisa kapasitas Asia sebesar 200.000 unit akan dialokasikan ke pasar Eropa karena masih menghasilkan margin $23.</t>
  </si>
  <si>
    <t>Rute Alokasi Produk</t>
  </si>
  <si>
    <t>Profit Periode 0 (P0)</t>
  </si>
  <si>
    <t>Proyeksi Demand P1 (H = High, L = Low)</t>
  </si>
  <si>
    <t>Skenario</t>
  </si>
  <si>
    <t>Asia P1</t>
  </si>
  <si>
    <t>Eropa P1</t>
  </si>
  <si>
    <t>Probability</t>
  </si>
  <si>
    <t>HH ( Asia+40%, Eropa+10%)</t>
  </si>
  <si>
    <t>HL (Asia+40%, Eropa−20%)</t>
  </si>
  <si>
    <t>LH (Asia+20%, Eropa+10%)</t>
  </si>
  <si>
    <t>LL (Asia+20%, Eropa−20%)</t>
  </si>
  <si>
    <t>Proyeksi Demand P2 (H = High, L = Low)</t>
  </si>
  <si>
    <t>Asia P2</t>
  </si>
  <si>
    <t>Eropa P2</t>
  </si>
  <si>
    <t>Asumsi: Rute Eropa-Asia tidak digunakan karena kapasitas Asia selalu mencukupi permintaan Asia di hampir semua skenario. Jadinya, rute dengan margin yang lebih rendah ($18) tidak diperlukan.</t>
  </si>
  <si>
    <t>Profit P1 (Opsi 1)</t>
  </si>
  <si>
    <t>Asia-Asia P1</t>
  </si>
  <si>
    <t>Asia-Eropa P1</t>
  </si>
  <si>
    <t>Eropa-Eropa P1</t>
  </si>
  <si>
    <t>Profit P1</t>
  </si>
  <si>
    <t>HH (Asia+40%, Eropa+10%)</t>
  </si>
  <si>
    <t>HL (Asia+40%, Eropa-20%)</t>
  </si>
  <si>
    <t>LL (Asia+20%, Eropa-20%)</t>
  </si>
  <si>
    <t xml:space="preserve">Profit P2 (Opsi 1) </t>
  </si>
  <si>
    <t>Asia-Asia P2</t>
  </si>
  <si>
    <t>Asia-Eropa P2</t>
  </si>
  <si>
    <t>Eropa-Eropa P2</t>
  </si>
  <si>
    <t>Profit P2</t>
  </si>
  <si>
    <t>Profit P1 (Opsi 2)</t>
  </si>
  <si>
    <t xml:space="preserve">Profit P2 (Opsi 2) </t>
  </si>
  <si>
    <t>Asumsi: Produksi di Eropa hanya dialokasikan untuk memenuhi demand dari Eropa. Diasumsikan tidak ada pengiriman dari Eropa ke Asia. Walaupun kapasitas Asia tidak cukup memenuhi seluruh demand Asia. Asumsi ini dilakukan berdasarkan prioritas biaya pengiriman dan kompleksitas logistik.</t>
  </si>
  <si>
    <t>Expected NPV (Opsi 1)</t>
  </si>
  <si>
    <t>Probabilitas</t>
  </si>
  <si>
    <t>P0 Net Cash Flow (Profit P0 − Biaya Investasi)</t>
  </si>
  <si>
    <t>Profit P1 / (1+r)</t>
  </si>
  <si>
    <t>Profit P2 / (1+r)²</t>
  </si>
  <si>
    <t>NPV Skenario</t>
  </si>
  <si>
    <t>NPV × Prob</t>
  </si>
  <si>
    <t>Expected NPV Opsi 1</t>
  </si>
  <si>
    <t>Expected NPV (Opsi 2)</t>
  </si>
  <si>
    <t>Expected NPV Opsi 2</t>
  </si>
  <si>
    <t>Rekomendasi:</t>
  </si>
  <si>
    <t>Opsi 1 lebih baik untuk dipilih karena memiliki Expected NPV yang lebih tinggi dibandingkan dengan opsi 2.</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</si>
</sst>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
    <numFmt numFmtId="165" formatCode="[$$-409]#,##0.00;[RED]\-[$$-409]#,##0.00"/>
  </numFmts>
  <fonts count="5">
    <font>
      <sz val="10.0"/>
      <color rgb="FF000000"/>
      <name val="Arial"/>
      <scheme val="minor"/>
    </font>
    <font>
      <b/>
      <sz val="11.0"/>
      <color rgb="FF000000"/>
      <name val="Arial"/>
      <scheme val="minor"/>
    </font>
    <font/>
    <font>
      <sz val="11.0"/>
      <color rgb="FF000000"/>
      <name val="Arial"/>
      <scheme val="minor"/>
    </font>
    <font>
      <color rgb="FF000000"/>
      <name val="Arial"/>
      <scheme val="minor"/>
    </font>
  </fonts>
  <fills count="6">
    <fill>
      <patternFill patternType="none"/>
    </fill>
    <fill>
      <patternFill patternType="lightGray"/>
    </fill>
    <fill>
      <patternFill patternType="solid">
        <fgColor rgb="FFFFF2CC"/>
        <bgColor rgb="FFFFF2CC"/>
      </patternFill>
    </fill>
    <fill>
      <patternFill patternType="solid">
        <fgColor rgb="FF6AA84F"/>
        <bgColor rgb="FF6AA84F"/>
      </patternFill>
    </fill>
    <fill>
      <patternFill patternType="solid">
        <fgColor rgb="FFD9EAD3"/>
        <bgColor rgb="FFD9EAD3"/>
      </patternFill>
    </fill>
    <fill>
      <patternFill patternType="solid">
        <fgColor rgb="FF38761D"/>
        <bgColor rgb="FF38761D"/>
      </patternFill>
    </fill>
  </fills>
  <borders count="14">
    <border/>
    <border>
      <left/>
      <top/>
    </border>
    <border>
      <right/>
      <top/>
    </border>
    <border>
      <left/>
      <bottom/>
    </border>
    <border>
      <right/>
      <bottom/>
    </border>
    <border>
      <left style="thin">
        <color rgb="FF000000"/>
      </left>
      <right style="thin">
        <color rgb="FF000000"/>
      </right>
      <top style="thin">
        <color rgb="FF000000"/>
      </top>
      <bottom style="thin">
        <color rgb="FF000000"/>
      </bottom>
    </border>
    <border>
      <left/>
      <top/>
      <bottom/>
    </border>
    <border>
      <top/>
      <bottom/>
    </border>
    <border>
      <right/>
      <top/>
      <bottom/>
    </border>
    <border>
      <top/>
    </border>
    <border>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0" fillId="0" fontId="3" numFmtId="0" xfId="0" applyAlignment="1" applyFont="1">
      <alignment horizontal="center" shrinkToFit="0" vertical="center" wrapText="1"/>
    </xf>
    <xf borderId="3" fillId="0" fontId="2" numFmtId="0" xfId="0" applyBorder="1" applyFont="1"/>
    <xf borderId="4" fillId="0" fontId="2" numFmtId="0" xfId="0" applyBorder="1" applyFont="1"/>
    <xf borderId="5" fillId="3" fontId="1" numFmtId="0" xfId="0" applyAlignment="1" applyBorder="1" applyFill="1" applyFont="1">
      <alignment horizontal="center" shrinkToFit="0" vertical="center" wrapText="1"/>
    </xf>
    <xf borderId="5" fillId="4" fontId="3" numFmtId="0" xfId="0" applyAlignment="1" applyBorder="1" applyFill="1" applyFont="1">
      <alignment horizontal="center" shrinkToFit="0" vertical="center" wrapText="1"/>
    </xf>
    <xf borderId="5" fillId="0" fontId="3" numFmtId="4" xfId="0" applyAlignment="1" applyBorder="1" applyFont="1" applyNumberFormat="1">
      <alignment horizontal="center" shrinkToFit="0" vertical="center" wrapText="1"/>
    </xf>
    <xf borderId="5" fillId="0" fontId="3" numFmtId="164" xfId="0" applyAlignment="1" applyBorder="1" applyFont="1" applyNumberFormat="1">
      <alignment horizontal="center" shrinkToFit="0" vertical="center" wrapText="1"/>
    </xf>
    <xf borderId="5" fillId="0" fontId="3" numFmtId="10" xfId="0" applyAlignment="1" applyBorder="1" applyFont="1" applyNumberFormat="1">
      <alignment horizontal="center" shrinkToFit="0" vertical="center" wrapText="1"/>
    </xf>
    <xf borderId="6" fillId="2" fontId="1" numFmtId="0" xfId="0" applyAlignment="1" applyBorder="1" applyFont="1">
      <alignment horizontal="center" shrinkToFit="0" vertical="center" wrapText="1"/>
    </xf>
    <xf borderId="7" fillId="0" fontId="2" numFmtId="0" xfId="0" applyBorder="1" applyFont="1"/>
    <xf borderId="8" fillId="0" fontId="2" numFmtId="0" xfId="0" applyBorder="1" applyFont="1"/>
    <xf borderId="6" fillId="2" fontId="0" numFmtId="0" xfId="0" applyAlignment="1" applyBorder="1" applyFont="1">
      <alignment horizontal="center" shrinkToFit="0" vertical="center" wrapText="1"/>
    </xf>
    <xf borderId="9" fillId="0" fontId="2" numFmtId="0" xfId="0" applyBorder="1" applyFont="1"/>
    <xf borderId="10" fillId="0" fontId="2" numFmtId="0" xfId="0" applyBorder="1" applyFont="1"/>
    <xf borderId="5" fillId="3" fontId="3" numFmtId="0" xfId="0" applyAlignment="1" applyBorder="1" applyFont="1">
      <alignment horizontal="center" shrinkToFit="0" vertical="center" wrapText="1"/>
    </xf>
    <xf borderId="5" fillId="0" fontId="3" numFmtId="3" xfId="0" applyAlignment="1" applyBorder="1" applyFont="1" applyNumberFormat="1">
      <alignment horizontal="center" shrinkToFit="0" vertical="center" wrapText="1"/>
    </xf>
    <xf borderId="5" fillId="0" fontId="3" numFmtId="0" xfId="0" applyAlignment="1" applyBorder="1" applyFont="1">
      <alignment horizontal="center" shrinkToFit="0" vertical="center" wrapText="1"/>
    </xf>
    <xf borderId="6" fillId="2" fontId="3" numFmtId="0" xfId="0" applyAlignment="1" applyBorder="1" applyFont="1">
      <alignment horizontal="center" shrinkToFit="0" vertical="center" wrapText="1"/>
    </xf>
    <xf borderId="5" fillId="5" fontId="1" numFmtId="0" xfId="0" applyAlignment="1" applyBorder="1" applyFill="1" applyFont="1">
      <alignment horizontal="center" shrinkToFit="0" vertical="center" wrapText="1"/>
    </xf>
    <xf borderId="5" fillId="5" fontId="1" numFmtId="164" xfId="0" applyAlignment="1" applyBorder="1" applyFont="1" applyNumberFormat="1">
      <alignment horizontal="center" shrinkToFit="0" vertical="center" wrapText="1"/>
    </xf>
    <xf borderId="0" fillId="0" fontId="1" numFmtId="0" xfId="0" applyAlignment="1" applyFont="1">
      <alignment horizontal="center" shrinkToFit="0" vertical="center" wrapText="1"/>
    </xf>
    <xf borderId="0" fillId="2" fontId="3" numFmtId="0" xfId="0" applyAlignment="1" applyFont="1">
      <alignment horizontal="center" readingOrder="0" shrinkToFit="0" vertical="center" wrapText="1"/>
    </xf>
    <xf borderId="6" fillId="2" fontId="1" numFmtId="0" xfId="0" applyAlignment="1" applyBorder="1" applyFont="1">
      <alignment horizontal="center" readingOrder="0" shrinkToFit="0" vertical="center" wrapText="0"/>
    </xf>
    <xf borderId="0" fillId="0" fontId="3" numFmtId="0" xfId="0" applyAlignment="1" applyFont="1">
      <alignment horizontal="center" shrinkToFit="0" vertical="bottom" wrapText="0"/>
    </xf>
    <xf borderId="5" fillId="3" fontId="1" numFmtId="0" xfId="0" applyAlignment="1" applyBorder="1" applyFont="1">
      <alignment horizontal="center" shrinkToFit="0" vertical="bottom" wrapText="1"/>
    </xf>
    <xf borderId="5" fillId="3" fontId="1" numFmtId="0" xfId="0" applyAlignment="1" applyBorder="1" applyFont="1">
      <alignment horizontal="center" readingOrder="0" shrinkToFit="0" vertical="bottom" wrapText="1"/>
    </xf>
    <xf borderId="5" fillId="4" fontId="3" numFmtId="0" xfId="0" applyAlignment="1" applyBorder="1" applyFont="1">
      <alignment horizontal="center" shrinkToFit="0" vertical="bottom" wrapText="0"/>
    </xf>
    <xf borderId="5" fillId="0" fontId="3" numFmtId="4" xfId="0" applyAlignment="1" applyBorder="1" applyFont="1" applyNumberFormat="1">
      <alignment horizontal="center" shrinkToFit="0" vertical="bottom" wrapText="0"/>
    </xf>
    <xf borderId="5" fillId="0" fontId="3" numFmtId="164" xfId="0" applyAlignment="1" applyBorder="1" applyFont="1" applyNumberFormat="1">
      <alignment horizontal="center" shrinkToFit="0" vertical="bottom" wrapText="0"/>
    </xf>
    <xf borderId="5" fillId="0" fontId="3" numFmtId="165" xfId="0" applyAlignment="1" applyBorder="1" applyFont="1" applyNumberFormat="1">
      <alignment horizontal="center" shrinkToFit="0" vertical="bottom" wrapText="0"/>
    </xf>
    <xf borderId="1" fillId="2" fontId="1" numFmtId="0" xfId="0" applyAlignment="1" applyBorder="1" applyFont="1">
      <alignment horizontal="center" readingOrder="0" shrinkToFit="0" vertical="center" wrapText="0"/>
    </xf>
    <xf borderId="5" fillId="3" fontId="1" numFmtId="4" xfId="0" applyAlignment="1" applyBorder="1" applyFont="1" applyNumberFormat="1">
      <alignment horizontal="center" readingOrder="0" shrinkToFit="0" vertical="bottom" wrapText="1"/>
    </xf>
    <xf borderId="0" fillId="0" fontId="3" numFmtId="165" xfId="0" applyAlignment="1" applyFont="1" applyNumberFormat="1">
      <alignment horizontal="center" shrinkToFit="0" vertical="bottom" wrapText="0"/>
    </xf>
    <xf borderId="0" fillId="0" fontId="3" numFmtId="4" xfId="0" applyAlignment="1" applyFont="1" applyNumberFormat="1">
      <alignment horizontal="center" shrinkToFit="0" vertical="bottom" wrapText="0"/>
    </xf>
    <xf borderId="0" fillId="0" fontId="3" numFmtId="3" xfId="0" applyAlignment="1" applyFont="1" applyNumberFormat="1">
      <alignment horizontal="center" shrinkToFit="0" vertical="bottom" wrapText="0"/>
    </xf>
    <xf borderId="5" fillId="0" fontId="3" numFmtId="3" xfId="0" applyAlignment="1" applyBorder="1" applyFont="1" applyNumberFormat="1">
      <alignment horizontal="center" shrinkToFit="0" vertical="bottom" wrapText="0"/>
    </xf>
    <xf borderId="5" fillId="0" fontId="3" numFmtId="164" xfId="0" applyAlignment="1" applyBorder="1" applyFont="1" applyNumberFormat="1">
      <alignment horizontal="center" shrinkToFit="0" vertical="bottom" wrapText="0"/>
    </xf>
    <xf borderId="0" fillId="2" fontId="3" numFmtId="0" xfId="0" applyAlignment="1" applyFont="1">
      <alignment horizontal="center" readingOrder="0" shrinkToFit="0" vertical="center" wrapText="1"/>
    </xf>
    <xf borderId="1" fillId="2" fontId="1" numFmtId="0" xfId="0" applyAlignment="1" applyBorder="1" applyFont="1">
      <alignment horizontal="center" readingOrder="0" shrinkToFit="0" vertical="bottom" wrapText="0"/>
    </xf>
    <xf borderId="5" fillId="3" fontId="1" numFmtId="0" xfId="0" applyAlignment="1" applyBorder="1" applyFont="1">
      <alignment horizontal="center" readingOrder="0" shrinkToFit="0" vertical="center" wrapText="1"/>
    </xf>
    <xf borderId="5" fillId="0" fontId="3" numFmtId="0" xfId="0" applyAlignment="1" applyBorder="1" applyFont="1">
      <alignment horizontal="center" shrinkToFit="0" vertical="bottom" wrapText="0"/>
    </xf>
    <xf borderId="11" fillId="5" fontId="1" numFmtId="0" xfId="0" applyAlignment="1" applyBorder="1" applyFont="1">
      <alignment horizontal="center" shrinkToFit="0" vertical="bottom" wrapText="0"/>
    </xf>
    <xf borderId="12" fillId="0" fontId="2" numFmtId="0" xfId="0" applyBorder="1" applyFont="1"/>
    <xf borderId="13" fillId="0" fontId="2" numFmtId="0" xfId="0" applyBorder="1" applyFont="1"/>
    <xf borderId="5" fillId="5" fontId="1" numFmtId="165" xfId="0" applyAlignment="1" applyBorder="1" applyFont="1" applyNumberFormat="1">
      <alignment horizontal="center" shrinkToFit="0" vertical="bottom" wrapText="0"/>
    </xf>
    <xf borderId="0" fillId="0" fontId="3" numFmtId="0" xfId="0" applyAlignment="1" applyFont="1">
      <alignment horizontal="center" readingOrder="0" shrinkToFit="0" vertical="bottom" wrapText="0"/>
    </xf>
    <xf borderId="0" fillId="0" fontId="3" numFmtId="0" xfId="0" applyAlignment="1" applyFont="1">
      <alignment horizontal="center" readingOrder="0" shrinkToFit="0" vertical="center" wrapText="1"/>
    </xf>
    <xf borderId="0" fillId="0" fontId="4"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5.0"/>
    <col customWidth="1" min="2" max="2" width="15.0"/>
    <col customWidth="1" min="3" max="6" width="22.0"/>
    <col customWidth="1" min="7" max="7" width="18.0"/>
    <col customWidth="1" min="8" max="8" width="31.88"/>
    <col customWidth="1" min="9" max="10" width="32.38"/>
    <col customWidth="1" min="11" max="11" width="31.5"/>
    <col customWidth="1" min="12" max="12" width="32.5"/>
    <col customWidth="1" min="13" max="13" width="32.25"/>
    <col customWidth="1" min="14" max="14" width="31.88"/>
    <col customWidth="1" min="15" max="15" width="32.38"/>
    <col customWidth="1" min="16" max="17" width="16.0"/>
  </cols>
  <sheetData>
    <row r="1" ht="15.75" customHeight="1">
      <c r="A1" s="1" t="s">
        <v>0</v>
      </c>
      <c r="B1" s="2"/>
      <c r="C1" s="3"/>
      <c r="D1" s="3"/>
      <c r="E1" s="3"/>
      <c r="F1" s="3"/>
      <c r="G1" s="3"/>
      <c r="H1" s="3"/>
      <c r="I1" s="3"/>
      <c r="J1" s="3"/>
      <c r="K1" s="3"/>
      <c r="L1" s="3"/>
      <c r="M1" s="3"/>
      <c r="N1" s="3"/>
      <c r="O1" s="3"/>
      <c r="P1" s="3"/>
      <c r="Q1" s="3"/>
      <c r="R1" s="3"/>
      <c r="S1" s="3"/>
      <c r="T1" s="3"/>
      <c r="U1" s="3"/>
      <c r="V1" s="3"/>
      <c r="W1" s="3"/>
      <c r="X1" s="3"/>
      <c r="Y1" s="3"/>
      <c r="Z1" s="3"/>
    </row>
    <row r="2" ht="15.75" customHeight="1">
      <c r="A2" s="4"/>
      <c r="B2" s="5"/>
      <c r="C2" s="3"/>
      <c r="D2" s="3"/>
      <c r="E2" s="3"/>
      <c r="F2" s="3"/>
      <c r="G2" s="3"/>
      <c r="H2" s="3"/>
      <c r="I2" s="3"/>
      <c r="J2" s="3"/>
      <c r="K2" s="3"/>
      <c r="L2" s="3"/>
      <c r="M2" s="3"/>
      <c r="N2" s="3"/>
      <c r="O2" s="3"/>
      <c r="P2" s="3"/>
      <c r="Q2" s="3"/>
      <c r="R2" s="3"/>
      <c r="S2" s="3"/>
      <c r="T2" s="3"/>
      <c r="U2" s="3"/>
      <c r="V2" s="3"/>
      <c r="W2" s="3"/>
      <c r="X2" s="3"/>
      <c r="Y2" s="3"/>
      <c r="Z2" s="3"/>
    </row>
    <row r="3" ht="15.75" customHeight="1">
      <c r="A3" s="6" t="s">
        <v>1</v>
      </c>
      <c r="B3" s="6" t="s">
        <v>2</v>
      </c>
      <c r="C3" s="3"/>
      <c r="D3" s="3"/>
      <c r="E3" s="3"/>
      <c r="F3" s="3"/>
      <c r="G3" s="3"/>
      <c r="H3" s="3"/>
      <c r="I3" s="3"/>
      <c r="J3" s="3"/>
      <c r="K3" s="3"/>
      <c r="L3" s="3"/>
      <c r="M3" s="3"/>
      <c r="N3" s="3"/>
      <c r="O3" s="3"/>
      <c r="P3" s="3"/>
      <c r="Q3" s="3"/>
      <c r="R3" s="3"/>
      <c r="S3" s="3"/>
      <c r="T3" s="3"/>
      <c r="U3" s="3"/>
      <c r="V3" s="3"/>
      <c r="W3" s="3"/>
      <c r="X3" s="3"/>
      <c r="Y3" s="3"/>
      <c r="Z3" s="3"/>
    </row>
    <row r="4" ht="15.75" customHeight="1">
      <c r="A4" s="7" t="s">
        <v>3</v>
      </c>
      <c r="B4" s="8">
        <v>2200000.0</v>
      </c>
      <c r="C4" s="3"/>
      <c r="D4" s="3"/>
      <c r="E4" s="3"/>
      <c r="F4" s="3"/>
      <c r="G4" s="3"/>
      <c r="H4" s="3"/>
      <c r="I4" s="3"/>
      <c r="J4" s="3"/>
      <c r="K4" s="3"/>
      <c r="L4" s="3"/>
      <c r="M4" s="3"/>
      <c r="N4" s="3"/>
      <c r="O4" s="3"/>
      <c r="P4" s="3"/>
      <c r="Q4" s="3"/>
      <c r="R4" s="3"/>
      <c r="S4" s="3"/>
      <c r="T4" s="3"/>
      <c r="U4" s="3"/>
      <c r="V4" s="3"/>
      <c r="W4" s="3"/>
      <c r="X4" s="3"/>
      <c r="Y4" s="3"/>
      <c r="Z4" s="3"/>
    </row>
    <row r="5" ht="15.75" customHeight="1">
      <c r="A5" s="7" t="s">
        <v>4</v>
      </c>
      <c r="B5" s="8">
        <v>4000000.0</v>
      </c>
      <c r="C5" s="3"/>
      <c r="D5" s="3"/>
      <c r="E5" s="3"/>
      <c r="F5" s="3"/>
      <c r="G5" s="3"/>
      <c r="H5" s="3"/>
      <c r="I5" s="3"/>
      <c r="J5" s="3"/>
      <c r="K5" s="3"/>
      <c r="L5" s="3"/>
      <c r="M5" s="3"/>
      <c r="N5" s="3"/>
      <c r="O5" s="3"/>
      <c r="P5" s="3"/>
      <c r="Q5" s="3"/>
      <c r="R5" s="3"/>
      <c r="S5" s="3"/>
      <c r="T5" s="3"/>
      <c r="U5" s="3"/>
      <c r="V5" s="3"/>
      <c r="W5" s="3"/>
      <c r="X5" s="3"/>
      <c r="Y5" s="3"/>
      <c r="Z5" s="3"/>
    </row>
    <row r="6" ht="15.75" customHeight="1">
      <c r="A6" s="7" t="s">
        <v>5</v>
      </c>
      <c r="B6" s="8">
        <v>2400000.0</v>
      </c>
      <c r="C6" s="3"/>
      <c r="D6" s="3"/>
      <c r="E6" s="3"/>
      <c r="F6" s="3"/>
      <c r="G6" s="3"/>
      <c r="H6" s="3"/>
      <c r="I6" s="3"/>
      <c r="J6" s="3"/>
      <c r="K6" s="3"/>
      <c r="L6" s="3"/>
      <c r="M6" s="3"/>
      <c r="N6" s="3"/>
      <c r="O6" s="3"/>
      <c r="P6" s="3"/>
      <c r="Q6" s="3"/>
      <c r="R6" s="3"/>
      <c r="S6" s="3"/>
      <c r="T6" s="3"/>
      <c r="U6" s="3"/>
      <c r="V6" s="3"/>
      <c r="W6" s="3"/>
      <c r="X6" s="3"/>
      <c r="Y6" s="3"/>
      <c r="Z6" s="3"/>
    </row>
    <row r="7" ht="15.75" customHeight="1">
      <c r="A7" s="7" t="s">
        <v>6</v>
      </c>
      <c r="B7" s="8">
        <v>4500000.0</v>
      </c>
      <c r="C7" s="3"/>
      <c r="D7" s="3"/>
      <c r="E7" s="3"/>
      <c r="F7" s="3"/>
      <c r="G7" s="3"/>
      <c r="H7" s="3"/>
      <c r="I7" s="3"/>
      <c r="J7" s="3"/>
      <c r="K7" s="3"/>
      <c r="L7" s="3"/>
      <c r="M7" s="3"/>
      <c r="N7" s="3"/>
      <c r="O7" s="3"/>
      <c r="P7" s="3"/>
      <c r="Q7" s="3"/>
      <c r="R7" s="3"/>
      <c r="S7" s="3"/>
      <c r="T7" s="3"/>
      <c r="U7" s="3"/>
      <c r="V7" s="3"/>
      <c r="W7" s="3"/>
      <c r="X7" s="3"/>
      <c r="Y7" s="3"/>
      <c r="Z7" s="3"/>
    </row>
    <row r="8" ht="15.75" customHeight="1">
      <c r="A8" s="7" t="s">
        <v>7</v>
      </c>
      <c r="B8" s="9">
        <v>15.0</v>
      </c>
      <c r="C8" s="3"/>
      <c r="D8" s="3"/>
      <c r="E8" s="3"/>
      <c r="F8" s="3"/>
      <c r="G8" s="3"/>
      <c r="H8" s="3"/>
      <c r="I8" s="3"/>
      <c r="J8" s="3"/>
      <c r="K8" s="3"/>
      <c r="L8" s="3"/>
      <c r="M8" s="3"/>
      <c r="N8" s="3"/>
      <c r="O8" s="3"/>
      <c r="P8" s="3"/>
      <c r="Q8" s="3"/>
      <c r="R8" s="3"/>
      <c r="S8" s="3"/>
      <c r="T8" s="3"/>
      <c r="U8" s="3"/>
      <c r="V8" s="3"/>
      <c r="W8" s="3"/>
      <c r="X8" s="3"/>
      <c r="Y8" s="3"/>
      <c r="Z8" s="3"/>
    </row>
    <row r="9" ht="15.75" customHeight="1">
      <c r="A9" s="7" t="s">
        <v>8</v>
      </c>
      <c r="B9" s="9">
        <v>20.0</v>
      </c>
      <c r="C9" s="3"/>
      <c r="D9" s="3"/>
      <c r="E9" s="3"/>
      <c r="F9" s="3"/>
      <c r="G9" s="3"/>
      <c r="H9" s="3"/>
      <c r="I9" s="3"/>
      <c r="J9" s="3"/>
      <c r="K9" s="3"/>
      <c r="L9" s="3"/>
      <c r="M9" s="3"/>
      <c r="N9" s="3"/>
      <c r="O9" s="3"/>
      <c r="P9" s="3"/>
      <c r="Q9" s="3"/>
      <c r="R9" s="3"/>
      <c r="S9" s="3"/>
      <c r="T9" s="3"/>
      <c r="U9" s="3"/>
      <c r="V9" s="3"/>
      <c r="W9" s="3"/>
      <c r="X9" s="3"/>
      <c r="Y9" s="3"/>
      <c r="Z9" s="3"/>
    </row>
    <row r="10" ht="15.75" customHeight="1">
      <c r="A10" s="7" t="s">
        <v>9</v>
      </c>
      <c r="B10" s="9">
        <v>2.0</v>
      </c>
      <c r="C10" s="3"/>
      <c r="D10" s="3"/>
      <c r="E10" s="3"/>
      <c r="F10" s="3"/>
      <c r="G10" s="3"/>
      <c r="H10" s="3"/>
      <c r="I10" s="3"/>
      <c r="J10" s="3"/>
      <c r="K10" s="3"/>
      <c r="L10" s="3"/>
      <c r="M10" s="3"/>
      <c r="N10" s="3"/>
      <c r="O10" s="3"/>
      <c r="P10" s="3"/>
      <c r="Q10" s="3"/>
      <c r="R10" s="3"/>
      <c r="S10" s="3"/>
      <c r="T10" s="3"/>
      <c r="U10" s="3"/>
      <c r="V10" s="3"/>
      <c r="W10" s="3"/>
      <c r="X10" s="3"/>
      <c r="Y10" s="3"/>
      <c r="Z10" s="3"/>
    </row>
    <row r="11" ht="15.75" customHeight="1">
      <c r="A11" s="7" t="s">
        <v>10</v>
      </c>
      <c r="B11" s="9">
        <v>40.0</v>
      </c>
      <c r="C11" s="3"/>
      <c r="D11" s="3"/>
      <c r="E11" s="3"/>
      <c r="F11" s="3"/>
      <c r="G11" s="3"/>
      <c r="H11" s="3"/>
      <c r="I11" s="3"/>
      <c r="J11" s="3"/>
      <c r="K11" s="3"/>
      <c r="L11" s="3"/>
      <c r="M11" s="3"/>
      <c r="N11" s="3"/>
      <c r="O11" s="3"/>
      <c r="P11" s="3"/>
      <c r="Q11" s="3"/>
      <c r="R11" s="3"/>
      <c r="S11" s="3"/>
      <c r="T11" s="3"/>
      <c r="U11" s="3"/>
      <c r="V11" s="3"/>
      <c r="W11" s="3"/>
      <c r="X11" s="3"/>
      <c r="Y11" s="3"/>
      <c r="Z11" s="3"/>
    </row>
    <row r="12" ht="15.75" customHeight="1">
      <c r="A12" s="7" t="s">
        <v>11</v>
      </c>
      <c r="B12" s="8">
        <v>0.5</v>
      </c>
      <c r="C12" s="3"/>
      <c r="D12" s="3"/>
      <c r="E12" s="3"/>
      <c r="F12" s="3"/>
      <c r="G12" s="3"/>
      <c r="H12" s="3"/>
      <c r="I12" s="3"/>
      <c r="J12" s="3"/>
      <c r="K12" s="3"/>
      <c r="L12" s="3"/>
      <c r="M12" s="3"/>
      <c r="N12" s="3"/>
      <c r="O12" s="3"/>
      <c r="P12" s="3"/>
      <c r="Q12" s="3"/>
      <c r="R12" s="3"/>
      <c r="S12" s="3"/>
      <c r="T12" s="3"/>
      <c r="U12" s="3"/>
      <c r="V12" s="3"/>
      <c r="W12" s="3"/>
      <c r="X12" s="3"/>
      <c r="Y12" s="3"/>
      <c r="Z12" s="3"/>
    </row>
    <row r="13" ht="15.75" customHeight="1">
      <c r="A13" s="7" t="s">
        <v>12</v>
      </c>
      <c r="B13" s="8">
        <v>0.5</v>
      </c>
      <c r="C13" s="3"/>
      <c r="D13" s="3"/>
      <c r="E13" s="3"/>
      <c r="F13" s="3"/>
      <c r="G13" s="3"/>
      <c r="H13" s="3"/>
      <c r="I13" s="3"/>
      <c r="J13" s="3"/>
      <c r="K13" s="3"/>
      <c r="L13" s="3"/>
      <c r="M13" s="3"/>
      <c r="N13" s="3"/>
      <c r="O13" s="3"/>
      <c r="P13" s="3"/>
      <c r="Q13" s="3"/>
      <c r="R13" s="3"/>
      <c r="S13" s="3"/>
      <c r="T13" s="3"/>
      <c r="U13" s="3"/>
      <c r="V13" s="3"/>
      <c r="W13" s="3"/>
      <c r="X13" s="3"/>
      <c r="Y13" s="3"/>
      <c r="Z13" s="3"/>
    </row>
    <row r="14" ht="15.75" customHeight="1">
      <c r="A14" s="7" t="s">
        <v>13</v>
      </c>
      <c r="B14" s="8">
        <v>0.6</v>
      </c>
      <c r="C14" s="3"/>
      <c r="D14" s="3"/>
      <c r="E14" s="3"/>
      <c r="F14" s="3"/>
      <c r="G14" s="3"/>
      <c r="H14" s="3"/>
      <c r="I14" s="3"/>
      <c r="J14" s="3"/>
      <c r="K14" s="3"/>
      <c r="L14" s="3"/>
      <c r="M14" s="3"/>
      <c r="N14" s="3"/>
      <c r="O14" s="3"/>
      <c r="P14" s="3"/>
      <c r="Q14" s="3"/>
      <c r="R14" s="3"/>
      <c r="S14" s="3"/>
      <c r="T14" s="3"/>
      <c r="U14" s="3"/>
      <c r="V14" s="3"/>
      <c r="W14" s="3"/>
      <c r="X14" s="3"/>
      <c r="Y14" s="3"/>
      <c r="Z14" s="3"/>
    </row>
    <row r="15" ht="15.75" customHeight="1">
      <c r="A15" s="7" t="s">
        <v>14</v>
      </c>
      <c r="B15" s="8">
        <v>0.4</v>
      </c>
      <c r="C15" s="3"/>
      <c r="D15" s="3"/>
      <c r="E15" s="3"/>
      <c r="F15" s="3"/>
      <c r="G15" s="3"/>
      <c r="H15" s="3"/>
      <c r="I15" s="3"/>
      <c r="J15" s="3"/>
      <c r="K15" s="3"/>
      <c r="L15" s="3"/>
      <c r="M15" s="3"/>
      <c r="N15" s="3"/>
      <c r="O15" s="3"/>
      <c r="P15" s="3"/>
      <c r="Q15" s="3"/>
      <c r="R15" s="3"/>
      <c r="S15" s="3"/>
      <c r="T15" s="3"/>
      <c r="U15" s="3"/>
      <c r="V15" s="3"/>
      <c r="W15" s="3"/>
      <c r="X15" s="3"/>
      <c r="Y15" s="3"/>
      <c r="Z15" s="3"/>
    </row>
    <row r="16" ht="15.75" customHeight="1">
      <c r="A16" s="7" t="s">
        <v>15</v>
      </c>
      <c r="B16" s="8">
        <v>2000000.0</v>
      </c>
      <c r="C16" s="3"/>
      <c r="D16" s="3"/>
      <c r="E16" s="3"/>
      <c r="F16" s="3"/>
      <c r="G16" s="3"/>
      <c r="H16" s="3"/>
      <c r="I16" s="3"/>
      <c r="J16" s="3"/>
      <c r="K16" s="3"/>
      <c r="L16" s="3"/>
      <c r="M16" s="3"/>
      <c r="N16" s="3"/>
      <c r="O16" s="3"/>
      <c r="P16" s="3"/>
      <c r="Q16" s="3"/>
      <c r="R16" s="3"/>
      <c r="S16" s="3"/>
      <c r="T16" s="3"/>
      <c r="U16" s="3"/>
      <c r="V16" s="3"/>
      <c r="W16" s="3"/>
      <c r="X16" s="3"/>
      <c r="Y16" s="3"/>
      <c r="Z16" s="3"/>
    </row>
    <row r="17" ht="15.75" customHeight="1">
      <c r="A17" s="7" t="s">
        <v>16</v>
      </c>
      <c r="B17" s="9">
        <v>1.7E7</v>
      </c>
      <c r="C17" s="3"/>
      <c r="D17" s="3"/>
      <c r="E17" s="3"/>
      <c r="F17" s="3"/>
      <c r="G17" s="3"/>
      <c r="H17" s="3"/>
      <c r="I17" s="3"/>
      <c r="J17" s="3"/>
      <c r="K17" s="3"/>
      <c r="L17" s="3"/>
      <c r="M17" s="3"/>
      <c r="N17" s="3"/>
      <c r="O17" s="3"/>
      <c r="P17" s="3"/>
      <c r="Q17" s="3"/>
      <c r="R17" s="3"/>
      <c r="S17" s="3"/>
      <c r="T17" s="3"/>
      <c r="U17" s="3"/>
      <c r="V17" s="3"/>
      <c r="W17" s="3"/>
      <c r="X17" s="3"/>
      <c r="Y17" s="3"/>
      <c r="Z17" s="3"/>
    </row>
    <row r="18" ht="15.75" customHeight="1">
      <c r="A18" s="7" t="s">
        <v>17</v>
      </c>
      <c r="B18" s="8">
        <v>1500000.0</v>
      </c>
      <c r="C18" s="3"/>
      <c r="D18" s="3"/>
      <c r="E18" s="3"/>
      <c r="F18" s="3"/>
      <c r="G18" s="3"/>
      <c r="H18" s="3"/>
      <c r="I18" s="3"/>
      <c r="J18" s="3"/>
      <c r="K18" s="3"/>
      <c r="L18" s="3"/>
      <c r="M18" s="3"/>
      <c r="N18" s="3"/>
      <c r="O18" s="3"/>
      <c r="P18" s="3"/>
      <c r="Q18" s="3"/>
      <c r="R18" s="3"/>
      <c r="S18" s="3"/>
      <c r="T18" s="3"/>
      <c r="U18" s="3"/>
      <c r="V18" s="3"/>
      <c r="W18" s="3"/>
      <c r="X18" s="3"/>
      <c r="Y18" s="3"/>
      <c r="Z18" s="3"/>
    </row>
    <row r="19" ht="15.75" customHeight="1">
      <c r="A19" s="7" t="s">
        <v>18</v>
      </c>
      <c r="B19" s="9">
        <v>1.5E7</v>
      </c>
      <c r="C19" s="3"/>
      <c r="D19" s="3"/>
      <c r="E19" s="3"/>
      <c r="F19" s="3"/>
      <c r="G19" s="3"/>
      <c r="H19" s="3"/>
      <c r="I19" s="3"/>
      <c r="J19" s="3"/>
      <c r="K19" s="3"/>
      <c r="L19" s="3"/>
      <c r="M19" s="3"/>
      <c r="N19" s="3"/>
      <c r="O19" s="3"/>
      <c r="P19" s="3"/>
      <c r="Q19" s="3"/>
      <c r="R19" s="3"/>
      <c r="S19" s="3"/>
      <c r="T19" s="3"/>
      <c r="U19" s="3"/>
      <c r="V19" s="3"/>
      <c r="W19" s="3"/>
      <c r="X19" s="3"/>
      <c r="Y19" s="3"/>
      <c r="Z19" s="3"/>
    </row>
    <row r="20" ht="15.75" customHeight="1">
      <c r="A20" s="7" t="s">
        <v>19</v>
      </c>
      <c r="B20" s="10">
        <v>0.1</v>
      </c>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11" t="s">
        <v>20</v>
      </c>
      <c r="B22" s="12"/>
      <c r="C22" s="12"/>
      <c r="D22" s="12"/>
      <c r="E22" s="13"/>
      <c r="F22" s="3"/>
      <c r="G22" s="3"/>
      <c r="H22" s="3"/>
      <c r="I22" s="3"/>
      <c r="J22" s="3"/>
      <c r="K22" s="3"/>
      <c r="L22" s="3"/>
      <c r="M22" s="3"/>
      <c r="N22" s="3"/>
      <c r="O22" s="3"/>
      <c r="P22" s="3"/>
      <c r="Q22" s="3"/>
      <c r="R22" s="3"/>
      <c r="S22" s="3"/>
      <c r="T22" s="3"/>
      <c r="U22" s="3"/>
      <c r="V22" s="3"/>
      <c r="W22" s="3"/>
      <c r="X22" s="3"/>
      <c r="Y22" s="3"/>
      <c r="Z22" s="3"/>
    </row>
    <row r="23" ht="15.75" customHeight="1">
      <c r="A23" s="14" t="s">
        <v>21</v>
      </c>
      <c r="B23" s="12"/>
      <c r="C23" s="12"/>
      <c r="D23" s="12"/>
      <c r="E23" s="13"/>
      <c r="F23" s="3"/>
      <c r="G23" s="3"/>
      <c r="H23" s="3"/>
      <c r="I23" s="3"/>
      <c r="J23" s="3"/>
      <c r="K23" s="3"/>
      <c r="L23" s="3"/>
      <c r="M23" s="3"/>
      <c r="N23" s="3"/>
      <c r="O23" s="3"/>
      <c r="P23" s="3"/>
      <c r="Q23" s="3"/>
      <c r="R23" s="3"/>
      <c r="S23" s="3"/>
      <c r="T23" s="3"/>
      <c r="U23" s="3"/>
      <c r="V23" s="3"/>
      <c r="W23" s="3"/>
      <c r="X23" s="3"/>
      <c r="Y23" s="3"/>
      <c r="Z23" s="3"/>
    </row>
    <row r="24" ht="15.75" customHeight="1">
      <c r="A24" s="6" t="s">
        <v>22</v>
      </c>
      <c r="B24" s="6" t="s">
        <v>23</v>
      </c>
      <c r="C24" s="6" t="s">
        <v>24</v>
      </c>
      <c r="D24" s="6" t="s">
        <v>25</v>
      </c>
      <c r="E24" s="6" t="s">
        <v>26</v>
      </c>
      <c r="F24" s="3"/>
      <c r="G24" s="3"/>
      <c r="H24" s="3"/>
      <c r="I24" s="3"/>
      <c r="J24" s="3"/>
      <c r="K24" s="3"/>
      <c r="L24" s="3"/>
      <c r="M24" s="3"/>
      <c r="N24" s="3"/>
      <c r="O24" s="3"/>
      <c r="P24" s="3"/>
      <c r="Q24" s="3"/>
      <c r="R24" s="3"/>
      <c r="S24" s="3"/>
      <c r="T24" s="3"/>
      <c r="U24" s="3"/>
      <c r="V24" s="3"/>
      <c r="W24" s="3"/>
      <c r="X24" s="3"/>
      <c r="Y24" s="3"/>
      <c r="Z24" s="3"/>
    </row>
    <row r="25" ht="15.75" customHeight="1">
      <c r="A25" s="7" t="s">
        <v>27</v>
      </c>
      <c r="B25" s="9">
        <v>40.0</v>
      </c>
      <c r="C25" s="9">
        <v>15.0</v>
      </c>
      <c r="D25" s="9">
        <v>0.0</v>
      </c>
      <c r="E25" s="9">
        <f t="shared" ref="E25:E28" si="1">B25-C25-D25</f>
        <v>25</v>
      </c>
      <c r="F25" s="3"/>
      <c r="G25" s="3"/>
      <c r="H25" s="3"/>
      <c r="I25" s="3"/>
      <c r="J25" s="3"/>
      <c r="K25" s="3"/>
      <c r="L25" s="3"/>
      <c r="M25" s="3"/>
      <c r="N25" s="3"/>
      <c r="O25" s="3"/>
      <c r="P25" s="3"/>
      <c r="Q25" s="3"/>
      <c r="R25" s="3"/>
      <c r="S25" s="3"/>
      <c r="T25" s="3"/>
      <c r="U25" s="3"/>
      <c r="V25" s="3"/>
      <c r="W25" s="3"/>
      <c r="X25" s="3"/>
      <c r="Y25" s="3"/>
      <c r="Z25" s="3"/>
    </row>
    <row r="26" ht="15.75" customHeight="1">
      <c r="A26" s="7" t="s">
        <v>28</v>
      </c>
      <c r="B26" s="9">
        <v>40.0</v>
      </c>
      <c r="C26" s="9">
        <v>15.0</v>
      </c>
      <c r="D26" s="9">
        <v>2.0</v>
      </c>
      <c r="E26" s="9">
        <f t="shared" si="1"/>
        <v>23</v>
      </c>
      <c r="F26" s="3"/>
      <c r="G26" s="3"/>
      <c r="H26" s="3"/>
      <c r="I26" s="3"/>
      <c r="J26" s="3"/>
      <c r="K26" s="3"/>
      <c r="L26" s="3"/>
      <c r="M26" s="3"/>
      <c r="N26" s="3"/>
      <c r="O26" s="3"/>
      <c r="P26" s="3"/>
      <c r="Q26" s="3"/>
      <c r="R26" s="3"/>
      <c r="S26" s="3"/>
      <c r="T26" s="3"/>
      <c r="U26" s="3"/>
      <c r="V26" s="3"/>
      <c r="W26" s="3"/>
      <c r="X26" s="3"/>
      <c r="Y26" s="3"/>
      <c r="Z26" s="3"/>
    </row>
    <row r="27" ht="15.75" customHeight="1">
      <c r="A27" s="7" t="s">
        <v>29</v>
      </c>
      <c r="B27" s="9">
        <v>40.0</v>
      </c>
      <c r="C27" s="9">
        <v>20.0</v>
      </c>
      <c r="D27" s="9">
        <v>2.0</v>
      </c>
      <c r="E27" s="9">
        <f t="shared" si="1"/>
        <v>18</v>
      </c>
      <c r="F27" s="3"/>
      <c r="G27" s="3"/>
      <c r="H27" s="3"/>
      <c r="I27" s="3"/>
      <c r="J27" s="3"/>
      <c r="K27" s="3"/>
      <c r="L27" s="3"/>
      <c r="M27" s="3"/>
      <c r="N27" s="3"/>
      <c r="O27" s="3"/>
      <c r="P27" s="3"/>
      <c r="Q27" s="3"/>
      <c r="R27" s="3"/>
      <c r="S27" s="3"/>
      <c r="T27" s="3"/>
      <c r="U27" s="3"/>
      <c r="V27" s="3"/>
      <c r="W27" s="3"/>
      <c r="X27" s="3"/>
      <c r="Y27" s="3"/>
      <c r="Z27" s="3"/>
    </row>
    <row r="28" ht="15.75" customHeight="1">
      <c r="A28" s="7" t="s">
        <v>30</v>
      </c>
      <c r="B28" s="9">
        <v>40.0</v>
      </c>
      <c r="C28" s="9">
        <v>20.0</v>
      </c>
      <c r="D28" s="9">
        <v>0.0</v>
      </c>
      <c r="E28" s="9">
        <f t="shared" si="1"/>
        <v>20</v>
      </c>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1" t="s">
        <v>31</v>
      </c>
      <c r="B30" s="15"/>
      <c r="C30" s="15"/>
      <c r="D30" s="2"/>
      <c r="E30" s="3"/>
      <c r="F30" s="3"/>
      <c r="G30" s="3"/>
      <c r="H30" s="3"/>
      <c r="I30" s="3"/>
      <c r="J30" s="3"/>
      <c r="K30" s="3"/>
      <c r="L30" s="3"/>
      <c r="M30" s="3"/>
      <c r="N30" s="3"/>
      <c r="O30" s="3"/>
      <c r="P30" s="3"/>
      <c r="Q30" s="3"/>
      <c r="R30" s="3"/>
      <c r="S30" s="3"/>
      <c r="T30" s="3"/>
      <c r="U30" s="3"/>
      <c r="V30" s="3"/>
      <c r="W30" s="3"/>
      <c r="X30" s="3"/>
      <c r="Y30" s="3"/>
      <c r="Z30" s="3"/>
    </row>
    <row r="31" ht="15.75" customHeight="1">
      <c r="A31" s="4"/>
      <c r="B31" s="16"/>
      <c r="C31" s="16"/>
      <c r="D31" s="5"/>
      <c r="E31" s="3"/>
      <c r="F31" s="3"/>
      <c r="G31" s="3"/>
      <c r="H31" s="3"/>
      <c r="I31" s="3"/>
      <c r="J31" s="3"/>
      <c r="K31" s="3"/>
      <c r="L31" s="3"/>
      <c r="M31" s="3"/>
      <c r="N31" s="3"/>
      <c r="O31" s="3"/>
      <c r="P31" s="3"/>
      <c r="Q31" s="3"/>
      <c r="R31" s="3"/>
      <c r="S31" s="3"/>
      <c r="T31" s="3"/>
      <c r="U31" s="3"/>
      <c r="V31" s="3"/>
      <c r="W31" s="3"/>
      <c r="X31" s="3"/>
      <c r="Y31" s="3"/>
      <c r="Z31" s="3"/>
    </row>
    <row r="32" ht="15.75" customHeight="1">
      <c r="A32" s="17"/>
      <c r="B32" s="6" t="s">
        <v>32</v>
      </c>
      <c r="C32" s="6" t="s">
        <v>33</v>
      </c>
      <c r="D32" s="6" t="s">
        <v>34</v>
      </c>
      <c r="E32" s="3"/>
      <c r="F32" s="3"/>
      <c r="G32" s="3"/>
      <c r="H32" s="3"/>
      <c r="I32" s="3"/>
      <c r="J32" s="3"/>
      <c r="K32" s="3"/>
      <c r="L32" s="3"/>
      <c r="M32" s="3"/>
      <c r="N32" s="3"/>
      <c r="O32" s="3"/>
      <c r="P32" s="3"/>
      <c r="Q32" s="3"/>
      <c r="R32" s="3"/>
      <c r="S32" s="3"/>
      <c r="T32" s="3"/>
      <c r="U32" s="3"/>
      <c r="V32" s="3"/>
      <c r="W32" s="3"/>
      <c r="X32" s="3"/>
      <c r="Y32" s="3"/>
      <c r="Z32" s="3"/>
    </row>
    <row r="33" ht="15.75" customHeight="1">
      <c r="A33" s="7" t="s">
        <v>35</v>
      </c>
      <c r="B33" s="18">
        <v>2400000.0</v>
      </c>
      <c r="C33" s="18">
        <v>4500000.0</v>
      </c>
      <c r="D33" s="19" t="s">
        <v>36</v>
      </c>
      <c r="E33" s="3"/>
      <c r="F33" s="3"/>
      <c r="G33" s="3"/>
      <c r="H33" s="3"/>
      <c r="I33" s="3"/>
      <c r="J33" s="3"/>
      <c r="K33" s="3"/>
      <c r="L33" s="3"/>
      <c r="M33" s="3"/>
      <c r="N33" s="3"/>
      <c r="O33" s="3"/>
      <c r="P33" s="3"/>
      <c r="Q33" s="3"/>
      <c r="R33" s="3"/>
      <c r="S33" s="3"/>
      <c r="T33" s="3"/>
      <c r="U33" s="3"/>
      <c r="V33" s="3"/>
      <c r="W33" s="3"/>
      <c r="X33" s="3"/>
      <c r="Y33" s="3"/>
      <c r="Z33" s="3"/>
    </row>
    <row r="34" ht="15.75" customHeight="1">
      <c r="A34" s="7" t="s">
        <v>37</v>
      </c>
      <c r="B34" s="18">
        <f>B33+B16</f>
        <v>4400000</v>
      </c>
      <c r="C34" s="18">
        <v>4500000.0</v>
      </c>
      <c r="D34" s="19" t="s">
        <v>38</v>
      </c>
      <c r="E34" s="3"/>
      <c r="F34" s="3"/>
      <c r="G34" s="3"/>
      <c r="H34" s="3"/>
      <c r="I34" s="3"/>
      <c r="J34" s="3"/>
      <c r="K34" s="3"/>
      <c r="L34" s="3"/>
      <c r="M34" s="3"/>
      <c r="N34" s="3"/>
      <c r="O34" s="3"/>
      <c r="P34" s="3"/>
      <c r="Q34" s="3"/>
      <c r="R34" s="3"/>
      <c r="S34" s="3"/>
      <c r="T34" s="3"/>
      <c r="U34" s="3"/>
      <c r="V34" s="3"/>
      <c r="W34" s="3"/>
      <c r="X34" s="3"/>
      <c r="Y34" s="3"/>
      <c r="Z34" s="3"/>
    </row>
    <row r="35" ht="15.75" customHeight="1">
      <c r="A35" s="7" t="s">
        <v>39</v>
      </c>
      <c r="B35" s="18">
        <f>B33+B18</f>
        <v>3900000</v>
      </c>
      <c r="C35" s="18">
        <v>4500000.0</v>
      </c>
      <c r="D35" s="19" t="s">
        <v>38</v>
      </c>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21.0" customHeight="1">
      <c r="A37" s="11" t="s">
        <v>40</v>
      </c>
      <c r="B37" s="13"/>
      <c r="C37" s="3"/>
      <c r="D37" s="3"/>
      <c r="E37" s="3"/>
      <c r="F37" s="3"/>
      <c r="G37" s="3"/>
      <c r="H37" s="3"/>
      <c r="I37" s="3"/>
      <c r="J37" s="3"/>
      <c r="K37" s="3"/>
      <c r="L37" s="3"/>
      <c r="M37" s="3"/>
      <c r="N37" s="3"/>
      <c r="O37" s="3"/>
      <c r="P37" s="3"/>
      <c r="Q37" s="3"/>
      <c r="R37" s="3"/>
      <c r="S37" s="3"/>
      <c r="T37" s="3"/>
      <c r="U37" s="3"/>
      <c r="V37" s="3"/>
      <c r="W37" s="3"/>
      <c r="X37" s="3"/>
      <c r="Y37" s="3"/>
      <c r="Z37" s="3"/>
    </row>
    <row r="38" ht="100.5" customHeight="1">
      <c r="A38" s="20" t="s">
        <v>41</v>
      </c>
      <c r="B38" s="1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6" t="s">
        <v>42</v>
      </c>
      <c r="B39" s="6"/>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7" t="s">
        <v>27</v>
      </c>
      <c r="B40" s="8">
        <f>MIN(B6, B4)</f>
        <v>2200000</v>
      </c>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7" t="s">
        <v>28</v>
      </c>
      <c r="B41" s="8">
        <f>MIN((B6-B40), B5)</f>
        <v>200000</v>
      </c>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7" t="s">
        <v>30</v>
      </c>
      <c r="B42" s="8">
        <f>MIN(B7, B5-B41)</f>
        <v>3800000</v>
      </c>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7" t="s">
        <v>29</v>
      </c>
      <c r="B43" s="8">
        <f>MIN(B7-B42, B4-B40)</f>
        <v>0</v>
      </c>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21" t="s">
        <v>43</v>
      </c>
      <c r="B44" s="22">
        <f>(B40*E25) + (B41*E26) +(B42*E28) +(B43*E27)</f>
        <v>135600000</v>
      </c>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23"/>
      <c r="B45" s="2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11" t="s">
        <v>44</v>
      </c>
      <c r="B46" s="12"/>
      <c r="C46" s="12"/>
      <c r="D46" s="13"/>
      <c r="E46" s="3"/>
      <c r="F46" s="3"/>
      <c r="G46" s="3"/>
      <c r="H46" s="3"/>
      <c r="I46" s="3"/>
      <c r="J46" s="3"/>
      <c r="K46" s="3"/>
      <c r="L46" s="3"/>
      <c r="M46" s="3"/>
      <c r="N46" s="3"/>
      <c r="O46" s="3"/>
      <c r="P46" s="3"/>
      <c r="Q46" s="3"/>
      <c r="R46" s="3"/>
      <c r="S46" s="3"/>
      <c r="T46" s="3"/>
      <c r="U46" s="3"/>
      <c r="V46" s="3"/>
      <c r="W46" s="3"/>
      <c r="X46" s="3"/>
      <c r="Y46" s="3"/>
      <c r="Z46" s="3"/>
    </row>
    <row r="47" ht="15.75" customHeight="1">
      <c r="A47" s="6" t="s">
        <v>45</v>
      </c>
      <c r="B47" s="6" t="s">
        <v>46</v>
      </c>
      <c r="C47" s="6" t="s">
        <v>47</v>
      </c>
      <c r="D47" s="6" t="s">
        <v>48</v>
      </c>
      <c r="E47" s="3"/>
      <c r="F47" s="3"/>
      <c r="G47" s="3"/>
      <c r="H47" s="3"/>
      <c r="I47" s="3"/>
      <c r="J47" s="3"/>
      <c r="K47" s="3"/>
      <c r="L47" s="3"/>
      <c r="M47" s="3"/>
      <c r="N47" s="3"/>
      <c r="O47" s="3"/>
      <c r="P47" s="3"/>
      <c r="Q47" s="3"/>
      <c r="R47" s="3"/>
      <c r="S47" s="3"/>
      <c r="T47" s="3"/>
      <c r="U47" s="3"/>
      <c r="V47" s="3"/>
      <c r="W47" s="3"/>
      <c r="X47" s="3"/>
      <c r="Y47" s="3"/>
      <c r="Z47" s="3"/>
    </row>
    <row r="48" ht="15.75" customHeight="1">
      <c r="A48" s="7" t="s">
        <v>49</v>
      </c>
      <c r="B48" s="8">
        <f>B4*(1+40%)</f>
        <v>3080000</v>
      </c>
      <c r="C48" s="8">
        <f>B5*(1+10%)</f>
        <v>4400000</v>
      </c>
      <c r="D48" s="19">
        <f>B12*B14</f>
        <v>0.3</v>
      </c>
      <c r="E48" s="3"/>
      <c r="F48" s="3"/>
      <c r="G48" s="3"/>
      <c r="H48" s="3"/>
      <c r="I48" s="3"/>
      <c r="J48" s="3"/>
      <c r="K48" s="3"/>
      <c r="L48" s="3"/>
      <c r="M48" s="3"/>
      <c r="N48" s="3"/>
      <c r="O48" s="3"/>
      <c r="P48" s="3"/>
      <c r="Q48" s="3"/>
      <c r="R48" s="3"/>
      <c r="S48" s="3"/>
      <c r="T48" s="3"/>
      <c r="U48" s="3"/>
      <c r="V48" s="3"/>
      <c r="W48" s="3"/>
      <c r="X48" s="3"/>
      <c r="Y48" s="3"/>
      <c r="Z48" s="3"/>
    </row>
    <row r="49" ht="15.75" customHeight="1">
      <c r="A49" s="7" t="s">
        <v>50</v>
      </c>
      <c r="B49" s="8">
        <f>B4*(1+40%)</f>
        <v>3080000</v>
      </c>
      <c r="C49" s="8">
        <f>B5*(1-20%)</f>
        <v>3200000</v>
      </c>
      <c r="D49" s="19">
        <f>B12*B15</f>
        <v>0.2</v>
      </c>
      <c r="E49" s="3"/>
      <c r="F49" s="3"/>
      <c r="G49" s="3"/>
      <c r="H49" s="3"/>
      <c r="I49" s="3"/>
      <c r="J49" s="3"/>
      <c r="K49" s="3"/>
      <c r="L49" s="3"/>
      <c r="M49" s="3"/>
      <c r="N49" s="3"/>
      <c r="O49" s="3"/>
      <c r="P49" s="3"/>
      <c r="Q49" s="3"/>
      <c r="R49" s="3"/>
      <c r="S49" s="3"/>
      <c r="T49" s="3"/>
      <c r="U49" s="3"/>
      <c r="V49" s="3"/>
      <c r="W49" s="3"/>
      <c r="X49" s="3"/>
      <c r="Y49" s="3"/>
      <c r="Z49" s="3"/>
    </row>
    <row r="50" ht="15.75" customHeight="1">
      <c r="A50" s="7" t="s">
        <v>51</v>
      </c>
      <c r="B50" s="8">
        <f>B4*(1+20%)</f>
        <v>2640000</v>
      </c>
      <c r="C50" s="8">
        <f>B5*(1+10%)</f>
        <v>4400000</v>
      </c>
      <c r="D50" s="19">
        <f>B13*B14</f>
        <v>0.3</v>
      </c>
      <c r="E50" s="3"/>
      <c r="F50" s="3"/>
      <c r="G50" s="3"/>
      <c r="H50" s="3"/>
      <c r="I50" s="3"/>
      <c r="J50" s="3"/>
      <c r="K50" s="3"/>
      <c r="L50" s="3"/>
      <c r="M50" s="3"/>
      <c r="N50" s="3"/>
      <c r="O50" s="3"/>
      <c r="P50" s="3"/>
      <c r="Q50" s="3"/>
      <c r="R50" s="3"/>
      <c r="S50" s="3"/>
      <c r="T50" s="3"/>
      <c r="U50" s="3"/>
      <c r="V50" s="3"/>
      <c r="W50" s="3"/>
      <c r="X50" s="3"/>
      <c r="Y50" s="3"/>
      <c r="Z50" s="3"/>
    </row>
    <row r="51" ht="15.75" customHeight="1">
      <c r="A51" s="7" t="s">
        <v>52</v>
      </c>
      <c r="B51" s="8">
        <f>B4*(1+20%)</f>
        <v>2640000</v>
      </c>
      <c r="C51" s="8">
        <f>B5*(1-20%)</f>
        <v>3200000</v>
      </c>
      <c r="D51" s="19">
        <f>B13*B15</f>
        <v>0.2</v>
      </c>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11" t="s">
        <v>53</v>
      </c>
      <c r="B53" s="12"/>
      <c r="C53" s="12"/>
      <c r="D53" s="13"/>
      <c r="E53" s="3"/>
      <c r="F53" s="3"/>
      <c r="G53" s="3"/>
      <c r="H53" s="3"/>
      <c r="I53" s="3"/>
      <c r="J53" s="3"/>
      <c r="K53" s="3"/>
      <c r="L53" s="3"/>
      <c r="M53" s="3"/>
      <c r="N53" s="3"/>
      <c r="O53" s="3"/>
      <c r="P53" s="3"/>
      <c r="Q53" s="3"/>
      <c r="R53" s="3"/>
      <c r="S53" s="3"/>
      <c r="T53" s="3"/>
      <c r="U53" s="3"/>
      <c r="V53" s="3"/>
      <c r="W53" s="3"/>
      <c r="X53" s="3"/>
      <c r="Y53" s="3"/>
      <c r="Z53" s="3"/>
    </row>
    <row r="54" ht="15.75" customHeight="1">
      <c r="A54" s="6" t="s">
        <v>45</v>
      </c>
      <c r="B54" s="6" t="s">
        <v>54</v>
      </c>
      <c r="C54" s="6" t="s">
        <v>55</v>
      </c>
      <c r="D54" s="6" t="s">
        <v>48</v>
      </c>
      <c r="E54" s="3"/>
      <c r="F54" s="3"/>
      <c r="G54" s="3"/>
      <c r="H54" s="3"/>
      <c r="I54" s="3"/>
      <c r="J54" s="3"/>
      <c r="K54" s="3"/>
      <c r="L54" s="3"/>
      <c r="M54" s="3"/>
      <c r="N54" s="3"/>
      <c r="O54" s="3"/>
      <c r="P54" s="3"/>
      <c r="Q54" s="3"/>
      <c r="R54" s="3"/>
      <c r="S54" s="3"/>
      <c r="T54" s="3"/>
      <c r="U54" s="3"/>
      <c r="V54" s="3"/>
      <c r="W54" s="3"/>
      <c r="X54" s="3"/>
      <c r="Y54" s="3"/>
      <c r="Z54" s="3"/>
    </row>
    <row r="55" ht="15.75" customHeight="1">
      <c r="A55" s="7" t="s">
        <v>49</v>
      </c>
      <c r="B55" s="8">
        <f t="shared" ref="B55:B56" si="2">B48*(1+40%)</f>
        <v>4312000</v>
      </c>
      <c r="C55" s="8">
        <f>C48*(1+10%)</f>
        <v>4840000</v>
      </c>
      <c r="D55" s="19">
        <f>B12*B14</f>
        <v>0.3</v>
      </c>
      <c r="E55" s="3"/>
      <c r="F55" s="3"/>
      <c r="G55" s="3"/>
      <c r="H55" s="3"/>
      <c r="I55" s="3"/>
      <c r="J55" s="3"/>
      <c r="K55" s="3"/>
      <c r="L55" s="3"/>
      <c r="M55" s="3"/>
      <c r="N55" s="3"/>
      <c r="O55" s="3"/>
      <c r="P55" s="3"/>
      <c r="Q55" s="3"/>
      <c r="R55" s="3"/>
      <c r="S55" s="3"/>
      <c r="T55" s="3"/>
      <c r="U55" s="3"/>
      <c r="V55" s="3"/>
      <c r="W55" s="3"/>
      <c r="X55" s="3"/>
      <c r="Y55" s="3"/>
      <c r="Z55" s="3"/>
    </row>
    <row r="56" ht="15.75" customHeight="1">
      <c r="A56" s="7" t="s">
        <v>50</v>
      </c>
      <c r="B56" s="8">
        <f t="shared" si="2"/>
        <v>4312000</v>
      </c>
      <c r="C56" s="8">
        <f>C49*(1-20%)</f>
        <v>2560000</v>
      </c>
      <c r="D56" s="19">
        <f>B12*B15</f>
        <v>0.2</v>
      </c>
      <c r="E56" s="3"/>
      <c r="F56" s="3"/>
      <c r="G56" s="3"/>
      <c r="H56" s="3"/>
      <c r="I56" s="3"/>
      <c r="J56" s="3"/>
      <c r="K56" s="3"/>
      <c r="L56" s="3"/>
      <c r="M56" s="3"/>
      <c r="N56" s="3"/>
      <c r="O56" s="3"/>
      <c r="P56" s="3"/>
      <c r="Q56" s="3"/>
      <c r="R56" s="3"/>
      <c r="S56" s="3"/>
      <c r="T56" s="3"/>
      <c r="U56" s="3"/>
      <c r="V56" s="3"/>
      <c r="W56" s="3"/>
      <c r="X56" s="3"/>
      <c r="Y56" s="3"/>
      <c r="Z56" s="3"/>
    </row>
    <row r="57" ht="15.75" customHeight="1">
      <c r="A57" s="7" t="s">
        <v>51</v>
      </c>
      <c r="B57" s="8">
        <f t="shared" ref="B57:B58" si="3">B50*(1+20%)</f>
        <v>3168000</v>
      </c>
      <c r="C57" s="8">
        <f>C50*(1+10%)</f>
        <v>4840000</v>
      </c>
      <c r="D57" s="19">
        <f>B13*B14</f>
        <v>0.3</v>
      </c>
      <c r="E57" s="3"/>
      <c r="F57" s="3"/>
      <c r="G57" s="3"/>
      <c r="H57" s="3"/>
      <c r="I57" s="3"/>
      <c r="J57" s="3"/>
      <c r="K57" s="3"/>
      <c r="L57" s="3"/>
      <c r="M57" s="3"/>
      <c r="N57" s="3"/>
      <c r="O57" s="3"/>
      <c r="P57" s="3"/>
      <c r="Q57" s="3"/>
      <c r="R57" s="3"/>
      <c r="S57" s="3"/>
      <c r="T57" s="3"/>
      <c r="U57" s="3"/>
      <c r="V57" s="3"/>
      <c r="W57" s="3"/>
      <c r="X57" s="3"/>
      <c r="Y57" s="3"/>
      <c r="Z57" s="3"/>
    </row>
    <row r="58" ht="15.75" customHeight="1">
      <c r="A58" s="7" t="s">
        <v>52</v>
      </c>
      <c r="B58" s="8">
        <f t="shared" si="3"/>
        <v>3168000</v>
      </c>
      <c r="C58" s="8">
        <f>C51*(1-20%)</f>
        <v>2560000</v>
      </c>
      <c r="D58" s="19">
        <f>B13*B15</f>
        <v>0.2</v>
      </c>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30.0" customHeight="1">
      <c r="A60" s="24" t="s">
        <v>56</v>
      </c>
      <c r="F60" s="3"/>
      <c r="G60" s="3"/>
      <c r="H60" s="3"/>
      <c r="I60" s="3"/>
      <c r="J60" s="3"/>
      <c r="K60" s="3"/>
      <c r="L60" s="3"/>
      <c r="M60" s="3"/>
      <c r="N60" s="3"/>
      <c r="O60" s="3"/>
      <c r="P60" s="3"/>
      <c r="Q60" s="3"/>
      <c r="R60" s="3"/>
      <c r="S60" s="3"/>
      <c r="T60" s="3"/>
      <c r="U60" s="3"/>
      <c r="V60" s="3"/>
      <c r="W60" s="3"/>
      <c r="X60" s="3"/>
      <c r="Y60" s="3"/>
      <c r="Z60" s="3"/>
    </row>
    <row r="61" ht="15.75" customHeight="1">
      <c r="A61" s="25" t="s">
        <v>57</v>
      </c>
      <c r="B61" s="12"/>
      <c r="C61" s="12"/>
      <c r="D61" s="12"/>
      <c r="E61" s="13"/>
      <c r="F61" s="26"/>
      <c r="G61" s="26"/>
      <c r="H61" s="26"/>
      <c r="I61" s="26"/>
      <c r="J61" s="26"/>
      <c r="K61" s="26"/>
      <c r="L61" s="26"/>
      <c r="M61" s="26"/>
      <c r="N61" s="26"/>
      <c r="O61" s="26"/>
      <c r="P61" s="26"/>
      <c r="Q61" s="26"/>
      <c r="R61" s="26"/>
      <c r="S61" s="26"/>
      <c r="T61" s="26"/>
      <c r="U61" s="26"/>
      <c r="V61" s="26"/>
      <c r="W61" s="26"/>
      <c r="X61" s="26"/>
      <c r="Y61" s="26"/>
      <c r="Z61" s="26"/>
    </row>
    <row r="62" ht="15.75" customHeight="1">
      <c r="A62" s="27" t="s">
        <v>45</v>
      </c>
      <c r="B62" s="28" t="s">
        <v>58</v>
      </c>
      <c r="C62" s="28" t="s">
        <v>59</v>
      </c>
      <c r="D62" s="28" t="s">
        <v>60</v>
      </c>
      <c r="E62" s="27" t="s">
        <v>61</v>
      </c>
      <c r="F62" s="26"/>
      <c r="G62" s="26"/>
      <c r="H62" s="26"/>
      <c r="I62" s="26"/>
      <c r="J62" s="26"/>
      <c r="K62" s="26"/>
      <c r="L62" s="26"/>
      <c r="M62" s="26"/>
      <c r="N62" s="26"/>
      <c r="O62" s="26"/>
      <c r="P62" s="26"/>
      <c r="Q62" s="26"/>
      <c r="R62" s="26"/>
      <c r="S62" s="26"/>
      <c r="T62" s="26"/>
      <c r="U62" s="26"/>
      <c r="V62" s="26"/>
      <c r="W62" s="26"/>
      <c r="X62" s="26"/>
      <c r="Y62" s="26"/>
      <c r="Z62" s="26"/>
    </row>
    <row r="63" ht="15.75" customHeight="1">
      <c r="A63" s="29" t="s">
        <v>62</v>
      </c>
      <c r="B63" s="30">
        <f>MIN(B48,B34)</f>
        <v>3080000</v>
      </c>
      <c r="C63" s="30">
        <f>MIN(B34-B63,C48)</f>
        <v>1320000</v>
      </c>
      <c r="D63" s="30">
        <f>MIN(C48-C63,C34)</f>
        <v>3080000</v>
      </c>
      <c r="E63" s="31">
        <f>(B63*E25)+(C63*E26)+(D63*E28)</f>
        <v>168960000</v>
      </c>
      <c r="F63" s="26"/>
      <c r="G63" s="26"/>
      <c r="H63" s="26"/>
      <c r="I63" s="26"/>
      <c r="J63" s="26"/>
      <c r="K63" s="26"/>
      <c r="L63" s="26"/>
      <c r="M63" s="26"/>
      <c r="N63" s="26"/>
      <c r="O63" s="26"/>
      <c r="P63" s="26"/>
      <c r="Q63" s="26"/>
      <c r="R63" s="26"/>
      <c r="S63" s="26"/>
      <c r="T63" s="26"/>
      <c r="U63" s="26"/>
      <c r="V63" s="26"/>
      <c r="W63" s="26"/>
      <c r="X63" s="26"/>
      <c r="Y63" s="26"/>
      <c r="Z63" s="26"/>
    </row>
    <row r="64" ht="15.75" customHeight="1">
      <c r="A64" s="29" t="s">
        <v>63</v>
      </c>
      <c r="B64" s="30">
        <f>MIN(B49,B34)</f>
        <v>3080000</v>
      </c>
      <c r="C64" s="30">
        <f>MIN(B34-B64,C49)</f>
        <v>1320000</v>
      </c>
      <c r="D64" s="30">
        <f>MIN(C49-C64,C34)</f>
        <v>1880000</v>
      </c>
      <c r="E64" s="32">
        <f>(B64*E25)+(C64*E26)+(D64*E28)</f>
        <v>144960000</v>
      </c>
      <c r="F64" s="26"/>
      <c r="G64" s="26"/>
      <c r="H64" s="26"/>
      <c r="I64" s="26"/>
      <c r="J64" s="26"/>
      <c r="K64" s="26"/>
      <c r="L64" s="26"/>
      <c r="M64" s="26"/>
      <c r="N64" s="26"/>
      <c r="O64" s="26"/>
      <c r="P64" s="26"/>
      <c r="Q64" s="26"/>
      <c r="R64" s="26"/>
      <c r="S64" s="26"/>
      <c r="T64" s="26"/>
      <c r="U64" s="26"/>
      <c r="V64" s="26"/>
      <c r="W64" s="26"/>
      <c r="X64" s="26"/>
      <c r="Y64" s="26"/>
      <c r="Z64" s="26"/>
    </row>
    <row r="65" ht="15.75" customHeight="1">
      <c r="A65" s="29" t="s">
        <v>51</v>
      </c>
      <c r="B65" s="30">
        <f>MIN(B50,B34)</f>
        <v>2640000</v>
      </c>
      <c r="C65" s="30">
        <f>MIN(B34-B65,C50)</f>
        <v>1760000</v>
      </c>
      <c r="D65" s="30">
        <f>MIN(C50-C65,C34)</f>
        <v>2640000</v>
      </c>
      <c r="E65" s="32">
        <f>(B65*E25)+(C65*E26)+(D65*E28)</f>
        <v>159280000</v>
      </c>
      <c r="F65" s="26"/>
      <c r="G65" s="26"/>
      <c r="H65" s="26"/>
      <c r="I65" s="26"/>
      <c r="J65" s="26"/>
      <c r="K65" s="26"/>
      <c r="L65" s="26"/>
      <c r="M65" s="26"/>
      <c r="N65" s="26"/>
      <c r="O65" s="26"/>
      <c r="P65" s="26"/>
      <c r="Q65" s="26"/>
      <c r="R65" s="26"/>
      <c r="S65" s="26"/>
      <c r="T65" s="26"/>
      <c r="U65" s="26"/>
      <c r="V65" s="26"/>
      <c r="W65" s="26"/>
      <c r="X65" s="26"/>
      <c r="Y65" s="26"/>
      <c r="Z65" s="26"/>
    </row>
    <row r="66" ht="15.75" customHeight="1">
      <c r="A66" s="29" t="s">
        <v>64</v>
      </c>
      <c r="B66" s="30">
        <f>MIN(B51,B34)</f>
        <v>2640000</v>
      </c>
      <c r="C66" s="30">
        <f>MIN(B34-B66,C51)</f>
        <v>1760000</v>
      </c>
      <c r="D66" s="30">
        <f>MIN(C51-C66,C34)</f>
        <v>1440000</v>
      </c>
      <c r="E66" s="32">
        <f>(B66*E25)+(C66*E26)+(D66*E28)</f>
        <v>135280000</v>
      </c>
      <c r="F66" s="26"/>
      <c r="G66" s="26"/>
      <c r="H66" s="26"/>
      <c r="I66" s="26"/>
      <c r="J66" s="26"/>
      <c r="K66" s="26"/>
      <c r="L66" s="26"/>
      <c r="M66" s="26"/>
      <c r="N66" s="26"/>
      <c r="O66" s="26"/>
      <c r="P66" s="26"/>
      <c r="Q66" s="26"/>
      <c r="R66" s="26"/>
      <c r="S66" s="26"/>
      <c r="T66" s="26"/>
      <c r="U66" s="26"/>
      <c r="V66" s="26"/>
      <c r="W66" s="26"/>
      <c r="X66" s="26"/>
      <c r="Y66" s="26"/>
      <c r="Z66" s="26"/>
    </row>
    <row r="67" ht="15.7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ht="15.75" customHeight="1">
      <c r="A68" s="33" t="s">
        <v>65</v>
      </c>
      <c r="B68" s="15"/>
      <c r="C68" s="15"/>
      <c r="D68" s="15"/>
      <c r="E68" s="2"/>
      <c r="F68" s="26"/>
      <c r="G68" s="26"/>
      <c r="H68" s="26"/>
      <c r="I68" s="26"/>
      <c r="J68" s="26"/>
      <c r="K68" s="26"/>
      <c r="L68" s="26"/>
      <c r="M68" s="26"/>
      <c r="N68" s="26"/>
      <c r="O68" s="26"/>
      <c r="P68" s="26"/>
      <c r="Q68" s="26"/>
      <c r="R68" s="26"/>
      <c r="S68" s="26"/>
      <c r="T68" s="26"/>
      <c r="U68" s="26"/>
      <c r="V68" s="26"/>
      <c r="W68" s="26"/>
      <c r="X68" s="26"/>
      <c r="Y68" s="26"/>
      <c r="Z68" s="26"/>
    </row>
    <row r="69" ht="15.75" customHeight="1">
      <c r="A69" s="27" t="s">
        <v>45</v>
      </c>
      <c r="B69" s="28" t="s">
        <v>66</v>
      </c>
      <c r="C69" s="34" t="s">
        <v>67</v>
      </c>
      <c r="D69" s="34" t="s">
        <v>68</v>
      </c>
      <c r="E69" s="27" t="s">
        <v>69</v>
      </c>
      <c r="F69" s="26"/>
      <c r="G69" s="26"/>
      <c r="H69" s="35"/>
      <c r="I69" s="36"/>
      <c r="J69" s="36"/>
      <c r="K69" s="36"/>
      <c r="L69" s="37"/>
      <c r="M69" s="36"/>
      <c r="N69" s="35"/>
      <c r="O69" s="35"/>
      <c r="P69" s="26"/>
      <c r="Q69" s="35"/>
      <c r="R69" s="26"/>
      <c r="S69" s="26"/>
      <c r="T69" s="26"/>
      <c r="U69" s="26"/>
      <c r="V69" s="26"/>
      <c r="W69" s="26"/>
      <c r="X69" s="26"/>
      <c r="Y69" s="26"/>
      <c r="Z69" s="26"/>
    </row>
    <row r="70" ht="15.75" customHeight="1">
      <c r="A70" s="29" t="s">
        <v>62</v>
      </c>
      <c r="B70" s="30">
        <f>MIN(B55,B34)</f>
        <v>4312000</v>
      </c>
      <c r="C70" s="30">
        <f>MIN(B34-B70,C55)</f>
        <v>88000</v>
      </c>
      <c r="D70" s="30">
        <f>MIN(C55-C70,C34)</f>
        <v>4500000</v>
      </c>
      <c r="E70" s="32">
        <f>(B70*E25)+(C70*E26)+(D70*E28)</f>
        <v>199824000</v>
      </c>
      <c r="F70" s="26"/>
      <c r="G70" s="26"/>
      <c r="H70" s="35"/>
      <c r="I70" s="36"/>
      <c r="J70" s="36"/>
      <c r="K70" s="36"/>
      <c r="L70" s="37"/>
      <c r="M70" s="36"/>
      <c r="N70" s="35"/>
      <c r="O70" s="35"/>
      <c r="P70" s="26"/>
      <c r="Q70" s="35"/>
      <c r="R70" s="26"/>
      <c r="S70" s="26"/>
      <c r="T70" s="26"/>
      <c r="U70" s="26"/>
      <c r="V70" s="26"/>
      <c r="W70" s="26"/>
      <c r="X70" s="26"/>
      <c r="Y70" s="26"/>
      <c r="Z70" s="26"/>
    </row>
    <row r="71" ht="15.75" customHeight="1">
      <c r="A71" s="29" t="s">
        <v>63</v>
      </c>
      <c r="B71" s="30">
        <f>MIN(B56,B34)</f>
        <v>4312000</v>
      </c>
      <c r="C71" s="30">
        <f>MIN(B34-B71,C56)</f>
        <v>88000</v>
      </c>
      <c r="D71" s="30">
        <f>MIN(C56-C71,C34)</f>
        <v>2472000</v>
      </c>
      <c r="E71" s="32">
        <f>(B71*E25)+(C71*E26)+(D71*E28)</f>
        <v>159264000</v>
      </c>
      <c r="F71" s="26"/>
      <c r="G71" s="26"/>
      <c r="H71" s="35"/>
      <c r="I71" s="36"/>
      <c r="J71" s="36"/>
      <c r="K71" s="36"/>
      <c r="L71" s="37"/>
      <c r="M71" s="36"/>
      <c r="N71" s="35"/>
      <c r="O71" s="35"/>
      <c r="P71" s="26"/>
      <c r="Q71" s="35"/>
      <c r="R71" s="26"/>
      <c r="S71" s="26"/>
      <c r="T71" s="26"/>
      <c r="U71" s="26"/>
      <c r="V71" s="26"/>
      <c r="W71" s="26"/>
      <c r="X71" s="26"/>
      <c r="Y71" s="26"/>
      <c r="Z71" s="26"/>
    </row>
    <row r="72" ht="15.75" customHeight="1">
      <c r="A72" s="29" t="s">
        <v>51</v>
      </c>
      <c r="B72" s="30">
        <f>MIN(B57,B34)</f>
        <v>3168000</v>
      </c>
      <c r="C72" s="30">
        <f>MIN(B34-B72,C57)</f>
        <v>1232000</v>
      </c>
      <c r="D72" s="30">
        <f>MIN(C57-C72,C34)</f>
        <v>3608000</v>
      </c>
      <c r="E72" s="32">
        <f>(B72*E25)+(C72*E26)+(D72*E28)</f>
        <v>179696000</v>
      </c>
      <c r="F72" s="26"/>
      <c r="G72" s="26"/>
      <c r="H72" s="35"/>
      <c r="I72" s="36"/>
      <c r="J72" s="36"/>
      <c r="K72" s="36"/>
      <c r="L72" s="37"/>
      <c r="M72" s="36"/>
      <c r="N72" s="35"/>
      <c r="O72" s="35"/>
      <c r="P72" s="26"/>
      <c r="Q72" s="35"/>
      <c r="R72" s="26"/>
      <c r="S72" s="26"/>
      <c r="T72" s="26"/>
      <c r="U72" s="26"/>
      <c r="V72" s="26"/>
      <c r="W72" s="26"/>
      <c r="X72" s="26"/>
      <c r="Y72" s="26"/>
      <c r="Z72" s="26"/>
    </row>
    <row r="73" ht="15.75" customHeight="1">
      <c r="A73" s="29" t="s">
        <v>64</v>
      </c>
      <c r="B73" s="30">
        <f>MIN(B58,B34)</f>
        <v>3168000</v>
      </c>
      <c r="C73" s="38">
        <f>MIN(B34-B73,C58)</f>
        <v>1232000</v>
      </c>
      <c r="D73" s="30">
        <f>MIN(C58-C73,C34)</f>
        <v>1328000</v>
      </c>
      <c r="E73" s="32">
        <f>(B73*E25)+(C73*E26)+(D73*E28)</f>
        <v>134096000</v>
      </c>
      <c r="F73" s="26"/>
      <c r="G73" s="26"/>
      <c r="H73" s="26"/>
      <c r="I73" s="26"/>
      <c r="J73" s="26"/>
      <c r="K73" s="26"/>
      <c r="L73" s="26"/>
      <c r="M73" s="26"/>
      <c r="N73" s="26"/>
      <c r="O73" s="26"/>
      <c r="P73" s="26"/>
      <c r="Q73" s="35"/>
      <c r="R73" s="26"/>
      <c r="S73" s="26"/>
      <c r="T73" s="26"/>
      <c r="U73" s="26"/>
      <c r="V73" s="26"/>
      <c r="W73" s="26"/>
      <c r="X73" s="26"/>
      <c r="Y73" s="26"/>
      <c r="Z73" s="26"/>
    </row>
    <row r="74" ht="15.7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ht="15.75" customHeight="1">
      <c r="A75" s="33" t="s">
        <v>70</v>
      </c>
      <c r="B75" s="15"/>
      <c r="C75" s="15"/>
      <c r="D75" s="15"/>
      <c r="E75" s="2"/>
      <c r="F75" s="26"/>
      <c r="G75" s="26"/>
      <c r="H75" s="35"/>
      <c r="I75" s="36"/>
      <c r="J75" s="36"/>
      <c r="K75" s="36"/>
      <c r="L75" s="37"/>
      <c r="M75" s="36"/>
      <c r="N75" s="35"/>
      <c r="O75" s="35"/>
      <c r="P75" s="26"/>
      <c r="Q75" s="35"/>
      <c r="R75" s="26"/>
      <c r="S75" s="26"/>
      <c r="T75" s="26"/>
      <c r="U75" s="26"/>
      <c r="V75" s="26"/>
      <c r="W75" s="26"/>
      <c r="X75" s="26"/>
      <c r="Y75" s="26"/>
      <c r="Z75" s="26"/>
    </row>
    <row r="76" ht="15.75" customHeight="1">
      <c r="A76" s="27" t="s">
        <v>45</v>
      </c>
      <c r="B76" s="28" t="s">
        <v>58</v>
      </c>
      <c r="C76" s="34" t="s">
        <v>59</v>
      </c>
      <c r="D76" s="34" t="s">
        <v>60</v>
      </c>
      <c r="E76" s="27" t="s">
        <v>61</v>
      </c>
      <c r="F76" s="26"/>
      <c r="G76" s="26"/>
      <c r="H76" s="35"/>
      <c r="I76" s="36"/>
      <c r="J76" s="36"/>
      <c r="K76" s="36"/>
      <c r="L76" s="37"/>
      <c r="M76" s="36"/>
      <c r="N76" s="35"/>
      <c r="O76" s="35"/>
      <c r="P76" s="26"/>
      <c r="Q76" s="35"/>
      <c r="R76" s="26"/>
      <c r="S76" s="26"/>
      <c r="T76" s="26"/>
      <c r="U76" s="26"/>
      <c r="V76" s="26"/>
      <c r="W76" s="26"/>
      <c r="X76" s="26"/>
      <c r="Y76" s="26"/>
      <c r="Z76" s="26"/>
    </row>
    <row r="77" ht="15.75" customHeight="1">
      <c r="A77" s="29" t="s">
        <v>62</v>
      </c>
      <c r="B77" s="30">
        <f>MIN(B48,B35)</f>
        <v>3080000</v>
      </c>
      <c r="C77" s="30">
        <f>MIN(B35-B77,C48)</f>
        <v>820000</v>
      </c>
      <c r="D77" s="30">
        <f>MIN(C48-C77,C35)</f>
        <v>3580000</v>
      </c>
      <c r="E77" s="39">
        <f>(B77*E25)+(C77*E26)+(D77*E28)</f>
        <v>167460000</v>
      </c>
      <c r="F77" s="26"/>
      <c r="G77" s="26"/>
      <c r="H77" s="35"/>
      <c r="I77" s="36"/>
      <c r="J77" s="36"/>
      <c r="K77" s="36"/>
      <c r="L77" s="37"/>
      <c r="M77" s="36"/>
      <c r="N77" s="35"/>
      <c r="O77" s="35"/>
      <c r="P77" s="26"/>
      <c r="Q77" s="35"/>
      <c r="R77" s="26"/>
      <c r="S77" s="26"/>
      <c r="T77" s="26"/>
      <c r="U77" s="26"/>
      <c r="V77" s="26"/>
      <c r="W77" s="26"/>
      <c r="X77" s="26"/>
      <c r="Y77" s="26"/>
      <c r="Z77" s="26"/>
    </row>
    <row r="78" ht="15.75" customHeight="1">
      <c r="A78" s="29" t="s">
        <v>63</v>
      </c>
      <c r="B78" s="30">
        <f>MIN(B49,B35)</f>
        <v>3080000</v>
      </c>
      <c r="C78" s="30">
        <f>MIN(B35-B78,C49)</f>
        <v>820000</v>
      </c>
      <c r="D78" s="30">
        <f>MIN(C49-C78,C35)</f>
        <v>2380000</v>
      </c>
      <c r="E78" s="39">
        <f>(B78*E25)+(C78*E26)+(D78*E28)</f>
        <v>143460000</v>
      </c>
      <c r="F78" s="26"/>
      <c r="G78" s="26"/>
      <c r="H78" s="35"/>
      <c r="I78" s="36"/>
      <c r="J78" s="36"/>
      <c r="K78" s="36"/>
      <c r="L78" s="37"/>
      <c r="M78" s="36"/>
      <c r="N78" s="35"/>
      <c r="O78" s="35"/>
      <c r="P78" s="26"/>
      <c r="Q78" s="35"/>
      <c r="R78" s="26"/>
      <c r="S78" s="26"/>
      <c r="T78" s="26"/>
      <c r="U78" s="26"/>
      <c r="V78" s="26"/>
      <c r="W78" s="26"/>
      <c r="X78" s="26"/>
      <c r="Y78" s="26"/>
      <c r="Z78" s="26"/>
    </row>
    <row r="79" ht="15.75" customHeight="1">
      <c r="A79" s="29" t="s">
        <v>51</v>
      </c>
      <c r="B79" s="30">
        <f>MIN(B50,B35)</f>
        <v>2640000</v>
      </c>
      <c r="C79" s="38">
        <f>MIN(B35-B79,C50)</f>
        <v>1260000</v>
      </c>
      <c r="D79" s="30">
        <f>MIN(C50-C79,C35)</f>
        <v>3140000</v>
      </c>
      <c r="E79" s="39">
        <f>(B79*E25)+(C79*E26)+(D79*E28)</f>
        <v>157780000</v>
      </c>
      <c r="F79" s="26"/>
      <c r="G79" s="26"/>
      <c r="H79" s="26"/>
      <c r="I79" s="26"/>
      <c r="J79" s="26"/>
      <c r="K79" s="26"/>
      <c r="L79" s="26"/>
      <c r="M79" s="26"/>
      <c r="N79" s="26"/>
      <c r="O79" s="26"/>
      <c r="P79" s="26"/>
      <c r="Q79" s="35"/>
      <c r="R79" s="26"/>
      <c r="S79" s="26"/>
      <c r="T79" s="26"/>
      <c r="U79" s="26"/>
      <c r="V79" s="26"/>
      <c r="W79" s="26"/>
      <c r="X79" s="26"/>
      <c r="Y79" s="26"/>
      <c r="Z79" s="26"/>
    </row>
    <row r="80" ht="15.75" customHeight="1">
      <c r="A80" s="29" t="s">
        <v>64</v>
      </c>
      <c r="B80" s="30">
        <f>MIN(B51,B35)</f>
        <v>2640000</v>
      </c>
      <c r="C80" s="38">
        <f>MIN(B35-B80,C51)</f>
        <v>1260000</v>
      </c>
      <c r="D80" s="30">
        <f>MIN(C51-C80,C35)</f>
        <v>1940000</v>
      </c>
      <c r="E80" s="39">
        <f>(B80*E25)+(C80*E26)+(D80*E28)</f>
        <v>133780000</v>
      </c>
      <c r="F80" s="26"/>
      <c r="G80" s="26"/>
      <c r="H80" s="26"/>
      <c r="I80" s="26"/>
      <c r="J80" s="26"/>
      <c r="K80" s="26"/>
      <c r="L80" s="26"/>
      <c r="M80" s="26"/>
      <c r="N80" s="26"/>
      <c r="O80" s="26"/>
      <c r="P80" s="26"/>
      <c r="Q80" s="26"/>
      <c r="R80" s="26"/>
      <c r="S80" s="26"/>
      <c r="T80" s="26"/>
      <c r="U80" s="26"/>
      <c r="V80" s="26"/>
      <c r="W80" s="26"/>
      <c r="X80" s="26"/>
      <c r="Y80" s="26"/>
      <c r="Z80" s="26"/>
    </row>
    <row r="81" ht="15.7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ht="15.75" customHeight="1">
      <c r="A82" s="33" t="s">
        <v>71</v>
      </c>
      <c r="B82" s="15"/>
      <c r="C82" s="15"/>
      <c r="D82" s="15"/>
      <c r="E82" s="2"/>
      <c r="F82" s="26"/>
      <c r="G82" s="26"/>
      <c r="H82" s="26"/>
      <c r="I82" s="26"/>
      <c r="J82" s="26"/>
      <c r="K82" s="26"/>
      <c r="L82" s="26"/>
      <c r="M82" s="26"/>
      <c r="N82" s="26"/>
      <c r="O82" s="26"/>
      <c r="P82" s="26"/>
      <c r="Q82" s="26"/>
      <c r="R82" s="26"/>
      <c r="S82" s="26"/>
      <c r="T82" s="26"/>
      <c r="U82" s="26"/>
      <c r="V82" s="26"/>
      <c r="W82" s="26"/>
      <c r="X82" s="26"/>
      <c r="Y82" s="26"/>
      <c r="Z82" s="26"/>
    </row>
    <row r="83" ht="50.25" customHeight="1">
      <c r="A83" s="40" t="s">
        <v>72</v>
      </c>
      <c r="F83" s="26"/>
      <c r="G83" s="26"/>
      <c r="H83" s="26"/>
      <c r="I83" s="26"/>
      <c r="J83" s="26"/>
      <c r="K83" s="26"/>
      <c r="L83" s="26"/>
      <c r="M83" s="26"/>
      <c r="N83" s="26"/>
      <c r="O83" s="26"/>
      <c r="P83" s="26"/>
      <c r="Q83" s="26"/>
      <c r="R83" s="26"/>
      <c r="S83" s="26"/>
      <c r="T83" s="26"/>
      <c r="U83" s="26"/>
      <c r="V83" s="26"/>
      <c r="W83" s="26"/>
      <c r="X83" s="26"/>
      <c r="Y83" s="26"/>
      <c r="Z83" s="26"/>
    </row>
    <row r="84" ht="15.75" customHeight="1">
      <c r="A84" s="27" t="s">
        <v>45</v>
      </c>
      <c r="B84" s="28" t="s">
        <v>66</v>
      </c>
      <c r="C84" s="28" t="s">
        <v>67</v>
      </c>
      <c r="D84" s="28" t="s">
        <v>68</v>
      </c>
      <c r="E84" s="27" t="s">
        <v>69</v>
      </c>
      <c r="F84" s="26"/>
      <c r="G84" s="26"/>
      <c r="H84" s="26"/>
      <c r="I84" s="26"/>
      <c r="J84" s="26"/>
      <c r="K84" s="26"/>
      <c r="L84" s="26"/>
      <c r="M84" s="26"/>
      <c r="N84" s="26"/>
      <c r="O84" s="26"/>
      <c r="P84" s="26"/>
      <c r="Q84" s="26"/>
      <c r="R84" s="26"/>
      <c r="S84" s="26"/>
      <c r="T84" s="26"/>
      <c r="U84" s="26"/>
      <c r="V84" s="26"/>
      <c r="W84" s="26"/>
      <c r="X84" s="26"/>
      <c r="Y84" s="26"/>
      <c r="Z84" s="26"/>
    </row>
    <row r="85" ht="15.75" customHeight="1">
      <c r="A85" s="29" t="s">
        <v>62</v>
      </c>
      <c r="B85" s="30">
        <f>MIN(B55,B35)</f>
        <v>3900000</v>
      </c>
      <c r="C85" s="38">
        <f>MIN(B35-B85,C55)</f>
        <v>0</v>
      </c>
      <c r="D85" s="30">
        <f>MIN(C55-C85,C35)</f>
        <v>4500000</v>
      </c>
      <c r="E85" s="32">
        <f>(B85*E25)+(C85*E26)+(D85*E28)</f>
        <v>187500000</v>
      </c>
      <c r="F85" s="26"/>
      <c r="G85" s="26"/>
      <c r="H85" s="26"/>
      <c r="I85" s="26"/>
      <c r="J85" s="26"/>
      <c r="K85" s="26"/>
      <c r="L85" s="26"/>
      <c r="M85" s="26"/>
      <c r="N85" s="26"/>
      <c r="O85" s="26"/>
      <c r="P85" s="26"/>
      <c r="Q85" s="26"/>
      <c r="R85" s="26"/>
      <c r="S85" s="26"/>
      <c r="T85" s="26"/>
      <c r="U85" s="26"/>
      <c r="V85" s="26"/>
      <c r="W85" s="26"/>
      <c r="X85" s="26"/>
      <c r="Y85" s="26"/>
      <c r="Z85" s="26"/>
    </row>
    <row r="86" ht="15.75" customHeight="1">
      <c r="A86" s="29" t="s">
        <v>63</v>
      </c>
      <c r="B86" s="30">
        <f>MIN(B56,B35)</f>
        <v>3900000</v>
      </c>
      <c r="C86" s="38">
        <f>MIN(B35-B86,C56)</f>
        <v>0</v>
      </c>
      <c r="D86" s="30">
        <f>MIN(C56-C86,C35)</f>
        <v>2560000</v>
      </c>
      <c r="E86" s="32">
        <f>(B86*E25)+(C86*E26)+(D86*E28)</f>
        <v>148700000</v>
      </c>
      <c r="F86" s="26"/>
      <c r="G86" s="26"/>
      <c r="H86" s="26"/>
      <c r="I86" s="26"/>
      <c r="J86" s="26"/>
      <c r="K86" s="26"/>
      <c r="L86" s="26"/>
      <c r="M86" s="26"/>
      <c r="N86" s="26"/>
      <c r="O86" s="26"/>
      <c r="P86" s="26"/>
      <c r="Q86" s="26"/>
      <c r="R86" s="26"/>
      <c r="S86" s="26"/>
      <c r="T86" s="26"/>
      <c r="U86" s="26"/>
      <c r="V86" s="26"/>
      <c r="W86" s="26"/>
      <c r="X86" s="26"/>
      <c r="Y86" s="26"/>
      <c r="Z86" s="26"/>
    </row>
    <row r="87" ht="15.75" customHeight="1">
      <c r="A87" s="29" t="s">
        <v>51</v>
      </c>
      <c r="B87" s="30">
        <f>MIN(B57,B35)</f>
        <v>3168000</v>
      </c>
      <c r="C87" s="38">
        <f>MIN(B35-B87,C57)</f>
        <v>732000</v>
      </c>
      <c r="D87" s="30">
        <f>MIN(C57-C87,C35)</f>
        <v>4108000</v>
      </c>
      <c r="E87" s="32">
        <f>(B87*E25)+(C87*E26)+(D87*E28)</f>
        <v>178196000</v>
      </c>
      <c r="F87" s="26"/>
      <c r="G87" s="26"/>
      <c r="H87" s="26"/>
      <c r="I87" s="26"/>
      <c r="J87" s="26"/>
      <c r="K87" s="26"/>
      <c r="L87" s="26"/>
      <c r="M87" s="26"/>
      <c r="N87" s="26"/>
      <c r="O87" s="26"/>
      <c r="P87" s="26"/>
      <c r="Q87" s="26"/>
      <c r="R87" s="26"/>
      <c r="S87" s="26"/>
      <c r="T87" s="26"/>
      <c r="U87" s="26"/>
      <c r="V87" s="26"/>
      <c r="W87" s="26"/>
      <c r="X87" s="26"/>
      <c r="Y87" s="26"/>
      <c r="Z87" s="26"/>
    </row>
    <row r="88" ht="15.75" customHeight="1">
      <c r="A88" s="29" t="s">
        <v>64</v>
      </c>
      <c r="B88" s="30">
        <f>MIN(B58,B35)</f>
        <v>3168000</v>
      </c>
      <c r="C88" s="38">
        <f>MIN(B35-B88,C58)</f>
        <v>732000</v>
      </c>
      <c r="D88" s="30">
        <f>MIN(C58-C88,C35)</f>
        <v>1828000</v>
      </c>
      <c r="E88" s="32">
        <f>(B88*E25)+(C88*E26)+(D88*E28)</f>
        <v>132596000</v>
      </c>
      <c r="F88" s="26"/>
      <c r="G88" s="26"/>
      <c r="H88" s="26"/>
      <c r="I88" s="26"/>
      <c r="J88" s="26"/>
      <c r="K88" s="26"/>
      <c r="L88" s="26"/>
      <c r="M88" s="26"/>
      <c r="N88" s="26"/>
      <c r="O88" s="26"/>
      <c r="P88" s="26"/>
      <c r="Q88" s="26"/>
      <c r="R88" s="26"/>
      <c r="S88" s="26"/>
      <c r="T88" s="26"/>
      <c r="U88" s="26"/>
      <c r="V88" s="26"/>
      <c r="W88" s="26"/>
      <c r="X88" s="26"/>
      <c r="Y88" s="26"/>
      <c r="Z88" s="26"/>
    </row>
    <row r="89" ht="15.7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ht="15.75" customHeight="1">
      <c r="A90" s="41" t="s">
        <v>73</v>
      </c>
      <c r="B90" s="15"/>
      <c r="C90" s="15"/>
      <c r="D90" s="15"/>
      <c r="E90" s="15"/>
      <c r="F90" s="15"/>
      <c r="G90" s="2"/>
      <c r="H90" s="26"/>
      <c r="I90" s="26"/>
      <c r="J90" s="26"/>
      <c r="K90" s="26"/>
      <c r="L90" s="26"/>
      <c r="M90" s="26"/>
      <c r="N90" s="26"/>
      <c r="O90" s="26"/>
      <c r="P90" s="26"/>
      <c r="Q90" s="26"/>
      <c r="R90" s="26"/>
      <c r="S90" s="26"/>
      <c r="T90" s="26"/>
      <c r="U90" s="26"/>
      <c r="V90" s="26"/>
      <c r="W90" s="26"/>
      <c r="X90" s="26"/>
      <c r="Y90" s="26"/>
      <c r="Z90" s="26"/>
    </row>
    <row r="91" ht="60.75" customHeight="1">
      <c r="A91" s="6" t="s">
        <v>45</v>
      </c>
      <c r="B91" s="6" t="s">
        <v>74</v>
      </c>
      <c r="C91" s="42" t="s">
        <v>75</v>
      </c>
      <c r="D91" s="6" t="s">
        <v>76</v>
      </c>
      <c r="E91" s="6" t="s">
        <v>77</v>
      </c>
      <c r="F91" s="6" t="s">
        <v>78</v>
      </c>
      <c r="G91" s="6" t="s">
        <v>79</v>
      </c>
      <c r="H91" s="26"/>
      <c r="I91" s="26"/>
      <c r="J91" s="26"/>
      <c r="K91" s="26"/>
      <c r="L91" s="26"/>
      <c r="M91" s="26"/>
      <c r="N91" s="26"/>
      <c r="O91" s="26"/>
      <c r="P91" s="26"/>
      <c r="Q91" s="26"/>
      <c r="R91" s="26"/>
      <c r="S91" s="26"/>
      <c r="T91" s="26"/>
      <c r="U91" s="26"/>
      <c r="V91" s="26"/>
      <c r="W91" s="26"/>
      <c r="X91" s="26"/>
      <c r="Y91" s="26"/>
      <c r="Z91" s="26"/>
    </row>
    <row r="92" ht="15.75" customHeight="1">
      <c r="A92" s="29" t="s">
        <v>62</v>
      </c>
      <c r="B92" s="43">
        <f t="shared" ref="B92:B95" si="4">D48</f>
        <v>0.3</v>
      </c>
      <c r="C92" s="31">
        <f>B44-B17</f>
        <v>118600000</v>
      </c>
      <c r="D92" s="31">
        <f>E63/(1+B20)</f>
        <v>153600000</v>
      </c>
      <c r="E92" s="32">
        <f>E70/((1+B20)^2)</f>
        <v>165143801.7</v>
      </c>
      <c r="F92" s="32">
        <f t="shared" ref="F92:F95" si="5">C92+D92+E92</f>
        <v>437343801.7</v>
      </c>
      <c r="G92" s="32">
        <f t="shared" ref="G92:G95" si="6">F92*B92</f>
        <v>131203140.5</v>
      </c>
      <c r="H92" s="26"/>
      <c r="I92" s="26"/>
      <c r="J92" s="26"/>
      <c r="K92" s="26"/>
      <c r="L92" s="26"/>
      <c r="M92" s="26"/>
      <c r="N92" s="26"/>
      <c r="O92" s="26"/>
      <c r="P92" s="26"/>
      <c r="Q92" s="26"/>
      <c r="R92" s="26"/>
      <c r="S92" s="26"/>
      <c r="T92" s="26"/>
      <c r="U92" s="26"/>
      <c r="V92" s="26"/>
      <c r="W92" s="26"/>
      <c r="X92" s="26"/>
      <c r="Y92" s="26"/>
      <c r="Z92" s="26"/>
    </row>
    <row r="93" ht="15.75" customHeight="1">
      <c r="A93" s="29" t="s">
        <v>63</v>
      </c>
      <c r="B93" s="43">
        <f t="shared" si="4"/>
        <v>0.2</v>
      </c>
      <c r="C93" s="31">
        <f>B44-B17</f>
        <v>118600000</v>
      </c>
      <c r="D93" s="32">
        <f>E64/(1+B20)</f>
        <v>131781818.2</v>
      </c>
      <c r="E93" s="32">
        <f>E71/((1+B20)^2)</f>
        <v>131623140.5</v>
      </c>
      <c r="F93" s="32">
        <f t="shared" si="5"/>
        <v>382004958.7</v>
      </c>
      <c r="G93" s="32">
        <f t="shared" si="6"/>
        <v>76400991.74</v>
      </c>
      <c r="H93" s="26"/>
      <c r="I93" s="26"/>
      <c r="J93" s="26"/>
      <c r="K93" s="26"/>
      <c r="L93" s="26"/>
      <c r="M93" s="26"/>
      <c r="N93" s="26"/>
      <c r="O93" s="26"/>
      <c r="P93" s="26"/>
      <c r="Q93" s="26"/>
      <c r="R93" s="26"/>
      <c r="S93" s="26"/>
      <c r="T93" s="26"/>
      <c r="U93" s="26"/>
      <c r="V93" s="26"/>
      <c r="W93" s="26"/>
      <c r="X93" s="26"/>
      <c r="Y93" s="26"/>
      <c r="Z93" s="26"/>
    </row>
    <row r="94" ht="15.75" customHeight="1">
      <c r="A94" s="29" t="s">
        <v>51</v>
      </c>
      <c r="B94" s="43">
        <f t="shared" si="4"/>
        <v>0.3</v>
      </c>
      <c r="C94" s="31">
        <f>B44-B17</f>
        <v>118600000</v>
      </c>
      <c r="D94" s="32">
        <f>E65/(1+B20)</f>
        <v>144800000</v>
      </c>
      <c r="E94" s="32">
        <f>E72/((1+B20)^2)</f>
        <v>148509090.9</v>
      </c>
      <c r="F94" s="32">
        <f t="shared" si="5"/>
        <v>411909090.9</v>
      </c>
      <c r="G94" s="32">
        <f t="shared" si="6"/>
        <v>123572727.3</v>
      </c>
      <c r="H94" s="26"/>
      <c r="I94" s="26"/>
      <c r="J94" s="26"/>
      <c r="K94" s="26"/>
      <c r="L94" s="26"/>
      <c r="M94" s="26"/>
      <c r="N94" s="26"/>
      <c r="O94" s="26"/>
      <c r="P94" s="26"/>
      <c r="Q94" s="26"/>
      <c r="R94" s="26"/>
      <c r="S94" s="26"/>
      <c r="T94" s="26"/>
      <c r="U94" s="26"/>
      <c r="V94" s="26"/>
      <c r="W94" s="26"/>
      <c r="X94" s="26"/>
      <c r="Y94" s="26"/>
      <c r="Z94" s="26"/>
    </row>
    <row r="95" ht="15.75" customHeight="1">
      <c r="A95" s="29" t="s">
        <v>64</v>
      </c>
      <c r="B95" s="43">
        <f t="shared" si="4"/>
        <v>0.2</v>
      </c>
      <c r="C95" s="31">
        <f>B44-B17</f>
        <v>118600000</v>
      </c>
      <c r="D95" s="32">
        <f>E66/(1+B20)</f>
        <v>122981818.2</v>
      </c>
      <c r="E95" s="32">
        <f>E73/((1+B20)^2)</f>
        <v>110823140.5</v>
      </c>
      <c r="F95" s="32">
        <f t="shared" si="5"/>
        <v>352404958.7</v>
      </c>
      <c r="G95" s="32">
        <f t="shared" si="6"/>
        <v>70480991.74</v>
      </c>
      <c r="H95" s="26"/>
      <c r="I95" s="26"/>
      <c r="J95" s="26"/>
      <c r="K95" s="26"/>
      <c r="L95" s="26"/>
      <c r="M95" s="26"/>
      <c r="N95" s="26"/>
      <c r="O95" s="26"/>
      <c r="P95" s="26"/>
      <c r="Q95" s="26"/>
      <c r="R95" s="26"/>
      <c r="S95" s="26"/>
      <c r="T95" s="26"/>
      <c r="U95" s="26"/>
      <c r="V95" s="26"/>
      <c r="W95" s="26"/>
      <c r="X95" s="26"/>
      <c r="Y95" s="26"/>
      <c r="Z95" s="26"/>
    </row>
    <row r="96" ht="15.75" customHeight="1">
      <c r="A96" s="44" t="s">
        <v>80</v>
      </c>
      <c r="B96" s="45"/>
      <c r="C96" s="45"/>
      <c r="D96" s="45"/>
      <c r="E96" s="45"/>
      <c r="F96" s="46"/>
      <c r="G96" s="47">
        <f>SUM(G92:G95)</f>
        <v>401657851.2</v>
      </c>
      <c r="H96" s="26"/>
      <c r="I96" s="26"/>
      <c r="J96" s="26"/>
      <c r="K96" s="26"/>
      <c r="L96" s="26"/>
      <c r="M96" s="26"/>
      <c r="N96" s="26"/>
      <c r="O96" s="26"/>
      <c r="P96" s="26"/>
      <c r="Q96" s="26"/>
      <c r="R96" s="26"/>
      <c r="S96" s="26"/>
      <c r="T96" s="26"/>
      <c r="U96" s="26"/>
      <c r="V96" s="26"/>
      <c r="W96" s="26"/>
      <c r="X96" s="26"/>
      <c r="Y96" s="26"/>
      <c r="Z96" s="26"/>
    </row>
    <row r="97" ht="15.7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ht="15.75" customHeight="1">
      <c r="A98" s="41" t="s">
        <v>81</v>
      </c>
      <c r="B98" s="15"/>
      <c r="C98" s="15"/>
      <c r="D98" s="15"/>
      <c r="E98" s="15"/>
      <c r="F98" s="15"/>
      <c r="G98" s="2"/>
      <c r="H98" s="26"/>
      <c r="I98" s="26"/>
      <c r="J98" s="26"/>
      <c r="K98" s="26"/>
      <c r="L98" s="26"/>
      <c r="M98" s="26"/>
      <c r="N98" s="26"/>
      <c r="O98" s="26"/>
      <c r="P98" s="26"/>
      <c r="Q98" s="26"/>
      <c r="R98" s="26"/>
      <c r="S98" s="26"/>
      <c r="T98" s="26"/>
      <c r="U98" s="26"/>
      <c r="V98" s="26"/>
      <c r="W98" s="26"/>
      <c r="X98" s="26"/>
      <c r="Y98" s="26"/>
      <c r="Z98" s="26"/>
    </row>
    <row r="99" ht="48.75" customHeight="1">
      <c r="A99" s="6" t="s">
        <v>45</v>
      </c>
      <c r="B99" s="6" t="s">
        <v>74</v>
      </c>
      <c r="C99" s="42" t="s">
        <v>75</v>
      </c>
      <c r="D99" s="6" t="s">
        <v>76</v>
      </c>
      <c r="E99" s="6" t="s">
        <v>77</v>
      </c>
      <c r="F99" s="6" t="s">
        <v>78</v>
      </c>
      <c r="G99" s="6" t="s">
        <v>79</v>
      </c>
      <c r="H99" s="26"/>
      <c r="I99" s="26"/>
      <c r="J99" s="26"/>
      <c r="K99" s="26"/>
      <c r="L99" s="26"/>
      <c r="M99" s="26"/>
      <c r="N99" s="26"/>
      <c r="O99" s="26"/>
      <c r="P99" s="26"/>
      <c r="Q99" s="26"/>
      <c r="R99" s="26"/>
      <c r="S99" s="26"/>
      <c r="T99" s="26"/>
      <c r="U99" s="26"/>
      <c r="V99" s="26"/>
      <c r="W99" s="26"/>
      <c r="X99" s="26"/>
      <c r="Y99" s="26"/>
      <c r="Z99" s="26"/>
    </row>
    <row r="100" ht="15.75" customHeight="1">
      <c r="A100" s="29" t="s">
        <v>62</v>
      </c>
      <c r="B100" s="43">
        <f t="shared" ref="B100:B103" si="7">D48</f>
        <v>0.3</v>
      </c>
      <c r="C100" s="31">
        <f>B44-B19</f>
        <v>120600000</v>
      </c>
      <c r="D100" s="32">
        <f>E77/(1+B20)</f>
        <v>152236363.6</v>
      </c>
      <c r="E100" s="32">
        <f>E85/((1+B20)^2)</f>
        <v>154958677.7</v>
      </c>
      <c r="F100" s="32">
        <f t="shared" ref="F100:F103" si="8">C100+D100+E100</f>
        <v>427795041.3</v>
      </c>
      <c r="G100" s="32">
        <f t="shared" ref="G100:G103" si="9">F100*B100</f>
        <v>128338512.4</v>
      </c>
      <c r="H100" s="26"/>
      <c r="I100" s="26"/>
      <c r="J100" s="26"/>
      <c r="K100" s="26"/>
      <c r="L100" s="26"/>
      <c r="M100" s="26"/>
      <c r="N100" s="26"/>
      <c r="O100" s="26"/>
      <c r="P100" s="26"/>
      <c r="Q100" s="26"/>
      <c r="R100" s="26"/>
      <c r="S100" s="26"/>
      <c r="T100" s="26"/>
      <c r="U100" s="26"/>
      <c r="V100" s="26"/>
      <c r="W100" s="26"/>
      <c r="X100" s="26"/>
      <c r="Y100" s="26"/>
      <c r="Z100" s="26"/>
    </row>
    <row r="101" ht="15.75" customHeight="1">
      <c r="A101" s="29" t="s">
        <v>63</v>
      </c>
      <c r="B101" s="43">
        <f t="shared" si="7"/>
        <v>0.2</v>
      </c>
      <c r="C101" s="31">
        <f>B44-B19</f>
        <v>120600000</v>
      </c>
      <c r="D101" s="32">
        <f>E78/(1+B20)</f>
        <v>130418181.8</v>
      </c>
      <c r="E101" s="32">
        <f>E86/((1+B20)^2)</f>
        <v>122892562</v>
      </c>
      <c r="F101" s="32">
        <f t="shared" si="8"/>
        <v>373910743.8</v>
      </c>
      <c r="G101" s="32">
        <f t="shared" si="9"/>
        <v>74782148.76</v>
      </c>
      <c r="H101" s="26"/>
      <c r="I101" s="26"/>
      <c r="J101" s="26"/>
      <c r="K101" s="26"/>
      <c r="L101" s="26"/>
      <c r="M101" s="26"/>
      <c r="N101" s="26"/>
      <c r="O101" s="26"/>
      <c r="P101" s="26"/>
      <c r="Q101" s="26"/>
      <c r="R101" s="26"/>
      <c r="S101" s="26"/>
      <c r="T101" s="26"/>
      <c r="U101" s="26"/>
      <c r="V101" s="26"/>
      <c r="W101" s="26"/>
      <c r="X101" s="26"/>
      <c r="Y101" s="26"/>
      <c r="Z101" s="26"/>
    </row>
    <row r="102" ht="15.75" customHeight="1">
      <c r="A102" s="29" t="s">
        <v>51</v>
      </c>
      <c r="B102" s="43">
        <f t="shared" si="7"/>
        <v>0.3</v>
      </c>
      <c r="C102" s="31">
        <f>B44-B19</f>
        <v>120600000</v>
      </c>
      <c r="D102" s="32">
        <f>E79/(1+B20)</f>
        <v>143436363.6</v>
      </c>
      <c r="E102" s="32">
        <f>E87/((1+B20)^2)</f>
        <v>147269421.5</v>
      </c>
      <c r="F102" s="32">
        <f t="shared" si="8"/>
        <v>411305785.1</v>
      </c>
      <c r="G102" s="32">
        <f t="shared" si="9"/>
        <v>123391735.5</v>
      </c>
      <c r="H102" s="26"/>
      <c r="I102" s="26"/>
      <c r="J102" s="26"/>
      <c r="K102" s="26"/>
      <c r="L102" s="26"/>
      <c r="M102" s="26"/>
      <c r="N102" s="26"/>
      <c r="O102" s="26"/>
      <c r="P102" s="26"/>
      <c r="Q102" s="26"/>
      <c r="R102" s="26"/>
      <c r="S102" s="26"/>
      <c r="T102" s="26"/>
      <c r="U102" s="26"/>
      <c r="V102" s="26"/>
      <c r="W102" s="26"/>
      <c r="X102" s="26"/>
      <c r="Y102" s="26"/>
      <c r="Z102" s="26"/>
    </row>
    <row r="103" ht="15.75" customHeight="1">
      <c r="A103" s="29" t="s">
        <v>64</v>
      </c>
      <c r="B103" s="43">
        <f t="shared" si="7"/>
        <v>0.2</v>
      </c>
      <c r="C103" s="31">
        <f>B44-B19</f>
        <v>120600000</v>
      </c>
      <c r="D103" s="32">
        <f>E80/(1+B20)</f>
        <v>121618181.8</v>
      </c>
      <c r="E103" s="32">
        <f>E88/((1+B20)^2)</f>
        <v>109583471.1</v>
      </c>
      <c r="F103" s="32">
        <f t="shared" si="8"/>
        <v>351801652.9</v>
      </c>
      <c r="G103" s="32">
        <f t="shared" si="9"/>
        <v>70360330.58</v>
      </c>
      <c r="H103" s="26"/>
      <c r="I103" s="26"/>
      <c r="J103" s="26"/>
      <c r="K103" s="26"/>
      <c r="L103" s="26"/>
      <c r="M103" s="26"/>
      <c r="N103" s="26"/>
      <c r="O103" s="26"/>
      <c r="P103" s="26"/>
      <c r="Q103" s="26"/>
      <c r="R103" s="26"/>
      <c r="S103" s="26"/>
      <c r="T103" s="26"/>
      <c r="U103" s="26"/>
      <c r="V103" s="26"/>
      <c r="W103" s="26"/>
      <c r="X103" s="26"/>
      <c r="Y103" s="26"/>
      <c r="Z103" s="26"/>
    </row>
    <row r="104" ht="15.75" customHeight="1">
      <c r="A104" s="44" t="s">
        <v>82</v>
      </c>
      <c r="B104" s="45"/>
      <c r="C104" s="45"/>
      <c r="D104" s="45"/>
      <c r="E104" s="45"/>
      <c r="F104" s="46"/>
      <c r="G104" s="47">
        <f>SUM(G100:G103)</f>
        <v>396872727.3</v>
      </c>
      <c r="H104" s="26"/>
      <c r="I104" s="26"/>
      <c r="J104" s="26"/>
      <c r="K104" s="26"/>
      <c r="L104" s="26"/>
      <c r="M104" s="26"/>
      <c r="N104" s="26"/>
      <c r="O104" s="26"/>
      <c r="P104" s="26"/>
      <c r="Q104" s="26"/>
      <c r="R104" s="26"/>
      <c r="S104" s="26"/>
      <c r="T104" s="26"/>
      <c r="U104" s="26"/>
      <c r="V104" s="26"/>
      <c r="W104" s="26"/>
      <c r="X104" s="26"/>
      <c r="Y104" s="26"/>
      <c r="Z104" s="26"/>
    </row>
    <row r="105" ht="15.7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ht="15.75" customHeight="1">
      <c r="A106" s="48" t="s">
        <v>83</v>
      </c>
      <c r="B106" s="49" t="s">
        <v>84</v>
      </c>
      <c r="G106" s="26"/>
      <c r="H106" s="26"/>
      <c r="I106" s="26"/>
      <c r="J106" s="26"/>
      <c r="K106" s="26"/>
      <c r="L106" s="26"/>
      <c r="M106" s="26"/>
      <c r="N106" s="26"/>
      <c r="O106" s="26"/>
      <c r="P106" s="26"/>
      <c r="Q106" s="26"/>
      <c r="R106" s="26"/>
      <c r="S106" s="26"/>
      <c r="T106" s="26"/>
      <c r="U106" s="26"/>
      <c r="V106" s="26"/>
      <c r="W106" s="26"/>
      <c r="X106" s="26"/>
      <c r="Y106" s="26"/>
      <c r="Z106" s="26"/>
    </row>
    <row r="107" ht="15.7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ht="15.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ht="15.7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ht="15.7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ht="15.7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ht="15.7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ht="15.7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ht="15.7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ht="15.7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ht="15.7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ht="15.7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ht="15.7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ht="15.7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ht="15.7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ht="15.7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ht="15.7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ht="15.7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ht="15.7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ht="15.7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ht="15.7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ht="15.7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ht="15.7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ht="15.7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ht="15.7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ht="15.7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ht="15.7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row>
    <row r="285" ht="15.75" customHeight="1">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row>
    <row r="286" ht="15.75" customHeight="1">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row>
    <row r="287" ht="15.75" customHeight="1">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row>
    <row r="288" ht="15.75" customHeight="1">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row>
    <row r="289" ht="15.75" customHeight="1">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row>
    <row r="290" ht="15.75" customHeight="1">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row>
    <row r="291" ht="15.75" customHeight="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row>
    <row r="292" ht="15.75" customHeight="1">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row>
    <row r="293" ht="15.75" customHeight="1">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row>
    <row r="294" ht="15.75" customHeight="1">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row>
    <row r="295" ht="15.75" customHeight="1">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row>
    <row r="296" ht="15.75" customHeight="1">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row>
    <row r="297" ht="15.75" customHeight="1">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row>
    <row r="298" ht="15.75" customHeight="1">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row>
    <row r="299" ht="15.75" customHeight="1">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row>
    <row r="300" ht="15.75" customHeight="1">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row>
    <row r="301" ht="15.75" customHeight="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row>
    <row r="302" ht="15.75" customHeight="1">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row>
    <row r="303" ht="15.75" customHeight="1">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row>
    <row r="304" ht="15.75" customHeight="1">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row>
    <row r="305" ht="15.75" customHeight="1">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row>
    <row r="306" ht="15.75" customHeight="1">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row>
    <row r="307" ht="15.75" customHeight="1">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row>
    <row r="308" ht="15.75" customHeight="1">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row>
    <row r="309" ht="15.75" customHeight="1">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row>
    <row r="310" ht="15.75" customHeight="1">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row>
    <row r="311" ht="15.75" customHeight="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row>
    <row r="312" ht="15.75" customHeight="1">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row>
    <row r="313" ht="15.75" customHeight="1">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row>
    <row r="314" ht="15.75" customHeight="1">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row>
    <row r="315" ht="15.75" customHeight="1">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row>
    <row r="316" ht="15.75" customHeight="1">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row>
    <row r="317" ht="15.75" customHeight="1">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row>
    <row r="318" ht="15.75" customHeight="1">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row>
    <row r="319" ht="15.75" customHeight="1">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row>
    <row r="320" ht="15.75" customHeight="1">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ht="15.75" customHeight="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ht="15.75" customHeight="1">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ht="15.75" customHeight="1">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ht="15.75" customHeight="1">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ht="15.75" customHeight="1">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ht="15.75" customHeight="1">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ht="15.75" customHeight="1">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ht="15.75" customHeight="1">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ht="15.75" customHeight="1">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ht="15.75" customHeight="1">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ht="15.75" customHeight="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ht="15.75" customHeight="1">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ht="15.75" customHeight="1">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ht="15.75" customHeight="1">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ht="15.75" customHeight="1">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ht="15.75" customHeight="1">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ht="15.75" customHeight="1">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ht="15.75" customHeight="1">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ht="15.75" customHeight="1">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ht="15.75" customHeight="1">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ht="15.75" customHeight="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ht="15.75" customHeight="1">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ht="15.75" customHeight="1">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ht="15.75" customHeight="1">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ht="15.75" customHeight="1">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ht="15.75" customHeight="1">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ht="15.75" customHeight="1">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ht="15.75" customHeight="1">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ht="15.75" customHeight="1">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ht="15.75" customHeight="1">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ht="15.75" customHeight="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ht="15.75" customHeight="1">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ht="15.75" customHeight="1">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ht="15.75" customHeight="1">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ht="15.75" customHeight="1">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ht="15.75" customHeight="1">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ht="15.75" customHeight="1">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ht="15.75" customHeight="1">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ht="15.75" customHeight="1">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ht="15.75" customHeight="1">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ht="15.75" customHeight="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ht="15.75" customHeight="1">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ht="15.75" customHeight="1">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ht="15.75" customHeight="1">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ht="15.75" customHeight="1">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ht="15.75" customHeight="1">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ht="15.75" customHeight="1">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ht="15.75" customHeight="1">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ht="15.75" customHeight="1">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ht="15.75" customHeight="1">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ht="15.75" customHeight="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ht="15.75" customHeight="1">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ht="15.75" customHeight="1">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ht="15.75" customHeight="1">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ht="15.75" customHeight="1">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ht="15.75" customHeight="1">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ht="15.75" customHeight="1">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ht="15.75" customHeight="1">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ht="15.75" customHeight="1">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ht="15.75" customHeight="1">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ht="15.75" customHeight="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ht="15.75" customHeight="1">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ht="15.75" customHeight="1">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ht="15.75" customHeight="1">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ht="15.75" customHeight="1">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ht="15.75" customHeight="1">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ht="15.75" customHeight="1">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ht="15.75" customHeight="1">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ht="15.75" customHeight="1">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ht="15.75" customHeight="1">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ht="15.75" customHeight="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ht="15.75" customHeight="1">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ht="15.75" customHeight="1">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ht="15.75" customHeight="1">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ht="15.75" customHeight="1">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ht="15.75" customHeight="1">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ht="15.75" customHeight="1">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ht="15.75" customHeight="1">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ht="15.75" customHeight="1">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ht="15.75" customHeight="1">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ht="15.75" customHeight="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ht="15.75" customHeight="1">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ht="15.75" customHeight="1">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ht="15.75" customHeight="1">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ht="15.75" customHeight="1">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ht="15.75" customHeight="1">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ht="15.75" customHeight="1">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ht="15.75" customHeight="1">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ht="15.75" customHeight="1">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ht="15.75" customHeight="1">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ht="15.75" customHeight="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ht="15.75" customHeight="1">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ht="15.75" customHeight="1">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ht="15.75" customHeight="1">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ht="15.75" customHeight="1">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ht="15.75" customHeight="1">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ht="15.75" customHeight="1">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ht="15.75" customHeight="1">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ht="15.75" customHeight="1">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ht="15.75" customHeight="1">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ht="15.75" customHeight="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ht="15.75" customHeight="1">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ht="15.75" customHeight="1">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ht="15.75" customHeight="1">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ht="15.75" customHeight="1">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ht="15.75" customHeight="1">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ht="15.75" customHeight="1">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ht="15.75" customHeight="1">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ht="15.75" customHeight="1">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ht="15.75" customHeight="1">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ht="15.75" customHeight="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ht="15.75" customHeight="1">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ht="15.75" customHeight="1">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ht="15.75" customHeight="1">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ht="15.75" customHeight="1">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ht="15.75" customHeight="1">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ht="15.75" customHeight="1">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ht="15.75" customHeight="1">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ht="15.75" customHeight="1">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ht="15.75" customHeight="1">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ht="15.75" customHeight="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ht="15.75" customHeight="1">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ht="15.75" customHeight="1">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ht="15.75" customHeight="1">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ht="15.75" customHeight="1">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ht="15.75" customHeight="1">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ht="15.75" customHeight="1">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ht="15.75" customHeight="1">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ht="15.75" customHeight="1">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ht="15.75" customHeight="1">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ht="15.75" customHeight="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ht="15.75" customHeight="1">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ht="15.75" customHeight="1">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ht="15.75" customHeight="1">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ht="15.75" customHeight="1">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ht="15.75" customHeight="1">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ht="15.75" customHeight="1">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ht="15.75" customHeight="1">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ht="15.75" customHeight="1">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ht="15.75" customHeight="1">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ht="15.75" customHeight="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ht="15.75" customHeight="1">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ht="15.75" customHeight="1">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ht="15.75" customHeight="1">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ht="15.75" customHeight="1">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ht="15.75" customHeight="1">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ht="15.75" customHeight="1">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ht="15.75" customHeight="1">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ht="15.75" customHeight="1">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ht="15.75" customHeight="1">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ht="15.75" customHeight="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ht="15.75" customHeight="1">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ht="15.75" customHeight="1">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ht="15.75" customHeight="1">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ht="15.75" customHeight="1">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ht="15.75" customHeight="1">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ht="15.75" customHeight="1">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ht="15.75" customHeight="1">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ht="15.75" customHeight="1">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ht="15.75" customHeight="1">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ht="15.75" customHeight="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ht="15.75" customHeight="1">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ht="15.75" customHeight="1">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ht="15.75" customHeight="1">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ht="15.75" customHeight="1">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ht="15.75" customHeight="1">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ht="15.75" customHeight="1">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ht="15.75" customHeight="1">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ht="15.75" customHeight="1">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ht="15.75" customHeight="1">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ht="15.75" customHeight="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ht="15.75" customHeight="1">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ht="15.75" customHeight="1">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ht="15.75" customHeight="1">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ht="15.75" customHeight="1">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ht="15.75" customHeight="1">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ht="15.75" customHeight="1">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ht="15.75" customHeight="1">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ht="15.75" customHeight="1">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ht="15.75" customHeight="1">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ht="15.75" customHeight="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ht="15.75" customHeight="1">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ht="15.75" customHeight="1">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ht="15.75" customHeight="1">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ht="15.75" customHeight="1">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ht="15.75" customHeight="1">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ht="15.75" customHeight="1">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ht="15.75" customHeight="1">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ht="15.75" customHeight="1">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ht="15.75" customHeight="1">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ht="15.75" customHeight="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ht="15.75" customHeight="1">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ht="15.75" customHeight="1">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ht="15.75" customHeight="1">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ht="15.75" customHeight="1">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ht="15.75" customHeight="1">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ht="15.75" customHeight="1">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ht="15.75" customHeight="1">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ht="15.75" customHeight="1">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ht="15.75" customHeight="1">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ht="15.75" customHeight="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ht="15.75" customHeight="1">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ht="15.75" customHeight="1">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ht="15.75" customHeight="1">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ht="15.75" customHeight="1">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ht="15.75" customHeight="1">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ht="15.75" customHeight="1">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ht="15.75" customHeight="1">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ht="15.75" customHeight="1">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ht="15.75" customHeight="1">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ht="15.75" customHeight="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ht="15.75" customHeight="1">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ht="15.75" customHeight="1">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ht="15.75" customHeight="1">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ht="15.75" customHeight="1">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ht="15.75" customHeight="1">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ht="15.75" customHeight="1">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ht="15.75" customHeight="1">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ht="15.75" customHeight="1">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ht="15.75" customHeight="1">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ht="15.75" customHeight="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ht="15.75" customHeight="1">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ht="15.75" customHeight="1">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ht="15.75" customHeight="1">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ht="15.75" customHeight="1">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ht="15.75" customHeight="1">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ht="15.75" customHeight="1">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ht="15.75" customHeight="1">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ht="15.75" customHeight="1">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ht="15.75" customHeight="1">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ht="15.75" customHeight="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ht="15.75" customHeight="1">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ht="15.75" customHeight="1">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ht="15.75" customHeight="1">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ht="15.75" customHeight="1">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ht="15.75" customHeight="1">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ht="15.75" customHeight="1">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ht="15.75" customHeight="1">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ht="15.75" customHeight="1">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ht="15.75" customHeight="1">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ht="15.75" customHeight="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ht="15.75" customHeight="1">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ht="15.75" customHeight="1">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ht="15.75" customHeight="1">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ht="15.75" customHeight="1">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ht="15.75" customHeight="1">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ht="15.75" customHeight="1">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ht="15.75" customHeight="1">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ht="15.75" customHeight="1">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ht="15.75" customHeight="1">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ht="15.75" customHeight="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ht="15.75" customHeight="1">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ht="15.75" customHeight="1">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ht="15.75" customHeight="1">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ht="15.75" customHeight="1">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ht="15.75" customHeight="1">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ht="15.75" customHeight="1">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ht="15.75" customHeight="1">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ht="15.75" customHeight="1">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ht="15.75" customHeight="1">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ht="15.75" customHeight="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ht="15.75" customHeight="1">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ht="15.75" customHeight="1">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ht="15.75" customHeight="1">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ht="15.75" customHeight="1">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ht="15.75" customHeight="1">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ht="15.75" customHeight="1">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ht="15.75" customHeight="1">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ht="15.75" customHeight="1">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ht="15.75" customHeight="1">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ht="15.75" customHeight="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ht="15.75" customHeight="1">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ht="15.75" customHeight="1">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ht="15.75" customHeight="1">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ht="15.75" customHeight="1">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ht="15.75" customHeight="1">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ht="15.75" customHeight="1">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ht="15.75" customHeight="1">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ht="15.75" customHeight="1">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ht="15.75" customHeight="1">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ht="15.75" customHeight="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ht="15.75" customHeight="1">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ht="15.75" customHeight="1">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ht="15.75" customHeight="1">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ht="15.75" customHeight="1">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ht="15.75" customHeight="1">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ht="15.75" customHeight="1">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ht="15.75" customHeight="1">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ht="15.75" customHeight="1">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ht="15.75" customHeight="1">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ht="15.75" customHeight="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ht="15.75" customHeight="1">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ht="15.75" customHeight="1">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ht="15.75" customHeight="1">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ht="15.75" customHeight="1">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ht="15.75" customHeight="1">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ht="15.75" customHeight="1">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ht="15.75" customHeight="1">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ht="15.75" customHeight="1">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ht="15.75" customHeight="1">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ht="15.75" customHeight="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ht="15.75" customHeight="1">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ht="15.75" customHeight="1">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ht="15.75" customHeight="1">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ht="15.75" customHeight="1">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ht="15.75" customHeight="1">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ht="15.75" customHeight="1">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ht="15.75" customHeight="1">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ht="15.75" customHeight="1">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ht="15.75" customHeight="1">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ht="15.75" customHeight="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ht="15.75" customHeight="1">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ht="15.75" customHeight="1">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ht="15.75" customHeight="1">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ht="15.75" customHeight="1">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ht="15.75" customHeight="1">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ht="15.75" customHeight="1">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ht="15.75" customHeight="1">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ht="15.75" customHeight="1">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ht="15.75" customHeight="1">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ht="15.75" customHeight="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ht="15.75" customHeight="1">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ht="15.75" customHeight="1">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ht="15.75" customHeight="1">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ht="15.75" customHeight="1">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ht="15.75" customHeight="1">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ht="15.75" customHeight="1">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ht="15.75" customHeight="1">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ht="15.75" customHeight="1">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ht="15.75" customHeight="1">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ht="15.75" customHeight="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ht="15.75" customHeight="1">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ht="15.75" customHeight="1">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ht="15.75" customHeight="1">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ht="15.75" customHeight="1">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ht="15.75" customHeight="1">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ht="15.75" customHeight="1">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ht="15.75" customHeight="1">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ht="15.75" customHeight="1">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ht="15.75" customHeight="1">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ht="15.75" customHeight="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ht="15.75" customHeight="1">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ht="15.75" customHeight="1">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ht="15.75" customHeight="1">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ht="15.75" customHeight="1">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ht="15.75" customHeight="1">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ht="15.75" customHeight="1">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ht="15.75" customHeight="1">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ht="15.75" customHeight="1">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ht="15.75" customHeight="1">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ht="15.75" customHeight="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ht="15.75" customHeight="1">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ht="15.75" customHeight="1">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ht="15.75" customHeight="1">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ht="15.75" customHeight="1">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ht="15.75" customHeight="1">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ht="15.75" customHeight="1">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ht="15.75" customHeight="1">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ht="15.75" customHeight="1">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ht="15.75" customHeight="1">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ht="15.75" customHeight="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ht="15.75" customHeight="1">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ht="15.75" customHeight="1">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ht="15.75" customHeight="1">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ht="15.75" customHeight="1">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ht="15.75" customHeight="1">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ht="15.75" customHeight="1">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ht="15.75" customHeight="1">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ht="15.75" customHeight="1">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ht="15.75" customHeight="1">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ht="15.75" customHeight="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ht="15.75" customHeight="1">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ht="15.75" customHeight="1">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ht="15.75" customHeight="1">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ht="15.75" customHeight="1">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ht="15.75" customHeight="1">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ht="15.75" customHeight="1">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ht="15.75" customHeight="1">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ht="15.75" customHeight="1">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ht="15.75" customHeight="1">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ht="15.75" customHeight="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ht="15.75" customHeight="1">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ht="15.75" customHeight="1">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ht="15.75" customHeight="1">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ht="15.75" customHeight="1">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ht="15.75" customHeight="1">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ht="15.75" customHeight="1">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ht="15.75" customHeight="1">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ht="15.75" customHeight="1">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ht="15.75" customHeight="1">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ht="15.75" customHeight="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ht="15.75" customHeight="1">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ht="15.75" customHeight="1">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ht="15.75" customHeight="1">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ht="15.75" customHeight="1">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ht="15.75" customHeight="1">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ht="15.75" customHeight="1">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ht="15.75" customHeight="1">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ht="15.75" customHeight="1">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ht="15.75" customHeight="1">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ht="15.75" customHeight="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ht="15.75" customHeight="1">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ht="15.75" customHeight="1">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ht="15.75" customHeight="1">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ht="15.75" customHeight="1">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ht="15.75" customHeight="1">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ht="15.75" customHeight="1">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ht="15.75" customHeight="1">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ht="15.75" customHeight="1">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ht="15.75" customHeight="1">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ht="15.75" customHeight="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ht="15.75" customHeight="1">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ht="15.75" customHeight="1">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ht="15.75" customHeight="1">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ht="15.75" customHeight="1">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ht="15.75" customHeight="1">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ht="15.75" customHeight="1">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ht="15.75" customHeight="1">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ht="15.75" customHeight="1">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ht="15.75" customHeight="1">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ht="15.75" customHeight="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ht="15.75" customHeight="1">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ht="15.75" customHeight="1">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ht="15.75" customHeight="1">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ht="15.75" customHeight="1">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ht="15.75" customHeight="1">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ht="15.75" customHeight="1">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ht="15.75" customHeight="1">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ht="15.75" customHeight="1">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ht="15.75" customHeight="1">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ht="15.75" customHeight="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ht="15.75" customHeight="1">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ht="15.75" customHeight="1">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ht="15.75" customHeight="1">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ht="15.75" customHeight="1">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ht="15.75" customHeight="1">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ht="15.75" customHeight="1">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ht="15.75" customHeight="1">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ht="15.75" customHeight="1">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ht="15.75" customHeight="1">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ht="15.75" customHeight="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ht="15.75" customHeight="1">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ht="15.75" customHeight="1">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ht="15.75" customHeight="1">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ht="15.75" customHeight="1">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ht="15.75" customHeight="1">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ht="15.75" customHeight="1">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ht="15.75" customHeight="1">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ht="15.75" customHeight="1">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ht="15.75" customHeight="1">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ht="15.75" customHeight="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ht="15.75" customHeight="1">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ht="15.75" customHeight="1">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ht="15.75" customHeight="1">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ht="15.75" customHeight="1">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ht="15.75" customHeight="1">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ht="15.75" customHeight="1">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ht="15.75" customHeight="1">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ht="15.75" customHeight="1">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ht="15.75" customHeight="1">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ht="15.75" customHeight="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ht="15.75" customHeight="1">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ht="15.75" customHeight="1">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ht="15.75" customHeight="1">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ht="15.75" customHeight="1">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ht="15.75" customHeight="1">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ht="15.75" customHeight="1">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ht="15.75" customHeight="1">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ht="15.75" customHeight="1">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ht="15.75" customHeight="1">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ht="15.75" customHeight="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ht="15.75" customHeight="1">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ht="15.75" customHeight="1">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ht="15.75" customHeight="1">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ht="15.75" customHeight="1">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ht="15.75" customHeight="1">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ht="15.75" customHeight="1">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ht="15.75" customHeight="1">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ht="15.75" customHeight="1">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ht="15.75" customHeight="1">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ht="15.75" customHeight="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ht="15.75" customHeight="1">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ht="15.75" customHeight="1">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ht="15.75" customHeight="1">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ht="15.75" customHeight="1">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ht="15.75" customHeight="1">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ht="15.75" customHeight="1">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ht="15.75" customHeight="1">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ht="15.75" customHeight="1">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ht="15.75" customHeight="1">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ht="15.75" customHeight="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ht="15.75" customHeight="1">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ht="15.75" customHeight="1">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ht="15.75" customHeight="1">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ht="15.75" customHeight="1">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ht="15.75" customHeight="1">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ht="15.75" customHeight="1">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ht="15.75" customHeight="1">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ht="15.75" customHeight="1">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ht="15.75" customHeight="1">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ht="15.75" customHeight="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ht="15.75" customHeight="1">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ht="15.75" customHeight="1">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ht="15.75" customHeight="1">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ht="15.75" customHeight="1">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ht="15.75" customHeight="1">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ht="15.75" customHeight="1">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ht="15.75" customHeight="1">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ht="15.75" customHeight="1">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ht="15.75" customHeight="1">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ht="15.75" customHeight="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ht="15.75" customHeight="1">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ht="15.75" customHeight="1">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ht="15.75" customHeight="1">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ht="15.75" customHeight="1">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ht="15.75" customHeight="1">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ht="15.75" customHeight="1">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ht="15.75" customHeight="1">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ht="15.75" customHeight="1">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ht="15.75" customHeight="1">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ht="15.75" customHeight="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ht="15.75" customHeight="1">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ht="15.75" customHeight="1">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ht="15.75" customHeight="1">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ht="15.75" customHeight="1">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ht="15.75" customHeight="1">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ht="15.75" customHeight="1">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ht="15.75" customHeight="1">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ht="15.75" customHeight="1">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ht="15.75" customHeight="1">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ht="15.75" customHeight="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ht="15.75" customHeight="1">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ht="15.75" customHeight="1">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ht="15.75" customHeight="1">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ht="15.75" customHeight="1">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ht="15.75" customHeight="1">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ht="15.75" customHeight="1">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ht="15.75" customHeight="1">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ht="15.75" customHeight="1">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ht="15.75" customHeight="1">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ht="15.75" customHeight="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ht="15.75" customHeight="1">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ht="15.75" customHeight="1">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ht="15.75" customHeight="1">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ht="15.75" customHeight="1">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ht="15.75" customHeight="1">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ht="15.75" customHeight="1">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ht="15.75" customHeight="1">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ht="15.75" customHeight="1">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ht="15.75" customHeight="1">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ht="15.75" customHeight="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ht="15.75" customHeight="1">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ht="15.75" customHeight="1">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ht="15.75" customHeight="1">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ht="15.75" customHeight="1">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ht="15.75" customHeight="1">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ht="15.75" customHeight="1">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ht="15.75" customHeight="1">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ht="15.75" customHeight="1">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ht="15.75" customHeight="1">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ht="15.75" customHeight="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ht="15.75" customHeight="1">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ht="15.75" customHeight="1">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ht="15.75" customHeight="1">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ht="15.75" customHeight="1">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ht="15.75" customHeight="1">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ht="15.75" customHeight="1">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ht="15.75" customHeight="1">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ht="15.75" customHeight="1">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ht="15.75" customHeight="1">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ht="15.75" customHeight="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ht="15.75" customHeight="1">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ht="15.75" customHeight="1">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ht="15.75" customHeight="1">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ht="15.75" customHeight="1">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ht="15.75" customHeight="1">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ht="15.75" customHeight="1">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ht="15.75" customHeight="1">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ht="15.75" customHeight="1">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ht="15.75" customHeight="1">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ht="15.75" customHeight="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ht="15.75" customHeight="1">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ht="15.75" customHeight="1">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ht="15.75" customHeight="1">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ht="15.75" customHeight="1">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ht="15.75" customHeight="1">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ht="15.75" customHeight="1">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ht="15.75" customHeight="1">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ht="15.75" customHeight="1">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ht="15.75" customHeight="1">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ht="15.75" customHeight="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ht="15.75" customHeight="1">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ht="15.75" customHeight="1">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ht="15.75" customHeight="1">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ht="15.75" customHeight="1">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ht="15.75" customHeight="1">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ht="15.75" customHeight="1">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ht="15.75" customHeight="1">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ht="15.75" customHeight="1">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ht="15.75" customHeight="1">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ht="15.75" customHeight="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ht="15.75" customHeight="1">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ht="15.75" customHeight="1">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ht="15.75" customHeight="1">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ht="15.75" customHeight="1">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ht="15.75" customHeight="1">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ht="15.75" customHeight="1">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ht="15.75" customHeight="1">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ht="15.75" customHeight="1">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ht="15.75" customHeight="1">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ht="15.75" customHeight="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ht="15.75" customHeight="1">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ht="15.75" customHeight="1">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ht="15.75" customHeight="1">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ht="15.75" customHeight="1">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ht="15.75" customHeight="1">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ht="15.75" customHeight="1">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ht="15.75" customHeight="1">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ht="15.75" customHeight="1">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ht="15.75" customHeight="1">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ht="15.75" customHeight="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ht="15.75" customHeight="1">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ht="15.75" customHeight="1">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ht="15.75" customHeight="1">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ht="15.75" customHeight="1">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ht="15.75" customHeight="1">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ht="15.75" customHeight="1">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ht="15.75" customHeight="1">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ht="15.75" customHeight="1">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ht="15.75" customHeight="1">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ht="15.75" customHeight="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ht="15.75" customHeight="1">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ht="15.75" customHeight="1">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ht="15.75" customHeight="1">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ht="15.75" customHeight="1">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ht="15.75" customHeight="1">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ht="15.75" customHeight="1">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ht="15.75" customHeight="1">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ht="15.75" customHeight="1">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ht="15.75" customHeight="1">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ht="15.75" customHeight="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ht="15.75" customHeight="1">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ht="15.75" customHeight="1">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ht="15.75" customHeight="1">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ht="15.75" customHeight="1">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ht="15.75" customHeight="1">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ht="15.75" customHeight="1">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ht="15.75" customHeight="1">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ht="15.75" customHeight="1">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ht="15.75" customHeight="1">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ht="15.75" customHeight="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ht="15.75" customHeight="1">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ht="15.75" customHeight="1">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ht="15.75" customHeight="1">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ht="15.75" customHeight="1">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ht="15.75" customHeight="1">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ht="15.75" customHeight="1">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ht="15.75" customHeight="1">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ht="15.75" customHeight="1">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ht="15.75" customHeight="1">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ht="15.75" customHeight="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ht="15.75" customHeight="1">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ht="15.75" customHeight="1">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ht="15.75" customHeight="1">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ht="15.75" customHeight="1">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ht="15.75" customHeight="1">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ht="15.75" customHeight="1">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ht="15.75" customHeight="1">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ht="15.75" customHeight="1">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ht="15.75" customHeight="1">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ht="15.75" customHeight="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ht="15.75" customHeight="1">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ht="15.75" customHeight="1">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ht="15.75" customHeight="1">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ht="15.75" customHeight="1">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ht="15.75" customHeight="1">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ht="15.75" customHeight="1">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ht="15.75" customHeight="1">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ht="15.75" customHeight="1">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row r="1000" ht="15.75" customHeight="1">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row>
    <row r="1001" ht="15.75" customHeight="1">
      <c r="A1001" s="50"/>
      <c r="B1001" s="50"/>
      <c r="C1001" s="50"/>
      <c r="D1001" s="50"/>
      <c r="E1001" s="50"/>
      <c r="F1001" s="50"/>
      <c r="G1001" s="50"/>
      <c r="H1001" s="50"/>
      <c r="I1001" s="50"/>
      <c r="J1001" s="50"/>
      <c r="K1001" s="50"/>
      <c r="L1001" s="50"/>
      <c r="M1001" s="50"/>
      <c r="N1001" s="50"/>
      <c r="O1001" s="50"/>
      <c r="P1001" s="50"/>
      <c r="Q1001" s="50"/>
      <c r="R1001" s="50"/>
      <c r="S1001" s="50"/>
      <c r="T1001" s="50"/>
      <c r="U1001" s="50"/>
      <c r="V1001" s="50"/>
      <c r="W1001" s="50"/>
      <c r="X1001" s="50"/>
      <c r="Y1001" s="50"/>
      <c r="Z1001" s="50"/>
    </row>
    <row r="1002" ht="15.75" customHeight="1">
      <c r="A1002" s="50"/>
      <c r="B1002" s="50"/>
      <c r="C1002" s="50"/>
      <c r="D1002" s="50"/>
      <c r="E1002" s="50"/>
      <c r="F1002" s="50"/>
      <c r="G1002" s="50"/>
      <c r="H1002" s="50"/>
      <c r="I1002" s="50"/>
      <c r="J1002" s="50"/>
      <c r="K1002" s="50"/>
      <c r="L1002" s="50"/>
      <c r="M1002" s="50"/>
      <c r="N1002" s="50"/>
      <c r="O1002" s="50"/>
      <c r="P1002" s="50"/>
      <c r="Q1002" s="50"/>
      <c r="R1002" s="50"/>
      <c r="S1002" s="50"/>
      <c r="T1002" s="50"/>
      <c r="U1002" s="50"/>
      <c r="V1002" s="50"/>
      <c r="W1002" s="50"/>
      <c r="X1002" s="50"/>
      <c r="Y1002" s="50"/>
      <c r="Z1002" s="50"/>
    </row>
  </sheetData>
  <mergeCells count="19">
    <mergeCell ref="A1:B2"/>
    <mergeCell ref="A22:E22"/>
    <mergeCell ref="A23:E23"/>
    <mergeCell ref="A30:D31"/>
    <mergeCell ref="A37:B37"/>
    <mergeCell ref="A38:B38"/>
    <mergeCell ref="A46:D46"/>
    <mergeCell ref="A90:G90"/>
    <mergeCell ref="A96:F96"/>
    <mergeCell ref="A98:G98"/>
    <mergeCell ref="A104:F104"/>
    <mergeCell ref="B106:F106"/>
    <mergeCell ref="A53:D53"/>
    <mergeCell ref="A60:E60"/>
    <mergeCell ref="A61:E61"/>
    <mergeCell ref="A68:E68"/>
    <mergeCell ref="A75:E75"/>
    <mergeCell ref="A82:E82"/>
    <mergeCell ref="A83:E83"/>
  </mergeCells>
  <printOptions/>
  <pageMargins bottom="1.0" footer="0.0" header="0.0" left="0.75" right="0.75" top="1.0"/>
  <pageSetup paperSize="9" orientation="portrait"/>
  <drawing r:id="rId1"/>
</worksheet>
</file>